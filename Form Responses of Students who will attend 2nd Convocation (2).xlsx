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5"/>
    <sheet state="visible" name="Responses" sheetId="2" r:id="rId6"/>
    <sheet state="visible" name="Summary" sheetId="3" r:id="rId7"/>
    <sheet state="visible" name="MBBS" sheetId="4" r:id="rId8"/>
    <sheet state="visible" name="MDMSMDS" sheetId="5" r:id="rId9"/>
    <sheet state="visible" name="B.Sc (Hons) Nursing" sheetId="6" r:id="rId10"/>
    <sheet state="visible" name="M.Sc. Nursing" sheetId="7" r:id="rId11"/>
  </sheets>
  <definedNames>
    <definedName hidden="1" localSheetId="0" name="_xlnm._FilterDatabase">'Form responses 1'!$A$1:$AE$197</definedName>
    <definedName hidden="1" localSheetId="1" name="_xlnm._FilterDatabase">Responses!$A$1:$AE$193</definedName>
    <definedName hidden="1" localSheetId="3" name="_xlnm._FilterDatabase">MBBS!$A$1:$AE$193</definedName>
    <definedName hidden="1" localSheetId="4" name="_xlnm._FilterDatabase">MDMSMDS!$A$1:$AE$193</definedName>
    <definedName hidden="1" localSheetId="5" name="_xlnm._FilterDatabase">'B.Sc (Hons) Nursing'!$A$1:$AE$193</definedName>
    <definedName hidden="1" localSheetId="6" name="_xlnm._FilterDatabase">'M.Sc. Nursing'!$A$1:$AE$193</definedName>
  </definedNames>
  <calcPr/>
</workbook>
</file>

<file path=xl/sharedStrings.xml><?xml version="1.0" encoding="utf-8"?>
<sst xmlns="http://schemas.openxmlformats.org/spreadsheetml/2006/main" count="4365" uniqueCount="2129">
  <si>
    <t>Total Number of Student</t>
  </si>
  <si>
    <t>Number of Students who will attend</t>
  </si>
  <si>
    <t>MBBS 2019</t>
  </si>
  <si>
    <t>MBBS 2020</t>
  </si>
  <si>
    <t>MD/MS/MDS 2023</t>
  </si>
  <si>
    <t>B.Sc (Hons) Nursing 2021</t>
  </si>
  <si>
    <t>M.Sc. Nursing 2023</t>
  </si>
  <si>
    <t>M.Sc. Nursing 2024</t>
  </si>
  <si>
    <t>Bus Drop Service</t>
  </si>
  <si>
    <t>No. of Passengers</t>
  </si>
  <si>
    <t>Drop at Kalyani Railway Station</t>
  </si>
  <si>
    <t>Drop at Kolkata Airport</t>
  </si>
  <si>
    <t>Timestamp</t>
  </si>
  <si>
    <t>Email address</t>
  </si>
  <si>
    <t>Full Name (in Block Letters)</t>
  </si>
  <si>
    <t>Roll Number / Enrollment ID</t>
  </si>
  <si>
    <t>Course</t>
  </si>
  <si>
    <t>Contact Number</t>
  </si>
  <si>
    <t>Email</t>
  </si>
  <si>
    <t>Attending Convocation</t>
  </si>
  <si>
    <t>Hobbies &amp; Personal Interests</t>
  </si>
  <si>
    <t>Sports &amp; Games / Notable Achievements</t>
  </si>
  <si>
    <t>Hometown</t>
  </si>
  <si>
    <t>Passport Size Photo Upload</t>
  </si>
  <si>
    <t>Family Photo Upload</t>
  </si>
  <si>
    <t>Father's Name</t>
  </si>
  <si>
    <t>Father's Occupation / Designation &amp; Affiliation</t>
  </si>
  <si>
    <t>Father's City / Place of Residence</t>
  </si>
  <si>
    <t>Father's Contact Number</t>
  </si>
  <si>
    <t>Mother's Name</t>
  </si>
  <si>
    <r>
      <rPr>
        <rFont val="Arial"/>
        <b/>
        <color theme="1"/>
      </rPr>
      <t>Mother's</t>
    </r>
    <r>
      <rPr>
        <rFont val="Arial"/>
        <color theme="1"/>
      </rPr>
      <t xml:space="preserve"> </t>
    </r>
    <r>
      <rPr>
        <rFont val="Arial"/>
        <b/>
        <color theme="1"/>
      </rPr>
      <t>Occupation / Designation &amp; Affiliation</t>
    </r>
  </si>
  <si>
    <r>
      <rPr>
        <rFont val="Arial"/>
        <b/>
        <color theme="1"/>
      </rPr>
      <t>Mother's</t>
    </r>
    <r>
      <rPr>
        <rFont val="Arial"/>
        <color theme="1"/>
      </rPr>
      <t xml:space="preserve"> </t>
    </r>
    <r>
      <rPr>
        <rFont val="Arial"/>
        <b/>
        <color theme="1"/>
      </rPr>
      <t>City / Place of Residence</t>
    </r>
  </si>
  <si>
    <r>
      <rPr>
        <rFont val="Arial"/>
        <b/>
        <color theme="1"/>
      </rPr>
      <t>Mother's</t>
    </r>
    <r>
      <rPr>
        <rFont val="Arial"/>
        <color theme="1"/>
      </rPr>
      <t xml:space="preserve"> </t>
    </r>
    <r>
      <rPr>
        <rFont val="Arial"/>
        <b/>
        <color theme="1"/>
      </rPr>
      <t>Occupation / Designation &amp; Affiliation</t>
    </r>
  </si>
  <si>
    <r>
      <rPr>
        <rFont val="Arial"/>
        <b/>
        <color theme="1"/>
      </rPr>
      <t>Mother's</t>
    </r>
    <r>
      <rPr>
        <rFont val="Arial"/>
        <color theme="1"/>
      </rPr>
      <t xml:space="preserve"> </t>
    </r>
    <r>
      <rPr>
        <rFont val="Arial"/>
        <b/>
        <color theme="1"/>
      </rPr>
      <t>Contact Number</t>
    </r>
  </si>
  <si>
    <r>
      <rPr>
        <rFont val="Arial"/>
        <b/>
        <color theme="1"/>
      </rPr>
      <t>Mother's</t>
    </r>
    <r>
      <rPr>
        <rFont val="Arial"/>
        <color theme="1"/>
      </rPr>
      <t xml:space="preserve"> </t>
    </r>
    <r>
      <rPr>
        <rFont val="Arial"/>
        <b/>
        <color theme="1"/>
      </rPr>
      <t>City / Place of Residence</t>
    </r>
  </si>
  <si>
    <t>Number of Accompanying Guests</t>
  </si>
  <si>
    <r>
      <rPr>
        <rFont val="Arial"/>
        <b/>
        <color theme="1"/>
      </rPr>
      <t>Mother's</t>
    </r>
    <r>
      <rPr>
        <rFont val="Arial"/>
        <color theme="1"/>
      </rPr>
      <t xml:space="preserve"> </t>
    </r>
    <r>
      <rPr>
        <rFont val="Arial"/>
        <b/>
        <color theme="1"/>
      </rPr>
      <t>Contact Number</t>
    </r>
  </si>
  <si>
    <t>Guest 1 Full Name</t>
  </si>
  <si>
    <r>
      <rPr>
        <rFont val="Arial"/>
        <b/>
        <color theme="1"/>
      </rPr>
      <t>Mother's</t>
    </r>
    <r>
      <rPr>
        <rFont val="Arial"/>
        <color theme="1"/>
      </rPr>
      <t xml:space="preserve"> </t>
    </r>
    <r>
      <rPr>
        <rFont val="Arial"/>
        <b/>
        <color theme="1"/>
      </rPr>
      <t>Occupation / Designation &amp; Affiliation</t>
    </r>
  </si>
  <si>
    <t>Relation with the Student</t>
  </si>
  <si>
    <r>
      <rPr>
        <rFont val="Arial"/>
        <b/>
        <color theme="1"/>
      </rPr>
      <t>Mother's</t>
    </r>
    <r>
      <rPr>
        <rFont val="Arial"/>
        <color theme="1"/>
      </rPr>
      <t xml:space="preserve"> </t>
    </r>
    <r>
      <rPr>
        <rFont val="Arial"/>
        <b/>
        <color theme="1"/>
      </rPr>
      <t>City / Place of Residence</t>
    </r>
  </si>
  <si>
    <t>Guest 2 Full Name</t>
  </si>
  <si>
    <t>Relation with the Student 2</t>
  </si>
  <si>
    <r>
      <rPr>
        <rFont val="Arial"/>
        <b/>
        <color theme="1"/>
      </rPr>
      <t>Mother's</t>
    </r>
    <r>
      <rPr>
        <rFont val="Arial"/>
        <color theme="1"/>
      </rPr>
      <t xml:space="preserve"> </t>
    </r>
    <r>
      <rPr>
        <rFont val="Arial"/>
        <b/>
        <color theme="1"/>
      </rPr>
      <t>Contact Number</t>
    </r>
  </si>
  <si>
    <t>Student Meal/Food Preference</t>
  </si>
  <si>
    <t>Guest 1 Meal/Food Preference</t>
  </si>
  <si>
    <t>Guest 2 Meal/Food Preference</t>
  </si>
  <si>
    <t>Bus Drop Service Required on 15.09.2026 at 8:00 PM?</t>
  </si>
  <si>
    <t>Number of Passengers for Bus Service</t>
  </si>
  <si>
    <t>aryalekshmi.micro_pgt23@aiimskalyani.edu.in</t>
  </si>
  <si>
    <t>Dr. ARYALEKSHMI.  P</t>
  </si>
  <si>
    <t>draryalekshmi.p2020@gmail.com</t>
  </si>
  <si>
    <t>Yes</t>
  </si>
  <si>
    <t>Thiruvananthapuram</t>
  </si>
  <si>
    <t>https://drive.google.com/open?id=1Ve3rgelDyUKPtFnAdnGfSgKUXegGOroA</t>
  </si>
  <si>
    <t>https://drive.google.com/open?id=1hs75SNotCZp_qyhtSsg4KkQ1TyUXiwzD</t>
  </si>
  <si>
    <t xml:space="preserve">K.R. Praveen Kumar </t>
  </si>
  <si>
    <t xml:space="preserve"> Business</t>
  </si>
  <si>
    <t xml:space="preserve">Thiruvananthapuram </t>
  </si>
  <si>
    <t>S. Padmakumari Amma</t>
  </si>
  <si>
    <t xml:space="preserve">Business </t>
  </si>
  <si>
    <t xml:space="preserve">Dr. Kannan. V. B </t>
  </si>
  <si>
    <t xml:space="preserve">Husband </t>
  </si>
  <si>
    <t>Arjun. V. B</t>
  </si>
  <si>
    <t xml:space="preserve">Brother </t>
  </si>
  <si>
    <t>Non-Veg</t>
  </si>
  <si>
    <t>Bus Drop Service not needed</t>
  </si>
  <si>
    <t>tutul.9711@gmail.com</t>
  </si>
  <si>
    <t>ARUNDHATI MUKHERJEE</t>
  </si>
  <si>
    <t>Drawing/Painting, Singing, Writing and Reading</t>
  </si>
  <si>
    <t xml:space="preserve">ACHIEVEMENTS -
·   PAPERS PRESENTED
o   Presented at Late Brig. Prof. G.S. Gopal Award for Best Post-Graduate Research Paper at SEOCON 2025.
o   Presented at the Resident Paper Award at NESCON 2025.
o   Presented at the Dr. Sandra Nisha D’Souza PG Award paper and the Dr. Anoop Raj and Dr. S.L. Chopra E-poster competitions at the 76th AOICON 2025 held at Kochi, Kerala.
o   Presented at Major KK Ghosh PGT paper presentation and E-poster presentation competitions at 52nd AOIWB 2025 held at Haldia, West Bengal.
o   Presented at Major KK Ghosh PGT paper presentation at 51st AOIWB, 2024 held at Kolkata.
·    AWARDS AND ACCOLADES
o   Participated at the 18th Dr. SM Sen and Dr. Tarun Palit Temporal Bone Dissection Competition by AOIWB, in March 2026 held at Kolkata.
o   Winner of RHINOAESTHETICON 2025, Quiz held at AIIMS Kalyani in November, 2025.
o   Winner of Late Brig. Prof. G.S. Gopal Award for Best Post-Graduate Research Paper at SEOCON 2025, held at Pune, Maharashtra.
o   Winner of SEOCON 2025 ENT quiz, held at Pune, Maharashtra.
o   Winner of NESCON 2025 Quiz competition.
o   2nd runner up in Resident Paper Award at NESCON 2025.
o   Winner of the Prof SN Choudhury and Dr. P Chatterjee, 52nd AOIWB ENT quiz 2025 held at Haldia, West Bengal.
o   Participated at the Rhinology quiz and the Dr. Prem Kakkar ENT quiz held at the 76th AOICON 2025 held at Kochi, Kerala.
o   Participated at the 17th Dr. SM Sen and Dr. Tarun Palit Temporal Bone Dissection Competition by AOIWB, in April 2025 held at Kolkata.
o   Participated at the Prof SN Choudhury and Dr. P Chatterjee, 51st AOIWBCON ENT quiz 2024 at Kolkata, West Bengal
.    COMPETITIVE EXAMS: Achieved AML Rank 11 in INI-SS July, 2026 exams. Currently pursuing MCh Plastic Surgery and Reconstructive Surgery at AIIMS Raipur.
·  ACADEMIC ACHIEVEMENTS AND AWARDS
o   Honors in MBBS in the subjects of Biochemistry, Pathology, Pharmacology, Forensic Medicine and Technology, Otorhinolaryngology, Ophthalmology, Community and Family Medicine, General Medicine, General Surgery and Paediatric Medicine and Neonatology.
o   Obtained highest marks and gold medals in MBBS in the subjects of Forensic Medicine and Technology, Otorhinolaryngology, Ophthalmology, Community and Family Medicine, General Medicine, General Surgery and Paediatric Medicine and Neonatology.
o   University topper in Paediatric medicine and Neonatology in MBBS.
o  Scored 75% in post-graduate exit exam for MS Otorhinolaryngology from AIIMS Kalyani
</t>
  </si>
  <si>
    <t>Kolkata</t>
  </si>
  <si>
    <t>https://drive.google.com/open?id=1_j5e_JX1--W1J-lrq1oLNLFeWOWMawCh</t>
  </si>
  <si>
    <t>https://drive.google.com/open?id=1uY7TeX8m5oAoS51y5th6r-EeTDoPFDvM</t>
  </si>
  <si>
    <t>SAUBHIK MUKHERJEE</t>
  </si>
  <si>
    <t>RETIRED</t>
  </si>
  <si>
    <t>KOLKATA, WEST BENGAL</t>
  </si>
  <si>
    <t>BAISHAKHI MUKHERJEE</t>
  </si>
  <si>
    <t>HOMEMAKER</t>
  </si>
  <si>
    <t>FATHER</t>
  </si>
  <si>
    <t>MOTHER</t>
  </si>
  <si>
    <t>shivani.mbbs-2020@aiimskalyani.edu.in</t>
  </si>
  <si>
    <t>SHIVANI KUMARI</t>
  </si>
  <si>
    <t xml:space="preserve">Listening to music </t>
  </si>
  <si>
    <t>Patna</t>
  </si>
  <si>
    <t>https://drive.google.com/open?id=1RfJBGbLf99R16v5n9J2VAwbNPAdqNGMh</t>
  </si>
  <si>
    <t>https://drive.google.com/open?id=1STTeHRjW4WNongEoGig9psCiKAfLb4Xu</t>
  </si>
  <si>
    <t xml:space="preserve">Santosh Kumar </t>
  </si>
  <si>
    <t>Business man</t>
  </si>
  <si>
    <t xml:space="preserve">Ruby Kumari </t>
  </si>
  <si>
    <t>Housemaker</t>
  </si>
  <si>
    <t>Father</t>
  </si>
  <si>
    <t>Ruby kumari</t>
  </si>
  <si>
    <t>Mother</t>
  </si>
  <si>
    <t>Veg</t>
  </si>
  <si>
    <t>aman2.mbbs-2020@aiimskalyani.edu.in</t>
  </si>
  <si>
    <t>AMAN KUMAR</t>
  </si>
  <si>
    <t>Making connections with people, making memes, organising events.</t>
  </si>
  <si>
    <t>Worked as Cultural Representative for 1 year.</t>
  </si>
  <si>
    <t>Samastipur</t>
  </si>
  <si>
    <t>https://drive.google.com/open?id=1suZL-X0BxCLmYfcwzUijOzMezxZEVbSW</t>
  </si>
  <si>
    <t>https://drive.google.com/open?id=1ReqtzHanLhryyFBG63TCBQgMGflMz5Pd</t>
  </si>
  <si>
    <t>Ajay Kumar Yadav</t>
  </si>
  <si>
    <t>Lawyer</t>
  </si>
  <si>
    <t>Samastipur, Bihar</t>
  </si>
  <si>
    <t>Poonam Devi</t>
  </si>
  <si>
    <t>Homemaker</t>
  </si>
  <si>
    <t>Samastipur,Bihar</t>
  </si>
  <si>
    <t>tanishabiswas2412@gmail.com</t>
  </si>
  <si>
    <t>TANISHA BISWAS</t>
  </si>
  <si>
    <t>I enjoy working out and staying active, with a particular interest in strength training and fitness. I also like cooking and art.</t>
  </si>
  <si>
    <t>I do like to play badminton (won badminton doubles in the college annual sports )</t>
  </si>
  <si>
    <t>Krishnanagar, Nadia</t>
  </si>
  <si>
    <t>https://drive.google.com/open?id=1NCOOa_8VmPy1X5FhFx0U4oSo3SKqIgY8</t>
  </si>
  <si>
    <t>https://drive.google.com/open?id=17i92BzKwyN2k5VhycQ5DI3h-7HMpDCX2</t>
  </si>
  <si>
    <t>TAPAN KUMAR BISWAS</t>
  </si>
  <si>
    <t xml:space="preserve">Govt. Services ( Income Tax Office Superintendent ) </t>
  </si>
  <si>
    <t xml:space="preserve">SUPRIYA BISWAS </t>
  </si>
  <si>
    <t>Home maker</t>
  </si>
  <si>
    <t xml:space="preserve">Krishnanagar </t>
  </si>
  <si>
    <t>sandeepp.mbbs-2020@aiimskalyani.edu.in</t>
  </si>
  <si>
    <t xml:space="preserve">SANDEEP KUMAR PATRO </t>
  </si>
  <si>
    <t xml:space="preserve">Swimming </t>
  </si>
  <si>
    <t xml:space="preserve">Nothing </t>
  </si>
  <si>
    <t xml:space="preserve">Bhubaneswar </t>
  </si>
  <si>
    <t>https://drive.google.com/open?id=1eN9KhEi0TCm-OcRLJmS5rKVoLJwRf1mI</t>
  </si>
  <si>
    <t>https://drive.google.com/open?id=1Ri09OkjQVrb-B_-sNHrLb7K3aF2Lqv5V</t>
  </si>
  <si>
    <t>Rabindra Nath Patro</t>
  </si>
  <si>
    <t xml:space="preserve">Pharmacist </t>
  </si>
  <si>
    <t>Sarita Patro</t>
  </si>
  <si>
    <t xml:space="preserve">Housewife </t>
  </si>
  <si>
    <t xml:space="preserve">Rabindra Nath Patro </t>
  </si>
  <si>
    <t xml:space="preserve">Sarita Patro </t>
  </si>
  <si>
    <t xml:space="preserve">Mother </t>
  </si>
  <si>
    <t>kaki.mbbs-2020@aiimskalyani.edu.in</t>
  </si>
  <si>
    <t xml:space="preserve">Kaki Jessica Pal </t>
  </si>
  <si>
    <t>55/ 202001105</t>
  </si>
  <si>
    <t xml:space="preserve">Hyderabad, Telangana </t>
  </si>
  <si>
    <t>https://drive.google.com/open?id=1h4VpzyKvgyDNNcYVeW6ly6tOWqJOXtMs</t>
  </si>
  <si>
    <t>https://drive.google.com/open?id=1RcZNsQ-1elCc1ADBnjl4hCbodpnOgm9-</t>
  </si>
  <si>
    <t>Kaki V Jayapal Babu</t>
  </si>
  <si>
    <t>DGM, CSD department, ECIL, Hyderabad.</t>
  </si>
  <si>
    <t xml:space="preserve">Hyderabad </t>
  </si>
  <si>
    <t>N Yesumanimma</t>
  </si>
  <si>
    <t>Senior Assistant, Smt. Durgabai Deshmukh Government Women's Technical Training Institute of technology and science, Hyderabad</t>
  </si>
  <si>
    <t xml:space="preserve">Father </t>
  </si>
  <si>
    <t>pritharoy426@gmail.com</t>
  </si>
  <si>
    <t>PRITHA ROY</t>
  </si>
  <si>
    <t>pritha1405@gmail.com</t>
  </si>
  <si>
    <t>Doodling,Crafting,Gardening,Digital Video Editing</t>
  </si>
  <si>
    <t xml:space="preserve">Scouts and Guide Certified and Crafting Certificate and Organisation Certificate </t>
  </si>
  <si>
    <t>https://drive.google.com/open?id=1YRRwubDBrdrwOYwpaBVXTz6uwcv90LO-</t>
  </si>
  <si>
    <t>https://drive.google.com/open?id=1Tt51dZ7qtQV2avZFs44rQOLmeiBAiqLl</t>
  </si>
  <si>
    <t>Mr. Dipak Kumar Roy</t>
  </si>
  <si>
    <t xml:space="preserve">Retired Optometrist </t>
  </si>
  <si>
    <t>Mrs. Soma Roy</t>
  </si>
  <si>
    <t>Staff Nurse</t>
  </si>
  <si>
    <t xml:space="preserve">Kolkata </t>
  </si>
  <si>
    <t>anirudh.mbbs-2020@aiimskalyani.edu.in</t>
  </si>
  <si>
    <t>ANIRUDH GUPTA</t>
  </si>
  <si>
    <t>17 / 20200167</t>
  </si>
  <si>
    <t xml:space="preserve">I like travelling, aviation and watching sitcoms.  </t>
  </si>
  <si>
    <t>- Joint organising secretary of "Elyssia" 1.0
- Editor-in-chief of "Samhita" 2.0</t>
  </si>
  <si>
    <t>Chandigarh</t>
  </si>
  <si>
    <t>https://drive.google.com/open?id=1PSXf2zicyWI65fLmGUfogSav7KQ6IW7Y</t>
  </si>
  <si>
    <t>https://drive.google.com/open?id=1nSrmZabl9dLEuU_jVo6OP4hFGyxYvmcW</t>
  </si>
  <si>
    <t>Dr. Vivek Gupta</t>
  </si>
  <si>
    <t>Additional Director
Interventional Neuroradiology
Fortis Hospital Mohali
Punjab</t>
  </si>
  <si>
    <t>Dr. Madhu Gupta</t>
  </si>
  <si>
    <t>Professor
Department of Community Medicine and School of Public Health 
PGIMER, Chandigarh</t>
  </si>
  <si>
    <t>sandeep.mbbs-2020@aiimskalyani.edu.in</t>
  </si>
  <si>
    <t>SANDEEP KUMAR</t>
  </si>
  <si>
    <t>Sports,Watching movies,Singing and many other.</t>
  </si>
  <si>
    <r>
      <rPr>
        <rFont val="Arial"/>
        <b/>
        <color theme="1"/>
      </rPr>
      <t>Mother's</t>
    </r>
    <r>
      <rPr>
        <rFont val="Arial"/>
        <color theme="1"/>
      </rPr>
      <t xml:space="preserve"> </t>
    </r>
    <r>
      <rPr>
        <rFont val="Arial"/>
        <b/>
        <color theme="1"/>
      </rPr>
      <t>Occupation / Designation &amp; Affiliation</t>
    </r>
  </si>
  <si>
    <t>Gully cricket</t>
  </si>
  <si>
    <r>
      <rPr>
        <rFont val="Arial"/>
        <b/>
        <color theme="1"/>
      </rPr>
      <t>Mother's</t>
    </r>
    <r>
      <rPr>
        <rFont val="Arial"/>
        <color theme="1"/>
      </rPr>
      <t xml:space="preserve"> </t>
    </r>
    <r>
      <rPr>
        <rFont val="Arial"/>
        <b/>
        <color theme="1"/>
      </rPr>
      <t>City / Place of Residence</t>
    </r>
  </si>
  <si>
    <t>Jehanabad</t>
  </si>
  <si>
    <t>https://drive.google.com/open?id=1kqkAzE1eOmrtdmrzRw8esKmszv6pTXiS</t>
  </si>
  <si>
    <r>
      <rPr>
        <rFont val="Arial"/>
        <b/>
        <color theme="1"/>
      </rPr>
      <t>Mother's</t>
    </r>
    <r>
      <rPr>
        <rFont val="Arial"/>
        <color theme="1"/>
      </rPr>
      <t xml:space="preserve"> </t>
    </r>
    <r>
      <rPr>
        <rFont val="Arial"/>
        <b/>
        <color theme="1"/>
      </rPr>
      <t>Contact Number</t>
    </r>
  </si>
  <si>
    <t>https://drive.google.com/open?id=1Bt6RqjcZymSOtepnin9GtCneOooOhk1b</t>
  </si>
  <si>
    <t>Shree Upendra prasad</t>
  </si>
  <si>
    <t>Farmer</t>
  </si>
  <si>
    <t>Shreemati Neelam Kumari</t>
  </si>
  <si>
    <t>Auxiliary Nurse Midwife</t>
  </si>
  <si>
    <t>Shree Upendra Prasad</t>
  </si>
  <si>
    <t>Shreemati Neelam kumari</t>
  </si>
  <si>
    <t>megha.bscnursing-2021@aiimskalyani.edu.in</t>
  </si>
  <si>
    <t xml:space="preserve">MEGHA MAITI </t>
  </si>
  <si>
    <t>meghamaiti288@gmail.com</t>
  </si>
  <si>
    <t xml:space="preserve">Drawing </t>
  </si>
  <si>
    <t>NA</t>
  </si>
  <si>
    <t xml:space="preserve">Dakshin Mechogram, Panskura, Purba Medinipur </t>
  </si>
  <si>
    <t>https://drive.google.com/open?id=1yx_mTJmpBlS7Ehjr2FkvxGn7j9Nj2wg3</t>
  </si>
  <si>
    <t>https://drive.google.com/open?id=1r05u7kaR07v-0XzX50YXDcEiRVbJywIM</t>
  </si>
  <si>
    <t>NITAI CHARAN MAITI</t>
  </si>
  <si>
    <t xml:space="preserve">Retired Bank employee </t>
  </si>
  <si>
    <t>LATE NABANITA MAITI</t>
  </si>
  <si>
    <t>SUSAMA GHORAI</t>
  </si>
  <si>
    <t>Sister</t>
  </si>
  <si>
    <t>SOURYA MAITI</t>
  </si>
  <si>
    <t>mukherjeeadrita8@gmail.com</t>
  </si>
  <si>
    <t xml:space="preserve">ADRITA MUKHERJEE </t>
  </si>
  <si>
    <t xml:space="preserve">Midnapore </t>
  </si>
  <si>
    <t>https://drive.google.com/open?id=1gZ6v76lU3CFE6kKfseufO2_k_gc7KcL8</t>
  </si>
  <si>
    <t>https://drive.google.com/open?id=1DFJGA8riZ87Ou3GVZQWgBDMuQAqU9SFj</t>
  </si>
  <si>
    <t xml:space="preserve">ANIRBAN MUKHERJEE </t>
  </si>
  <si>
    <t xml:space="preserve">Senior Technician Incharge signal department Railway employee kgp junction </t>
  </si>
  <si>
    <t xml:space="preserve">MAHUA MUKHERJEE </t>
  </si>
  <si>
    <t xml:space="preserve">HOUSEWIFE </t>
  </si>
  <si>
    <t xml:space="preserve">MIDNAPORE </t>
  </si>
  <si>
    <t>souvik.patho_pgt23@aiimskalyani.edu.in</t>
  </si>
  <si>
    <t>SOUVIK BHATTACHARYA</t>
  </si>
  <si>
    <t>svkbhttchr@live.in</t>
  </si>
  <si>
    <t>Gardening</t>
  </si>
  <si>
    <t>https://drive.google.com/open?id=1hExh2JwuT6TMN4Mg4IBFwmLaqAZa85G0</t>
  </si>
  <si>
    <t>https://drive.google.com/open?id=1u_rmdsZQkqSLw89Wr3hh4895kQxU6rCH</t>
  </si>
  <si>
    <t>Saswata Bhattacharyya</t>
  </si>
  <si>
    <t>Doctor</t>
  </si>
  <si>
    <t>Sanghamitra Bhattacharya</t>
  </si>
  <si>
    <t>Teacher</t>
  </si>
  <si>
    <t xml:space="preserve">Saswata Bhattacharyya </t>
  </si>
  <si>
    <t xml:space="preserve">Sanghamitra Bhattacharya </t>
  </si>
  <si>
    <t>soumya.mbbs-2020@aiimskalyani.edu.in</t>
  </si>
  <si>
    <t xml:space="preserve">SOUMYA PARIDA </t>
  </si>
  <si>
    <t>paridasoumya1@gmail.com</t>
  </si>
  <si>
    <t xml:space="preserve">Kendrapada , Odisha </t>
  </si>
  <si>
    <t>https://drive.google.com/open?id=1zTOBxVNCXt22Rwj7Pl1gpjJkQa8kWMSn</t>
  </si>
  <si>
    <t>https://drive.google.com/open?id=1UJUiJTyL0PYyi87H4TV5zhX-DzbNR0lw</t>
  </si>
  <si>
    <t xml:space="preserve">Pravat Kumar Parida </t>
  </si>
  <si>
    <t>Physics lecture</t>
  </si>
  <si>
    <t xml:space="preserve">Kendrapada, Odisha </t>
  </si>
  <si>
    <t xml:space="preserve">Bandita Routray </t>
  </si>
  <si>
    <t xml:space="preserve">Teacher </t>
  </si>
  <si>
    <t xml:space="preserve">Shraddha saraswati Parida </t>
  </si>
  <si>
    <t xml:space="preserve">Sister </t>
  </si>
  <si>
    <t>aditi.bscnursing-2021@aiimskalyani.edu.in</t>
  </si>
  <si>
    <t xml:space="preserve">ADITI MANDAL </t>
  </si>
  <si>
    <t>aditimandal0328@gmail.com</t>
  </si>
  <si>
    <t xml:space="preserve">Painting </t>
  </si>
  <si>
    <t xml:space="preserve">Purba Barddhaman, West Bengal </t>
  </si>
  <si>
    <t>https://drive.google.com/open?id=1jTIq7YFhMjFF20qzi_laHszNnwT09IJ5</t>
  </si>
  <si>
    <t>https://drive.google.com/open?id=1jY1Pfr68oNoCTqmnwGvgYXorqJPrNTfD</t>
  </si>
  <si>
    <t xml:space="preserve">Sakti Pada Mandal </t>
  </si>
  <si>
    <t xml:space="preserve">Ex service man </t>
  </si>
  <si>
    <t xml:space="preserve">Purba Barddhaman </t>
  </si>
  <si>
    <t>Shyamali Mandal</t>
  </si>
  <si>
    <t>prasu1999cmc@gmail.com</t>
  </si>
  <si>
    <t>PRASANJIT DAS</t>
  </si>
  <si>
    <t>docprasanjitdas@gmail.com</t>
  </si>
  <si>
    <t xml:space="preserve">Online educator, Researcher, Poet and Quiz master </t>
  </si>
  <si>
    <t>ICTD QUIZ COORDINATOR FOR AIIMS UG STUDENTS FOR TWO CONSECUTIVE YEARS, AUTHOR OF COLLECTION OF POEMS NAMED WINGS OF IMAGINATION PART 1,2 and 3, T-SHIRT BRAND OWNER, CREATOR</t>
  </si>
  <si>
    <t>PORT BLAIR</t>
  </si>
  <si>
    <t>https://drive.google.com/open?id=1SWuwHRxyno1L65hUqbVUCARa8kB9WwfS</t>
  </si>
  <si>
    <t>https://drive.google.com/open?id=1eN3XM3FDAfnjuzltq2F02E95vygNgK8o</t>
  </si>
  <si>
    <t>PRASANTA KUMAR DAS</t>
  </si>
  <si>
    <t>GOVERNMENT SERVANT ASSISTANT INCHARGE</t>
  </si>
  <si>
    <t>TAPASI RANI DAS</t>
  </si>
  <si>
    <t>RETIRED GOVERNMENT SERVANT</t>
  </si>
  <si>
    <t>chayanika.bscnursing-2021@aiimskalyani.edu.in</t>
  </si>
  <si>
    <t xml:space="preserve">CHAYANIKA BHATTACHARYYA </t>
  </si>
  <si>
    <t>chayanikabhattacharyya4948@gmail.com</t>
  </si>
  <si>
    <t>I am an avid listener of audio stories, enjoy expressing my thoughts through poetry, and love dancing occasionally.</t>
  </si>
  <si>
    <t xml:space="preserve">Nothing as such </t>
  </si>
  <si>
    <t xml:space="preserve">Sodepur </t>
  </si>
  <si>
    <t>https://drive.google.com/open?id=1LwqSTi2fSQe0ScwNC2r5BtXOsq_ISJ1o</t>
  </si>
  <si>
    <t>https://drive.google.com/open?id=1t8EZibcMxmHBFmMnZsEeQLKarEkZlhfi</t>
  </si>
  <si>
    <t>Biswajit Bhattacharyya</t>
  </si>
  <si>
    <t xml:space="preserve">Government service, Assistant Secretary, department of Public Health Engineering( PHE) , West Bengal government </t>
  </si>
  <si>
    <t xml:space="preserve">Aparna Bhattacharyya </t>
  </si>
  <si>
    <t xml:space="preserve">Government service, police in Department of Disaster Management and Civil Defence , West Bengal government </t>
  </si>
  <si>
    <t xml:space="preserve">Aparna bhattacharyya </t>
  </si>
  <si>
    <t>Kosturi singha roy</t>
  </si>
  <si>
    <t xml:space="preserve">Aunt </t>
  </si>
  <si>
    <t>shabnam.bscnursing-2021@aiimskalyani.edu.in</t>
  </si>
  <si>
    <t>SHABNAM PARVIN</t>
  </si>
  <si>
    <t>parvinshabnam2002@gmail.com</t>
  </si>
  <si>
    <t xml:space="preserve">Story reading </t>
  </si>
  <si>
    <t xml:space="preserve">No </t>
  </si>
  <si>
    <t xml:space="preserve">Bharatpur </t>
  </si>
  <si>
    <t>https://drive.google.com/open?id=1bo6OujeREw0L8EjGlISNIBR_OR-ZWkZg</t>
  </si>
  <si>
    <t>https://drive.google.com/open?id=1tb-MIGQ5GOylf6dZBWRVO2WA8GCWKCDi</t>
  </si>
  <si>
    <t>IDRISH ALI</t>
  </si>
  <si>
    <t xml:space="preserve">Retired headmaster </t>
  </si>
  <si>
    <t>JESMINNHAR BEGUM</t>
  </si>
  <si>
    <t>NURSE</t>
  </si>
  <si>
    <t>ghoshankita9732@gmail.com</t>
  </si>
  <si>
    <t xml:space="preserve">ANKITA GHOSH </t>
  </si>
  <si>
    <t xml:space="preserve">Howrah </t>
  </si>
  <si>
    <t>https://drive.google.com/open?id=12mVENRztApFqkfMj-N-EbI99DcOAnjQI</t>
  </si>
  <si>
    <t>https://drive.google.com/open?id=1sN-R1iU5tJvTKcjxNc8GxGMrBfPDcM1S</t>
  </si>
  <si>
    <t xml:space="preserve">Amit Ghosh </t>
  </si>
  <si>
    <t xml:space="preserve">Law clerk </t>
  </si>
  <si>
    <t xml:space="preserve">Krishna Ghosh </t>
  </si>
  <si>
    <t xml:space="preserve">House wife </t>
  </si>
  <si>
    <t>harukinanase1999@gmail.com</t>
  </si>
  <si>
    <t>Shreyasi Hati</t>
  </si>
  <si>
    <t xml:space="preserve">Singing, Dancing, and writing stories.  </t>
  </si>
  <si>
    <t xml:space="preserve">Sports- District level kabaddi and shot put player.
Cultural - State level extempore and recitation winner, District level declamation winner 2024 in YPC. Various winning positions held in solo classical dance, drama, singing, literary hunt, quiz, debate, extempore, poem writing, slogan writing in inter house competitions during 4 years of college journey.
Notable Achievements:- Traditionally published international novelist. Total books and anthology published - 6+. Books have been published in 133 countries including UK, USA, Canada, Japan, Australia and India through Ukiyoto Publishing India( An indian branch of Ukiyoto Japan) and featured in Amazon, Flipkart, Kobo Japan, Google books, Walmart etc.
Awards &amp; Honors:-
Rising Star Award – 2020
Twisted Awards – 2020
Special Mention, Marine Awards (Short Story Category) – 2021
Women Icon Award – 2024
Golden Heritage Award – 2024 (Blue Star Publication)
The Leading Attainers Award – “The Budding Author of the Year” – JEC Publications
7th Place, National Poetry Contest by S7
Rabindranath Tagore Hall of Fame Award – Welred Foundation
International Recognition:- Invited Author, International Writers Assembly – Beijing, China (2025)
Professional Affiliations:- Exclusive Author, A&amp;D Entertainment Company (Webnovel Contract)
</t>
  </si>
  <si>
    <t xml:space="preserve">Jamuria, Asansol </t>
  </si>
  <si>
    <t>https://drive.google.com/open?id=15VzPSTgmPpWXI6z2gRrbuOfp-S0xeTX8</t>
  </si>
  <si>
    <t>https://drive.google.com/open?id=1kV_ewUUdJaWU4DsSMykLEI-oa4NRfwnQ</t>
  </si>
  <si>
    <t>Subrata Hati</t>
  </si>
  <si>
    <t>Gov. High School Teacher/ Assistant teacher in Birkulti N.G.M High School</t>
  </si>
  <si>
    <t>Jamuria, Asansol</t>
  </si>
  <si>
    <t>Ivi Hati</t>
  </si>
  <si>
    <t xml:space="preserve">Subrata Hati </t>
  </si>
  <si>
    <t>suchismitatikadar06@gmail.com</t>
  </si>
  <si>
    <t xml:space="preserve">SUCHISMITA TIKADAR </t>
  </si>
  <si>
    <t xml:space="preserve">CR in 4th year </t>
  </si>
  <si>
    <t xml:space="preserve">Barrackpore </t>
  </si>
  <si>
    <t>https://drive.google.com/open?id=1in8EqddpfEgt0T8H8C9u4-s47ybeLQym</t>
  </si>
  <si>
    <t>https://drive.google.com/open?id=1PfFNHgJaZ24VQtrXvxJkCNPtDZdprTPV</t>
  </si>
  <si>
    <t xml:space="preserve">Ramesh Chandra Tikadar </t>
  </si>
  <si>
    <t>Retired Railway Employee</t>
  </si>
  <si>
    <t xml:space="preserve">Sima Tikadar </t>
  </si>
  <si>
    <t>amrit.mbbs-2020@aiimskalyani.edu.in</t>
  </si>
  <si>
    <t>AMRIT RAJ ANAND</t>
  </si>
  <si>
    <t>amritrajanand51054@gmail.com</t>
  </si>
  <si>
    <t>Football and Music</t>
  </si>
  <si>
    <t>Chhapra</t>
  </si>
  <si>
    <t>https://drive.google.com/open?id=1ebUTdcQyNy1kHGDWLP7si5Lr08i6dGfS</t>
  </si>
  <si>
    <t>https://drive.google.com/open?id=1_LznKduDz5f4pghoIv7j-MlwomF_NOaA</t>
  </si>
  <si>
    <t xml:space="preserve">CHANDAN SHARMA </t>
  </si>
  <si>
    <t>FARMER</t>
  </si>
  <si>
    <t>CHHAPRA</t>
  </si>
  <si>
    <t>MANORMA SHARMA</t>
  </si>
  <si>
    <t>HOUSEWIFE</t>
  </si>
  <si>
    <t>RAM ANOOP SHRMA</t>
  </si>
  <si>
    <t>Grandfather</t>
  </si>
  <si>
    <t xml:space="preserve">Nirmal Sharma </t>
  </si>
  <si>
    <t xml:space="preserve">Uncle </t>
  </si>
  <si>
    <t>tuabanerjee1998@gmail.com</t>
  </si>
  <si>
    <t>SUKANYA BANERJEE</t>
  </si>
  <si>
    <t>Reading books</t>
  </si>
  <si>
    <t>Basirhat</t>
  </si>
  <si>
    <t>https://drive.google.com/open?id=18VpKBK02odLSuP_Vz9lZWXzo-g8-Ho2p</t>
  </si>
  <si>
    <t>https://drive.google.com/open?id=15YmVzTzAigXyrk6ABa9nTOXGTUBg4ydd</t>
  </si>
  <si>
    <t>TAPAS BANERJEE</t>
  </si>
  <si>
    <t>Retired Government Employee</t>
  </si>
  <si>
    <t>Barasat</t>
  </si>
  <si>
    <t>CHAITALI BANERJEE</t>
  </si>
  <si>
    <t>House Wife</t>
  </si>
  <si>
    <t>Tapas Banerjee</t>
  </si>
  <si>
    <t>Sreerup Banerjee</t>
  </si>
  <si>
    <t>Brother</t>
  </si>
  <si>
    <t>awantika.mbbs-2020@aiimskalyani.edu.in</t>
  </si>
  <si>
    <t xml:space="preserve">AWANTIKA JHA </t>
  </si>
  <si>
    <t xml:space="preserve"> Enrolment number: 20200181</t>
  </si>
  <si>
    <t xml:space="preserve">Poem writing, listening to music </t>
  </si>
  <si>
    <t>Durgapur</t>
  </si>
  <si>
    <t>https://drive.google.com/open?id=1swgdXG5ahfxdANZb31Jij9iuAiMrQ-GJ</t>
  </si>
  <si>
    <t>https://drive.google.com/open?id=1T6W7gCxCxiXRzLWClR30gfBGvOB7xvpI</t>
  </si>
  <si>
    <t xml:space="preserve">Vimalesh Kumar </t>
  </si>
  <si>
    <t>Deputy Accountant General/IAAS</t>
  </si>
  <si>
    <t xml:space="preserve">KOLKATA </t>
  </si>
  <si>
    <t xml:space="preserve">Guriya Kumari </t>
  </si>
  <si>
    <t xml:space="preserve">Durgapur </t>
  </si>
  <si>
    <t>Guriya Kumari</t>
  </si>
  <si>
    <t>aritpriyo.mbbs-2020@aiimskalyani.edu.in</t>
  </si>
  <si>
    <t xml:space="preserve">ARITPRIYO GHOSH </t>
  </si>
  <si>
    <t>rikghosh2015@gmail.com</t>
  </si>
  <si>
    <t xml:space="preserve">Kalyani </t>
  </si>
  <si>
    <t>https://drive.google.com/open?id=1_lO5SQB-zGnpvwJKVcDPzkTOs5OgzmxX</t>
  </si>
  <si>
    <t>https://drive.google.com/open?id=1lM_Pqa4APkRd4ud8x3cCNVqZaH20aqcU</t>
  </si>
  <si>
    <t>Rajib Ghosh</t>
  </si>
  <si>
    <t xml:space="preserve">Government service </t>
  </si>
  <si>
    <t>Madhumita Ghosh</t>
  </si>
  <si>
    <t>Kalyani</t>
  </si>
  <si>
    <t xml:space="preserve">Madhumita Ghosh </t>
  </si>
  <si>
    <t xml:space="preserve">Rajib Ghosh </t>
  </si>
  <si>
    <t>samina.bscnursing-2021@aiimskalyani.edu.in</t>
  </si>
  <si>
    <t xml:space="preserve">SAMINA YASMIN </t>
  </si>
  <si>
    <t>yasminsamina2312@gmail.com</t>
  </si>
  <si>
    <t xml:space="preserve">Travelling and exploring  new places 
Cooking  and listening  music 
</t>
  </si>
  <si>
    <t xml:space="preserve">Uttar Dinajpur </t>
  </si>
  <si>
    <t>https://drive.google.com/open?id=1ff7w9oWM0zZamED4L5zGFL1ShxRfELVm</t>
  </si>
  <si>
    <t>https://drive.google.com/open?id=15g0VUuS3eWOtYa4xYiE-49HMFJkGPJ_H</t>
  </si>
  <si>
    <t>MD.Islamuddin</t>
  </si>
  <si>
    <t>Servicemen ( Kolkata  police)</t>
  </si>
  <si>
    <t xml:space="preserve">Uttar  Dinajpur </t>
  </si>
  <si>
    <t>Manwara  Begam</t>
  </si>
  <si>
    <t>MD . Islamuddin</t>
  </si>
  <si>
    <t>mansi.singh2021@gmail.com</t>
  </si>
  <si>
    <t>DR MANSHI KUMARI</t>
  </si>
  <si>
    <t>Varanasi,Uttar Pradesh</t>
  </si>
  <si>
    <t>https://drive.google.com/open?id=1l5jAcXwoQ-cvT-9G8LAGLweeEyCOYRNI</t>
  </si>
  <si>
    <t>https://drive.google.com/open?id=1SefSF4GXvJgrmCLfFNmLeUBeigtkZDqN</t>
  </si>
  <si>
    <t>Mr Raj Kumar Singh</t>
  </si>
  <si>
    <t xml:space="preserve">Civil Engineer </t>
  </si>
  <si>
    <t>Aurangabad ,Bihar</t>
  </si>
  <si>
    <t>Geeta Singh</t>
  </si>
  <si>
    <t>Housewife</t>
  </si>
  <si>
    <t>Aurangabad,Bihar</t>
  </si>
  <si>
    <t>Mr. Raj Kumar Singh</t>
  </si>
  <si>
    <t>Dr Rishi Singh</t>
  </si>
  <si>
    <t>satyajit.mbbs-2020@aiimskalyani.edu.in</t>
  </si>
  <si>
    <t xml:space="preserve">SATYAJIT BEHERA </t>
  </si>
  <si>
    <t>86(202001136)</t>
  </si>
  <si>
    <t xml:space="preserve">Studying </t>
  </si>
  <si>
    <t xml:space="preserve">Bhadrak </t>
  </si>
  <si>
    <t>https://drive.google.com/open?id=1pTCiAxTmh72cd1ew5dqtKt5o63zF4DVl</t>
  </si>
  <si>
    <t>https://drive.google.com/open?id=18yGlpiRX8BvHeQapF545hc1x-tS2uJog</t>
  </si>
  <si>
    <t xml:space="preserve">Ramakanta Behera </t>
  </si>
  <si>
    <t xml:space="preserve">Farmer </t>
  </si>
  <si>
    <t xml:space="preserve">Minati Behera </t>
  </si>
  <si>
    <t xml:space="preserve">Sasmita Barik </t>
  </si>
  <si>
    <t xml:space="preserve">Kashinath Barik </t>
  </si>
  <si>
    <t>krishnas.mbbs-2020@aiimskalyani.edu.in</t>
  </si>
  <si>
    <t xml:space="preserve">KRISHNAS MAHI </t>
  </si>
  <si>
    <t>58/202001108</t>
  </si>
  <si>
    <t>krishnasmahi1@gmail.com</t>
  </si>
  <si>
    <t xml:space="preserve">Cooking &amp;Baking, makeup, painting </t>
  </si>
  <si>
    <t>No such</t>
  </si>
  <si>
    <t xml:space="preserve">Bhagalpur </t>
  </si>
  <si>
    <t>https://drive.google.com/open?id=1XTyHx4GbZQFlgWAkfnY_3DnqsZBqeupP</t>
  </si>
  <si>
    <t>https://drive.google.com/open?id=1P_X0YDbiCrcY9oVeF1sWkeovZYgKMExE</t>
  </si>
  <si>
    <t xml:space="preserve">Mr. Anupam Kumar Veena </t>
  </si>
  <si>
    <t xml:space="preserve">Businessman </t>
  </si>
  <si>
    <t xml:space="preserve">Mrs Pankhuri Verma </t>
  </si>
  <si>
    <t xml:space="preserve">Mr Anupam Kumar Verma </t>
  </si>
  <si>
    <t>riya.mbbs-2020@aiimskalyani.edu.in</t>
  </si>
  <si>
    <t>RIYA BEN</t>
  </si>
  <si>
    <t xml:space="preserve">I play musical instruments like Keyboard and do Classical Dance. </t>
  </si>
  <si>
    <t>Achievements in Clinical case presentations and Quiz competitions.</t>
  </si>
  <si>
    <t>Palakkad,Kerala</t>
  </si>
  <si>
    <t>https://drive.google.com/open?id=1fxh5-Uv1aPb30bXsySbDnRVK9Y3Kg_gX</t>
  </si>
  <si>
    <t>https://drive.google.com/open?id=1b2PmDTvfM0tx4EnfWQ5zBGcJFZ-e_yhI</t>
  </si>
  <si>
    <t>BEN</t>
  </si>
  <si>
    <t>Doctor[Consultant Radiologist] &amp; Owner[Ideal Diagnostics Centre]</t>
  </si>
  <si>
    <t>Madurai,Tamil Nadu</t>
  </si>
  <si>
    <t>RANI BEN</t>
  </si>
  <si>
    <t>Administrator [Ideal Diagnostics Centre]</t>
  </si>
  <si>
    <t>Ernakulam,Kerala</t>
  </si>
  <si>
    <t>monalisa.biochem_pgt23@aiimskalyani.edu.in</t>
  </si>
  <si>
    <t>DR. MONALISA MAHAJAN</t>
  </si>
  <si>
    <t>Art and craft</t>
  </si>
  <si>
    <t>Bankura</t>
  </si>
  <si>
    <t>https://drive.google.com/open?id=1Bjvem_I_ilRINZh5ay3Gh2MmbqyI_ZM5</t>
  </si>
  <si>
    <t>https://drive.google.com/open?id=1w5oxEG3Y_3QnTCazzcYgvScpQnlHlUCB</t>
  </si>
  <si>
    <t>MADHAB KUMAR MAHAJAN</t>
  </si>
  <si>
    <t>BANK MANAGER (RETIRED)</t>
  </si>
  <si>
    <t>BANKURA</t>
  </si>
  <si>
    <t>SOMA MAHAJAN</t>
  </si>
  <si>
    <t>HOME MAKER</t>
  </si>
  <si>
    <t>priyanka.bscnursing-2021@aiimskalyani.edu.in</t>
  </si>
  <si>
    <t xml:space="preserve">PRIYANKA </t>
  </si>
  <si>
    <t>priyankasura11@gmail.com</t>
  </si>
  <si>
    <t>No</t>
  </si>
  <si>
    <t>subhodip.mbbs-2020@aiimskalyani.edu.in</t>
  </si>
  <si>
    <t>SUBHODIP DAS</t>
  </si>
  <si>
    <t>101/202001151</t>
  </si>
  <si>
    <t xml:space="preserve">Strong interest in football and video gaming. </t>
  </si>
  <si>
    <t xml:space="preserve">Football </t>
  </si>
  <si>
    <t xml:space="preserve">Asansol </t>
  </si>
  <si>
    <t>https://drive.google.com/open?id=1P6zVDGzkvgIb6Tdpk3ftQTaZgIxa5RHn</t>
  </si>
  <si>
    <t>https://drive.google.com/open?id=1pWB5DAklFhIBCDY88-lVSMw6USUqOUwf</t>
  </si>
  <si>
    <t>Uday Chand Das</t>
  </si>
  <si>
    <t xml:space="preserve">Retired Railway Personal </t>
  </si>
  <si>
    <t>Archana Das</t>
  </si>
  <si>
    <t>saravana.dentistry_pgt23@aiimskalyani.edu.in</t>
  </si>
  <si>
    <t>B.SARAVANA PRATHAP</t>
  </si>
  <si>
    <t>Coimbatore</t>
  </si>
  <si>
    <t>https://drive.google.com/open?id=1thgAXDqCeAa3Di76_D8nIFLshDuiWyFK</t>
  </si>
  <si>
    <t>https://drive.google.com/open?id=1y7cM_212CUes9lf3DFTsE1oQt_gVIrf-</t>
  </si>
  <si>
    <t>C.Balachandran</t>
  </si>
  <si>
    <t>-</t>
  </si>
  <si>
    <t>B.Parvathi</t>
  </si>
  <si>
    <t>House wife</t>
  </si>
  <si>
    <t>megha.mbbs-2020@aiimskalyani.edu.in</t>
  </si>
  <si>
    <t>MEGHA HAZARIKA</t>
  </si>
  <si>
    <t>meghahazarika270701@gmail.com</t>
  </si>
  <si>
    <t xml:space="preserve">Dancing, Poetry </t>
  </si>
  <si>
    <t>Guwahati</t>
  </si>
  <si>
    <t>https://drive.google.com/open?id=1nBinud0RE0f_0prwiaAI5ZZNJcp5dUd7</t>
  </si>
  <si>
    <t>https://drive.google.com/open?id=17NwuQxURpwnFXAM2DiR5BSKfqwrc4IpS</t>
  </si>
  <si>
    <t>Dr. Alokesh Hazarika</t>
  </si>
  <si>
    <t>Retired as CMO In-charge</t>
  </si>
  <si>
    <t>Dibrugarh</t>
  </si>
  <si>
    <t>Shivani Hazarika</t>
  </si>
  <si>
    <t>Agra</t>
  </si>
  <si>
    <t xml:space="preserve">Diya </t>
  </si>
  <si>
    <t>Cousin</t>
  </si>
  <si>
    <t>divyansh.mbbs-2020@aiimskalyani.edu.in</t>
  </si>
  <si>
    <t>DIVYANSH CHARAN</t>
  </si>
  <si>
    <t>Singing</t>
  </si>
  <si>
    <t>Pali, Rajasthan</t>
  </si>
  <si>
    <t>https://drive.google.com/open?id=1I2vyciA0tArPcdiQVStjSbGUrAuBO1gl</t>
  </si>
  <si>
    <t>https://drive.google.com/open?id=18ktayzQ3enUk0YBzZUCarsxwHROZtm_i</t>
  </si>
  <si>
    <t>Mahesh Singh</t>
  </si>
  <si>
    <t>Police Inspector</t>
  </si>
  <si>
    <t>Jaipur</t>
  </si>
  <si>
    <t>Kiran Charan</t>
  </si>
  <si>
    <t>Yoga Instructor</t>
  </si>
  <si>
    <t>shraddha.mbbs-2020@aiimskalyani.edu.in</t>
  </si>
  <si>
    <t>SHRADDHA MATSYAPAL</t>
  </si>
  <si>
    <t>93/202001143</t>
  </si>
  <si>
    <t>Dancing, sketching and traveling</t>
  </si>
  <si>
    <t>Dhamtari</t>
  </si>
  <si>
    <t>https://drive.google.com/open?id=1IGN8QQZm9ZLtGrUOJzX5EeRq2LTFOeS9</t>
  </si>
  <si>
    <t>https://drive.google.com/open?id=1sEgVY-mkTmcFAlq_VHH_zH8V7NRcRTZB</t>
  </si>
  <si>
    <t>Hemant Matsyapal</t>
  </si>
  <si>
    <t>Additional Collector</t>
  </si>
  <si>
    <t>Ishwari Matsyapal</t>
  </si>
  <si>
    <t>ananya.mbbs-2020@aiimskalyani.edu.in</t>
  </si>
  <si>
    <t xml:space="preserve">ANANYA ARYANKITA </t>
  </si>
  <si>
    <t>aryankita5@gmail.com</t>
  </si>
  <si>
    <t xml:space="preserve">Reading novels, painting </t>
  </si>
  <si>
    <t>1st position in 1st year MBBS professional exams.
3rd position in 4th year MBBS professional exams.</t>
  </si>
  <si>
    <t>https://drive.google.com/open?id=17b6bIqVkWSIkAmF68CQSxQ6jnC29-46V</t>
  </si>
  <si>
    <t>https://drive.google.com/open?id=15mg3M5L4ukDORUqgR1KRrFy6NNLA9FaA</t>
  </si>
  <si>
    <t>Krishna Prasad Samantaray</t>
  </si>
  <si>
    <t>Bank employee, Assistant General Manager</t>
  </si>
  <si>
    <t>Jyotirmayee Nayak</t>
  </si>
  <si>
    <t xml:space="preserve">Krishna Prasad Samantaray </t>
  </si>
  <si>
    <t xml:space="preserve">Jyotirmayee Nayak </t>
  </si>
  <si>
    <t>paromitaghoshal10@gmail.com</t>
  </si>
  <si>
    <t xml:space="preserve">PAROMITA GHOSHAL </t>
  </si>
  <si>
    <t>Listening music</t>
  </si>
  <si>
    <t>None</t>
  </si>
  <si>
    <t xml:space="preserve">Baruipur </t>
  </si>
  <si>
    <t>https://drive.google.com/open?id=1ndP96MZXOCBl_KkpL18Kdf8jW7Rmw5yY</t>
  </si>
  <si>
    <t>https://drive.google.com/open?id=1Nw6P4AOw8_4vSJ2OdAQZZ2qgMF3T045K</t>
  </si>
  <si>
    <t xml:space="preserve">Prabir Kumar Ghoshal </t>
  </si>
  <si>
    <t xml:space="preserve">Service </t>
  </si>
  <si>
    <t xml:space="preserve">Purnima Ghoshal </t>
  </si>
  <si>
    <t xml:space="preserve">Homemaker </t>
  </si>
  <si>
    <t>puspitatitli@gmail.com</t>
  </si>
  <si>
    <t>PUSPITA BISWAS</t>
  </si>
  <si>
    <t>Listening to music and singing</t>
  </si>
  <si>
    <t xml:space="preserve">2nd position in Inter College Quiz Competition in LIMBUS, 2024 
2nd position in Quiz competition in annual interhouse competition, 2024
</t>
  </si>
  <si>
    <t>Adra, Purulia, West Bengal</t>
  </si>
  <si>
    <t>https://drive.google.com/open?id=12BNG6P5xXWi32CK6CXgPf4UawJfUZFmi</t>
  </si>
  <si>
    <t>https://drive.google.com/open?id=1YVDOVy1dIyuZ3_6xtT8zIma4Kr9-z6Ab</t>
  </si>
  <si>
    <t>PINAKI BISWAS</t>
  </si>
  <si>
    <t xml:space="preserve">Assistant Divisional Electrical Engineer (ADEE), South Eastern Railway. </t>
  </si>
  <si>
    <t>Jamshedpur, Jharkhand</t>
  </si>
  <si>
    <t>KAKALI BISWAS</t>
  </si>
  <si>
    <t>priyakshi.bscnursing-2021@aiimskalyani.edu.in</t>
  </si>
  <si>
    <t xml:space="preserve">PRIYAKSHI SHARMA </t>
  </si>
  <si>
    <t>sharmapriyakshi33@gmail.com</t>
  </si>
  <si>
    <t>chingkhongsai00@gmail.com</t>
  </si>
  <si>
    <t xml:space="preserve">NEMBOICHING KHONGSAI </t>
  </si>
  <si>
    <t>kritirani09@gmail.com</t>
  </si>
  <si>
    <t>KRITI RANI</t>
  </si>
  <si>
    <t>Reading, singing</t>
  </si>
  <si>
    <t xml:space="preserve">Patna, Kolkata </t>
  </si>
  <si>
    <t>https://drive.google.com/open?id=1EQsc_fYLaTRd_kbeacLyeEIpYs-q_N7E</t>
  </si>
  <si>
    <t>https://drive.google.com/open?id=1t7sh8VESGNONWELAVzkctbPURibtLjDj</t>
  </si>
  <si>
    <t xml:space="preserve">Om Prakash Sinha </t>
  </si>
  <si>
    <t xml:space="preserve">Senior Audit Officer </t>
  </si>
  <si>
    <t>Sujeeti Devi</t>
  </si>
  <si>
    <t xml:space="preserve">Sujeeti Devi </t>
  </si>
  <si>
    <t>krishnendu.mbbs-2020@aiimskalyani.edu.in</t>
  </si>
  <si>
    <t xml:space="preserve">Krishnendu Mondal </t>
  </si>
  <si>
    <t>mondalkrish958@gmail.com</t>
  </si>
  <si>
    <t>My favourite hobby is photography. I enjoy capturing beautiful moments, interesting places, and everyday scenes through my camera. Photography allows me to observe the world more carefully and express my creativity. It gives me a sense of relaxation and satisfaction, especially when I capture a picture exactly the way I imagined it.</t>
  </si>
  <si>
    <t xml:space="preserve">Bardhaman </t>
  </si>
  <si>
    <t>https://drive.google.com/open?id=1GIGpB-tlDRzkPCSVeWaPPwsNnFMrCLdR</t>
  </si>
  <si>
    <t>https://drive.google.com/open?id=1EGPEv54gplcZHH1Y3Nr8DfNpueu5PTVN</t>
  </si>
  <si>
    <t>Raghupati Mondal</t>
  </si>
  <si>
    <t>Bardhaman</t>
  </si>
  <si>
    <t>Susmita Mondal</t>
  </si>
  <si>
    <t>Home Maker</t>
  </si>
  <si>
    <t>NIL</t>
  </si>
  <si>
    <t>https://drive.google.com/open?id=1oMT5M4kV0RkssJ0_QzythLc9C0HuyymA</t>
  </si>
  <si>
    <t>https://drive.google.com/open?id=1g5LOAHxF_ScybXMcwE2e_uMicFRl2JzV</t>
  </si>
  <si>
    <t xml:space="preserve">SENIOR Technician Incharge signal department Railway employee kgp junction </t>
  </si>
  <si>
    <t>nabanita.bscnursing-2021@aiimskalyani.edu.in</t>
  </si>
  <si>
    <t>NABANITA DE</t>
  </si>
  <si>
    <r>
      <rPr>
        <rFont val="Arial"/>
        <b/>
        <color theme="1"/>
      </rPr>
      <t>Mother's</t>
    </r>
    <r>
      <rPr>
        <rFont val="Arial"/>
        <color theme="1"/>
      </rPr>
      <t xml:space="preserve"> </t>
    </r>
    <r>
      <rPr>
        <rFont val="Arial"/>
        <b/>
        <color theme="1"/>
      </rPr>
      <t>Occupation / Designation &amp; Affiliation</t>
    </r>
  </si>
  <si>
    <t>denabanita2020@gmail.com</t>
  </si>
  <si>
    <r>
      <rPr>
        <rFont val="Arial"/>
        <b/>
        <color theme="1"/>
      </rPr>
      <t>Mother's</t>
    </r>
    <r>
      <rPr>
        <rFont val="Arial"/>
        <color theme="1"/>
      </rPr>
      <t xml:space="preserve"> </t>
    </r>
    <r>
      <rPr>
        <rFont val="Arial"/>
        <b/>
        <color theme="1"/>
      </rPr>
      <t>City / Place of Residence</t>
    </r>
  </si>
  <si>
    <t>Chess</t>
  </si>
  <si>
    <r>
      <rPr>
        <rFont val="Arial"/>
        <b/>
        <color theme="1"/>
      </rPr>
      <t>Mother's</t>
    </r>
    <r>
      <rPr>
        <rFont val="Arial"/>
        <color theme="1"/>
      </rPr>
      <t xml:space="preserve"> </t>
    </r>
    <r>
      <rPr>
        <rFont val="Arial"/>
        <b/>
        <color theme="1"/>
      </rPr>
      <t>Contact Number</t>
    </r>
  </si>
  <si>
    <t xml:space="preserve">DumDum west bengal </t>
  </si>
  <si>
    <t>https://drive.google.com/open?id=1PfkJCRRfe6_PizYazTm6-jWa8yEryYt8</t>
  </si>
  <si>
    <t>https://drive.google.com/open?id=1z0m__2Kf-p6DA6y2VeswitaQCVWSvvAf</t>
  </si>
  <si>
    <t xml:space="preserve">Nirapada De </t>
  </si>
  <si>
    <t>Retired Teacher</t>
  </si>
  <si>
    <t>Sulekha De</t>
  </si>
  <si>
    <t xml:space="preserve">Sulekha De </t>
  </si>
  <si>
    <t>jagruti.mbbs-2020@aiimskalyani.edu.in</t>
  </si>
  <si>
    <t xml:space="preserve">JAGRUTI BISWAL </t>
  </si>
  <si>
    <t>53/202001103</t>
  </si>
  <si>
    <t xml:space="preserve">Art and poster </t>
  </si>
  <si>
    <t xml:space="preserve">Khamar , Dist- Angul , Odisha </t>
  </si>
  <si>
    <t>https://drive.google.com/open?id=17ExJneL3SUtqC9Qf7axOqaajenbgeByB</t>
  </si>
  <si>
    <t>https://drive.google.com/open?id=10CRwIMWLrQ1rlIWdSN3Q5Rc9IDxk7hD_</t>
  </si>
  <si>
    <t>Jayadeb Biswal</t>
  </si>
  <si>
    <t xml:space="preserve">Lecture in Physics </t>
  </si>
  <si>
    <t xml:space="preserve">Khamar ,Dist -Angul ,Odisha </t>
  </si>
  <si>
    <t>Geetanjali Pradhan</t>
  </si>
  <si>
    <t>Khamar ,Dist -Angul ,Odisha</t>
  </si>
  <si>
    <t xml:space="preserve">Jayadeb Biswal </t>
  </si>
  <si>
    <t xml:space="preserve">Geetanjali Pradhan </t>
  </si>
  <si>
    <t>chandakumari01122002@gmail.com</t>
  </si>
  <si>
    <t xml:space="preserve">Chanda Kumari </t>
  </si>
  <si>
    <t>abhishek.comjnmh@gmail.com</t>
  </si>
  <si>
    <t>Abhishek Kumar Giri</t>
  </si>
  <si>
    <t>ABHISHEK.COMJNMH@GMAIL.COM</t>
  </si>
  <si>
    <t>https://drive.google.com/open?id=1CQbRk21X5nqkp45p_2xoY_EvlMSNqf-n</t>
  </si>
  <si>
    <t>https://drive.google.com/open?id=1f5C8dZdGLRKVJM6yCk1O-96zo49IXahL</t>
  </si>
  <si>
    <t>HRIDYA SHANKER GIRI</t>
  </si>
  <si>
    <t>Advocate</t>
  </si>
  <si>
    <t>Rani Giri</t>
  </si>
  <si>
    <t>kshetrimayum.micro_pgt23@aiimskalyani.edu.in</t>
  </si>
  <si>
    <t>KSHETRIMAYUM AMMY</t>
  </si>
  <si>
    <t>Manipur</t>
  </si>
  <si>
    <t>https://drive.google.com/open?id=1oTJeS8X8zWGi3Pgc67CPklkSSF98dFZT</t>
  </si>
  <si>
    <t>https://drive.google.com/open?id=1l5rZmmtfg3Bm95Nn38SAfiFNS5hhXCD7</t>
  </si>
  <si>
    <t>Kshetrimayum Topeswor Singh</t>
  </si>
  <si>
    <t>Business</t>
  </si>
  <si>
    <t>Imphal</t>
  </si>
  <si>
    <t>Kshetrimayum (O) Meiteileima Devi</t>
  </si>
  <si>
    <t>Senior accountant</t>
  </si>
  <si>
    <t xml:space="preserve">Imphal </t>
  </si>
  <si>
    <t>ashok.mbbs-2020@aiimskalyani.edu.in</t>
  </si>
  <si>
    <t xml:space="preserve">ASHOK KUMAR </t>
  </si>
  <si>
    <t>Playing cricket</t>
  </si>
  <si>
    <t>Cricket</t>
  </si>
  <si>
    <t xml:space="preserve">Gudamalani, Barmer, Rajasthan </t>
  </si>
  <si>
    <t>https://drive.google.com/open?id=1DCVm9ykzqDErz0EjbdSm9jvVk0ZLCDza</t>
  </si>
  <si>
    <t>https://drive.google.com/open?id=1TUTEY9I_2s5assnVLiXCGzIDtFy0AZ6k</t>
  </si>
  <si>
    <t>BAGA RAM</t>
  </si>
  <si>
    <t>Gudamalani</t>
  </si>
  <si>
    <t>LEELU DEVI</t>
  </si>
  <si>
    <t xml:space="preserve">Gudamalani </t>
  </si>
  <si>
    <t>ISHWAR</t>
  </si>
  <si>
    <t>abil.mbbs-2020@aiimskalyani.edu.in</t>
  </si>
  <si>
    <t>ABIL KUMAR</t>
  </si>
  <si>
    <t>abhisaini00011@gmail.com</t>
  </si>
  <si>
    <t>Yamunanagar (haryana)</t>
  </si>
  <si>
    <t>https://drive.google.com/open?id=1zwdEFcV9P321Q6Jkzx-Cv1wnMXEHxajP</t>
  </si>
  <si>
    <t>https://drive.google.com/open?id=1IFG8feelFIXlMM6oKKg5CWGBzzIZIh4e</t>
  </si>
  <si>
    <t>Jaikishan saini</t>
  </si>
  <si>
    <t>Engineer</t>
  </si>
  <si>
    <t>Yamunanagar ( Haryana)</t>
  </si>
  <si>
    <t xml:space="preserve">Raj dulari </t>
  </si>
  <si>
    <t>Yamunanagar (Haryana)</t>
  </si>
  <si>
    <t>sanandaavidipta@gmail.com</t>
  </si>
  <si>
    <t>SANANDA DAS</t>
  </si>
  <si>
    <t xml:space="preserve">Listening music , crafting </t>
  </si>
  <si>
    <t xml:space="preserve">Tarakeswar </t>
  </si>
  <si>
    <t>https://drive.google.com/open?id=1z1xB5-MdjChXJLkgsNr-19kq0-G3lMxB</t>
  </si>
  <si>
    <t>https://drive.google.com/open?id=1oAextmrjXqAddypCl1SQWYtScP-7FjVd</t>
  </si>
  <si>
    <t xml:space="preserve">Sushanta Das </t>
  </si>
  <si>
    <t>Retired subedar Major from Indian Army</t>
  </si>
  <si>
    <t>Piyali Das</t>
  </si>
  <si>
    <t xml:space="preserve">Home maker </t>
  </si>
  <si>
    <t>Tarakeswar</t>
  </si>
  <si>
    <t xml:space="preserve">Piyali Das </t>
  </si>
  <si>
    <t>bidisha.bscnursing-2021@aiimskalyani.edu.in</t>
  </si>
  <si>
    <t xml:space="preserve">BIDISHA CHUNARI </t>
  </si>
  <si>
    <t>bidishachunari46@gmail.com</t>
  </si>
  <si>
    <t xml:space="preserve">Singing and dancing </t>
  </si>
  <si>
    <t>https://drive.google.com/open?id=1bwx5q9n2bwNAABsvPhSADC1hY7hWzzHG</t>
  </si>
  <si>
    <t>https://drive.google.com/open?id=1wrF__61hq-wpg3zhkDMrs0OSYRla9JTh</t>
  </si>
  <si>
    <t>Botan Chunari</t>
  </si>
  <si>
    <t xml:space="preserve">Retired Service man </t>
  </si>
  <si>
    <t xml:space="preserve">Pintu Chunari </t>
  </si>
  <si>
    <t xml:space="preserve">Botan Chunari </t>
  </si>
  <si>
    <t>akshay.mbbs-2020@aiimskalyani.edu.in</t>
  </si>
  <si>
    <t xml:space="preserve">AKSHAY SHARMA </t>
  </si>
  <si>
    <t>xaysharma6365@gmail.com</t>
  </si>
  <si>
    <t xml:space="preserve">Sports </t>
  </si>
  <si>
    <t xml:space="preserve">Cricket </t>
  </si>
  <si>
    <t>Sikar</t>
  </si>
  <si>
    <t>https://drive.google.com/open?id=1ItmdZQFTymSYMMTI1_Y7PkbVoZ62MP4z</t>
  </si>
  <si>
    <t>https://drive.google.com/open?id=1E0Vszup2lQLfdpgMIBj2WugQ756uMslC</t>
  </si>
  <si>
    <t xml:space="preserve">Anil Kumar Sharma </t>
  </si>
  <si>
    <t xml:space="preserve">Sikar </t>
  </si>
  <si>
    <t xml:space="preserve">Kiran Sharma </t>
  </si>
  <si>
    <t>House maker</t>
  </si>
  <si>
    <t xml:space="preserve">Anil kumar sharma </t>
  </si>
  <si>
    <t>Listening music, crafting (hobbies)</t>
  </si>
  <si>
    <t>https://drive.google.com/open?id=1mByFASwogNgPgDp3ASra5Yi99XMaHEJr</t>
  </si>
  <si>
    <t>https://drive.google.com/open?id=1fZ5OB9vLnev-bJ1nlJk4fGZXjbpDEO-c</t>
  </si>
  <si>
    <t xml:space="preserve">Retired Subedar Major from Indian Army </t>
  </si>
  <si>
    <t>nilesh.mbbs-2020@aiimskalyani.edu.in</t>
  </si>
  <si>
    <t>NILESH BHARTI</t>
  </si>
  <si>
    <t>https://drive.google.com/open?id=1KztgL8OEke4hZZMua6o0pKtkGrhe4WAN</t>
  </si>
  <si>
    <t>https://drive.google.com/open?id=16QJxFRyFat2-vQbJCjTv_aoucODfuX6d</t>
  </si>
  <si>
    <t>Ashok Kumar Choudhary</t>
  </si>
  <si>
    <t>Grocery Shop</t>
  </si>
  <si>
    <t>Sudha Rani</t>
  </si>
  <si>
    <t xml:space="preserve">Ashok Kumar Choudhary </t>
  </si>
  <si>
    <t>ananyap.mbbs-2020@aiimskalyani.edu.in</t>
  </si>
  <si>
    <t xml:space="preserve">ANANYA PANDEY </t>
  </si>
  <si>
    <t>quantum101p@gmail.com</t>
  </si>
  <si>
    <t xml:space="preserve">Ahilyanagar,Maharashtra </t>
  </si>
  <si>
    <t>https://drive.google.com/open?id=1HfIVNeMB_ECzHMzWa-6GJ_qgAMlIU_n0</t>
  </si>
  <si>
    <t>https://drive.google.com/open?id=1PFDlujHx6D2q1D7mezqt7rCMaq5Nffsv</t>
  </si>
  <si>
    <t xml:space="preserve">PROVASH CHANDRA PANDEY </t>
  </si>
  <si>
    <t xml:space="preserve">Station Manager, Akolner, Maharashtra </t>
  </si>
  <si>
    <t xml:space="preserve">Ahilyanagar, Maharashtra </t>
  </si>
  <si>
    <t xml:space="preserve">BITHIKA PANDEY </t>
  </si>
  <si>
    <t xml:space="preserve">Pharmacy buiseness </t>
  </si>
  <si>
    <t>Bithika Pandey</t>
  </si>
  <si>
    <t>Aditi Pandey</t>
  </si>
  <si>
    <t>manisha.mbbs-2020@aiimskalyani.edu.in</t>
  </si>
  <si>
    <t>MANISHA KANWAR</t>
  </si>
  <si>
    <t xml:space="preserve">Nagaur Rajasthan </t>
  </si>
  <si>
    <t>https://drive.google.com/open?id=1rAVplwsISXN9YIFzRlgWKf7L2pj15DSl</t>
  </si>
  <si>
    <t>https://drive.google.com/open?id=1KSVGFNkqmgnIfvuHe2oNtxoHgQth5juD</t>
  </si>
  <si>
    <t>Mool Singh</t>
  </si>
  <si>
    <t>Nagaur Rajasthan</t>
  </si>
  <si>
    <t>Kiran Kanwar</t>
  </si>
  <si>
    <t>rajpurohitnagina@gmail.com</t>
  </si>
  <si>
    <t>NAGEENA KANWAR</t>
  </si>
  <si>
    <t>nandini.bscnursing-2021@aiimskalyani.edu.in</t>
  </si>
  <si>
    <t xml:space="preserve">NANDINI DAS </t>
  </si>
  <si>
    <t>aprajitapal01@gmail.com</t>
  </si>
  <si>
    <t xml:space="preserve">Aprajita Pal </t>
  </si>
  <si>
    <t xml:space="preserve">Reading and gardening </t>
  </si>
  <si>
    <t>Bhagalpur</t>
  </si>
  <si>
    <t>https://drive.google.com/open?id=1r_tAll3oKhxHO6BWB4Hy0FpJ9xy06lPP</t>
  </si>
  <si>
    <t>https://drive.google.com/open?id=1GHxARDGpeigN3bmOaGRUMWlmc6f6V254</t>
  </si>
  <si>
    <t xml:space="preserve">Subodh Kumar Pal </t>
  </si>
  <si>
    <t>Retired Govt Teacher</t>
  </si>
  <si>
    <t xml:space="preserve">Pushpa Rajpali </t>
  </si>
  <si>
    <t>prabesh.mbbs-2020@aiimskalyani.edu.in</t>
  </si>
  <si>
    <t xml:space="preserve">PRABESH KUMAR SAHU </t>
  </si>
  <si>
    <t>68/202001118</t>
  </si>
  <si>
    <t>prabeshk99@gmail.com</t>
  </si>
  <si>
    <t>Bike riding, Music</t>
  </si>
  <si>
    <t>ICMR STS 2022</t>
  </si>
  <si>
    <t>Bahalda, Mayurbhanj, Odisha</t>
  </si>
  <si>
    <t>https://drive.google.com/open?id=1hhVYne8osDPO8Bx14dmu7ItoD8rDQomg</t>
  </si>
  <si>
    <t>https://drive.google.com/open?id=1OSErYJ1q5eyzKWBvZ-27mXecsNEeej7i</t>
  </si>
  <si>
    <t>Mr Ananda Bihari Sahu</t>
  </si>
  <si>
    <t xml:space="preserve">Bahalda, Mayurbhanj, Odisha </t>
  </si>
  <si>
    <t>Mrs Mamata Sahu</t>
  </si>
  <si>
    <t xml:space="preserve">Mr Ananda Bihari Sahu </t>
  </si>
  <si>
    <t xml:space="preserve">Mrs Mamata Sahu </t>
  </si>
  <si>
    <t>naman.mbbs-2020@aiimskalyani.edu.in</t>
  </si>
  <si>
    <t>NAMAN CHUGH</t>
  </si>
  <si>
    <t>65/202001115</t>
  </si>
  <si>
    <t xml:space="preserve">Playing Table tennis, cricket, drums.
Participating in quizzes </t>
  </si>
  <si>
    <t>1st position in interhouse Table tennis and cricket</t>
  </si>
  <si>
    <t>Gohana</t>
  </si>
  <si>
    <t>https://drive.google.com/open?id=1xwTvH0UHuOuHTemjNyYAvkgpCvGtFFUq</t>
  </si>
  <si>
    <t>https://drive.google.com/open?id=1H_khFxRF9EcRpryKoyQHwFotoxkr_7f7</t>
  </si>
  <si>
    <t>Madan Chugh</t>
  </si>
  <si>
    <t>Businessman</t>
  </si>
  <si>
    <t>Geeta Chugh</t>
  </si>
  <si>
    <t xml:space="preserve">Madan Chugh </t>
  </si>
  <si>
    <t xml:space="preserve">VARANASI,UTTAR PRADESH </t>
  </si>
  <si>
    <t>https://drive.google.com/open?id=1nKfebNHsjLdXOG-kfFUb6nUXdGBLIZ90</t>
  </si>
  <si>
    <t>https://drive.google.com/open?id=18sG2dhPmRPBY_1avWO-Ok0VgU7YGhMMr</t>
  </si>
  <si>
    <t>MR. RAJ KUMAR SINGH</t>
  </si>
  <si>
    <t>CIVIL ENGINEER</t>
  </si>
  <si>
    <t>AURANGABAD,BIHAR</t>
  </si>
  <si>
    <t>GEETA SINGH</t>
  </si>
  <si>
    <t>HOUSE WIFE</t>
  </si>
  <si>
    <t xml:space="preserve">MR.RAJ KUMAR SINGH </t>
  </si>
  <si>
    <t xml:space="preserve">FATHER </t>
  </si>
  <si>
    <t xml:space="preserve">DR RISHI SINGH </t>
  </si>
  <si>
    <t xml:space="preserve">HUSBAND </t>
  </si>
  <si>
    <t>sonam.bscnursing-2021@aiimskalyani.edu.in</t>
  </si>
  <si>
    <t xml:space="preserve">SONAM KUMARI </t>
  </si>
  <si>
    <t>sonamriva20@gmail.com</t>
  </si>
  <si>
    <t xml:space="preserve">Traveling and photography </t>
  </si>
  <si>
    <t xml:space="preserve">Chess and volleyball </t>
  </si>
  <si>
    <t xml:space="preserve">Bihar </t>
  </si>
  <si>
    <t>https://drive.google.com/open?id=1AboCbMf3z59BPRrgyU-WmaaHQXIfcFWl</t>
  </si>
  <si>
    <t>https://drive.google.com/open?id=1bWTUr93keviUY0wPZjsrGyOdNGtayJXM</t>
  </si>
  <si>
    <t xml:space="preserve">Ranjan Kumar </t>
  </si>
  <si>
    <t xml:space="preserve">Businessmen </t>
  </si>
  <si>
    <t>Rani Devi</t>
  </si>
  <si>
    <t>bharathkrishna500@gmail.com</t>
  </si>
  <si>
    <t>BHARATH KRISHNA</t>
  </si>
  <si>
    <t>Football, Drawing, Watching series</t>
  </si>
  <si>
    <t>One time winner of football house tournament</t>
  </si>
  <si>
    <t>Kerala</t>
  </si>
  <si>
    <t>https://drive.google.com/open?id=1mooE5TomVolzpVAYGxoBnfGZoiuiEYwa</t>
  </si>
  <si>
    <t>https://drive.google.com/open?id=1b1VAZPhPPMzCLahin7wlrEP6ooPciPU1</t>
  </si>
  <si>
    <t xml:space="preserve">M.Somaprasad </t>
  </si>
  <si>
    <t>Branch manager united india insurance( Retired )</t>
  </si>
  <si>
    <t>Malappuram, kerala</t>
  </si>
  <si>
    <t>Bindu s menon</t>
  </si>
  <si>
    <t>Higher secondary school teacher(retired)</t>
  </si>
  <si>
    <t>Malappuram,kerala</t>
  </si>
  <si>
    <t>avtans.mbbs-2020@aiimskalyani.edu.in</t>
  </si>
  <si>
    <t>Avtans Khajuria</t>
  </si>
  <si>
    <t xml:space="preserve">Playing volleyball and Travelling </t>
  </si>
  <si>
    <t>Kathua J and K</t>
  </si>
  <si>
    <t>https://drive.google.com/open?id=19LVDSS8uhFIpMrRJFs2VDpOruOFW8x7D</t>
  </si>
  <si>
    <t>https://drive.google.com/open?id=1WUfTc0UTv4bn9f4QhA9YscJZ_gz2Dfu7</t>
  </si>
  <si>
    <t>Pawan Kumar</t>
  </si>
  <si>
    <t>Government Lecturer</t>
  </si>
  <si>
    <t>Sudha Bala</t>
  </si>
  <si>
    <t xml:space="preserve">Government Teacher </t>
  </si>
  <si>
    <t>grace.ophthal_pgt23@aiimskalyani.edu.in</t>
  </si>
  <si>
    <t xml:space="preserve">GRACE LHINGHOITHEM HAOKIP </t>
  </si>
  <si>
    <t>gracehaokip8@gmail.com</t>
  </si>
  <si>
    <t xml:space="preserve">CHURACHANDPUR , MANIPUR </t>
  </si>
  <si>
    <t>https://drive.google.com/open?id=1tJzycF8wTukxcHtvCxx2YjnVGm2tWdib</t>
  </si>
  <si>
    <t>https://drive.google.com/open?id=1s9Ebe8xltDlsotZ3crK3wUEUpXtRXJoA</t>
  </si>
  <si>
    <t>(L) T ALUN HAOKIP</t>
  </si>
  <si>
    <t>LALAM HAOKIP</t>
  </si>
  <si>
    <t xml:space="preserve">HOMEMAKER </t>
  </si>
  <si>
    <t>CHURACHANDPUR,MANIPUR</t>
  </si>
  <si>
    <t xml:space="preserve">NENGZALAM </t>
  </si>
  <si>
    <t>GRANDMOTHER</t>
  </si>
  <si>
    <t>shifana.mbbs-2020@aiimskalyani.edu.in</t>
  </si>
  <si>
    <t>SHIFANA T</t>
  </si>
  <si>
    <t>Passionate about photography, videography, and creative editing, with a particular interest in capturing and preserving meaningful moments with friends and family. Created and dedicated a farewell documentary for the senior batch, which was deeply appreciated and emotionally memorable for everyone. I enjoy cooking and exploring different cuisines, applying mehendi, spending time with children, and maintaining an active lifestyle through regular gym workouts. Naturally curious and enthusiastic about experiencing new things, exploring diverse interests, and continuously learning new skills, including activities such as skating. I value kindness, empathy, and friendly communication, and enjoy building a warm and comfortable rapport with patients.
Research &amp; Academic Achievement
Published a research paper in Pathology .
"Comparative Evaluation of Gram Stain and
Conventional Pap Stain in Diagnosing Bacterial 
Vaginosis and Candidiasis: A Cross-Sectional Study".</t>
  </si>
  <si>
    <t xml:space="preserve">Actively involved in sports and cultural activities. Secured 1st Prize in Kho-Kho and Musical Chairs, and participated in marathons, running events, badminton, cycling races, tug of war, and lemon and spoon races. Enthusiastically participated in college fests, drama, and dance events. </t>
  </si>
  <si>
    <t>https://drive.google.com/open?id=1j_6KyPRejnXCr7eFpem9o5GnC1qR6c77</t>
  </si>
  <si>
    <t>https://drive.google.com/open?id=1OkLu-ptgMZQw7pT7GsaSjllY8wXroPNL</t>
  </si>
  <si>
    <t>Muhammedali T</t>
  </si>
  <si>
    <t xml:space="preserve">Business man </t>
  </si>
  <si>
    <t xml:space="preserve">Palakkad, Kerala </t>
  </si>
  <si>
    <t>Mariya PT</t>
  </si>
  <si>
    <t>Home-maker</t>
  </si>
  <si>
    <t xml:space="preserve">Mariya PT </t>
  </si>
  <si>
    <t>Abdul Vahid T</t>
  </si>
  <si>
    <t>basira.bscnursing-2021@aiimskalyani.edu.in</t>
  </si>
  <si>
    <t xml:space="preserve">BASIRA SULTANA </t>
  </si>
  <si>
    <t>sultanabasira803@gmail.com</t>
  </si>
  <si>
    <t xml:space="preserve">Reading novels, Gardening </t>
  </si>
  <si>
    <t xml:space="preserve">Bagnan, Howrah,west bengal </t>
  </si>
  <si>
    <t>https://drive.google.com/open?id=1VZYGH72dNxSBH5qzEkCmugohgZSlXur0</t>
  </si>
  <si>
    <t>https://drive.google.com/open?id=1qRsZT9XjUPmj65nV7EWEiTNyeeUYSqZ2</t>
  </si>
  <si>
    <t>SK ABUL BASAR</t>
  </si>
  <si>
    <t>School Teacher, HM (MSK)</t>
  </si>
  <si>
    <t xml:space="preserve">Bagnan, Howrah, west bengal </t>
  </si>
  <si>
    <t>SABINA IYASMIN BEGAM</t>
  </si>
  <si>
    <t xml:space="preserve">SK ABUL BASAR </t>
  </si>
  <si>
    <t xml:space="preserve">SABINA IYASMIN BEGAM </t>
  </si>
  <si>
    <t>sushmita.bscnursing-2021@aiimskalyani.edu.in</t>
  </si>
  <si>
    <t>SUSHMITA MONDAL</t>
  </si>
  <si>
    <t>sushmitadna21@gmail.com</t>
  </si>
  <si>
    <t>My hobbies and interests include reading, cooking, gardening and learning new things.  In my free time, I like listening to music and spending quality time with my friends and family. I am always interested in developing new skills and improving both my personal and professional knowledge. Most importantly, whatever I do, I always strive to be happy and find joy and satisfaction in my life.</t>
  </si>
  <si>
    <t>Bagnan</t>
  </si>
  <si>
    <t>https://drive.google.com/open?id=1VJfeqrPpNmHa7SscTL8KCgUhAQiYU0Bx</t>
  </si>
  <si>
    <t>https://drive.google.com/open?id=1ajWQ3Z9aqj-RCpDrIAOXZH9HlJ2IIePU</t>
  </si>
  <si>
    <t>Tapas Mondal</t>
  </si>
  <si>
    <t>Namita Mondal</t>
  </si>
  <si>
    <t>rajshree.mbbs-2020@aiimskalyani.edu.in</t>
  </si>
  <si>
    <t>RAJSHREE</t>
  </si>
  <si>
    <t>Patna, Bihar</t>
  </si>
  <si>
    <t>https://drive.google.com/open?id=1AEJWkIp2CdrFco8TmKGNB1wVy_07lL4i</t>
  </si>
  <si>
    <t>https://drive.google.com/open?id=1LZgv0JIoYsZBwvvIYjddDlYni48T09th</t>
  </si>
  <si>
    <t>Satish Kumar Verma</t>
  </si>
  <si>
    <t>Teacher ;Post Graduate Teacher( Physics)</t>
  </si>
  <si>
    <t>Ribha Kumari</t>
  </si>
  <si>
    <t xml:space="preserve">Patna </t>
  </si>
  <si>
    <t xml:space="preserve">Satish Kumar Verma </t>
  </si>
  <si>
    <t xml:space="preserve">Ribha Kumari </t>
  </si>
  <si>
    <t>dipanjana.bscnursing-2021@aiimskalyani.edu.in</t>
  </si>
  <si>
    <t>DIPANJANA DEY</t>
  </si>
  <si>
    <t>dipanjanad597@gmail.com</t>
  </si>
  <si>
    <t xml:space="preserve">Listening Songs </t>
  </si>
  <si>
    <t>Madhyamgram</t>
  </si>
  <si>
    <t>https://drive.google.com/open?id=1MX9mhWJba8vTZsXTJGPr9vDlJyHZR8hZ</t>
  </si>
  <si>
    <t>https://drive.google.com/open?id=1vGFtlfh3GEMhuu440tPrjxHtpLkTnhSb</t>
  </si>
  <si>
    <t>DINABANDHU DEY</t>
  </si>
  <si>
    <t>Ex-Senior section Engineer/Eastern Railway/HQ</t>
  </si>
  <si>
    <t>Lt. Archita Dey</t>
  </si>
  <si>
    <t>Arup Dutta</t>
  </si>
  <si>
    <t>Maternal Uncle</t>
  </si>
  <si>
    <t>sarmin.bscnursing-2021@aiimskalyani.edu.in</t>
  </si>
  <si>
    <t xml:space="preserve">SARMIN SULTANA </t>
  </si>
  <si>
    <t>sarmins2000@gmail.com</t>
  </si>
  <si>
    <t xml:space="preserve">Reading books, listening music </t>
  </si>
  <si>
    <t xml:space="preserve">Barasat </t>
  </si>
  <si>
    <t>https://drive.google.com/open?id=1ayNmTeBQYcJdKiZR6EGzzcRuTQQTE9qU</t>
  </si>
  <si>
    <t>https://drive.google.com/open?id=1ZD3z5nf0pwc96d1HX7jqSXfk-ERO4_Oe</t>
  </si>
  <si>
    <t>BABLU MONDAL</t>
  </si>
  <si>
    <t>Bussiness</t>
  </si>
  <si>
    <t xml:space="preserve">SAYRA KHATUN </t>
  </si>
  <si>
    <t xml:space="preserve">Para teacher </t>
  </si>
  <si>
    <t>Bablu Mondal</t>
  </si>
  <si>
    <t xml:space="preserve">Sayra khatun </t>
  </si>
  <si>
    <t>shawmegha451@gmail.com</t>
  </si>
  <si>
    <t>MEGHA SHAW</t>
  </si>
  <si>
    <t xml:space="preserve">Cooking, Reading a story book , crafting  and drawing </t>
  </si>
  <si>
    <t xml:space="preserve"> Got A PRIZE IN QUIZE COMPETITION  , Rangoli making poster competition, work as organizer in different cultural events </t>
  </si>
  <si>
    <t xml:space="preserve">Kakdwip,south 24 pargana west bengal </t>
  </si>
  <si>
    <t>https://drive.google.com/open?id=17BdUijWLObfbTAKpcHr9mXHy1RK5gi2-</t>
  </si>
  <si>
    <t>https://drive.google.com/open?id=1XJonGXteDH9udDMLlJGeP_HfJwqiofaj</t>
  </si>
  <si>
    <t>Raman kumar shaw</t>
  </si>
  <si>
    <t xml:space="preserve">Kakdwip </t>
  </si>
  <si>
    <t>Jyoti shaw</t>
  </si>
  <si>
    <t>Raman Kumar shaw</t>
  </si>
  <si>
    <t>samyamitra120598@gmail.com</t>
  </si>
  <si>
    <t xml:space="preserve">SAMYA MITRA </t>
  </si>
  <si>
    <t xml:space="preserve">RAIGANJ </t>
  </si>
  <si>
    <t>https://drive.google.com/open?id=1oTU0HnOhbkuJ3RhdmOb9qEbpezYQDMQw</t>
  </si>
  <si>
    <t>https://drive.google.com/open?id=1X4JWLItu9ghafqaLSkURBJcu5eETQID-</t>
  </si>
  <si>
    <t>DEBASISH MITRA</t>
  </si>
  <si>
    <t xml:space="preserve">SCHOOL TEACHER </t>
  </si>
  <si>
    <t>PARAMITA MITRA</t>
  </si>
  <si>
    <t>MADHUMITA GUHA</t>
  </si>
  <si>
    <t>AUNT</t>
  </si>
  <si>
    <t>ANWESHA MITRA</t>
  </si>
  <si>
    <t xml:space="preserve">SISTER </t>
  </si>
  <si>
    <t>shivam.mbbs-2020@aiimskalyani.edu.in</t>
  </si>
  <si>
    <t>SHIVAM RAJESH CHAUHAN</t>
  </si>
  <si>
    <t>shivam10chauhan@gmail.com</t>
  </si>
  <si>
    <t>Badminton</t>
  </si>
  <si>
    <t>Gurgaon</t>
  </si>
  <si>
    <t>https://drive.google.com/open?id=1u8imoqsNrP_lVTtGQ21ZqWYQszN6ixOv</t>
  </si>
  <si>
    <t>https://drive.google.com/open?id=11SIoYQq9hiWtLLY_sLjDOh8TbZ9sutr4</t>
  </si>
  <si>
    <t>Rajesh Chauhan</t>
  </si>
  <si>
    <t>Wooden packaging Business/ MBA</t>
  </si>
  <si>
    <t>Sangam Chauhan</t>
  </si>
  <si>
    <t>House wife/ Graduation</t>
  </si>
  <si>
    <t>anoushka.mbbs-2020@aiimskalyani.edu.in</t>
  </si>
  <si>
    <t>ANOUSHKA CHAUDHURY</t>
  </si>
  <si>
    <t>18/20200168</t>
  </si>
  <si>
    <t>aan012013@gmail.com</t>
  </si>
  <si>
    <t>Classical dance, quizzing</t>
  </si>
  <si>
    <t xml:space="preserve">Received the ICMR Short Term Studentship (STS) grant 2022, Completed an 8-year Bharatnatyam course at Kalamandalam Calcutta </t>
  </si>
  <si>
    <t>https://drive.google.com/open?id=1agx6ZfcmuLblPYU7OsUM2ZwLLKrSIMl7</t>
  </si>
  <si>
    <t>https://drive.google.com/open?id=1HpMDpGCD4c3_33yBOdQz4f5MkCXQfSgn</t>
  </si>
  <si>
    <t>Kaushik Chaudhury</t>
  </si>
  <si>
    <t>Software Engineer</t>
  </si>
  <si>
    <t>Olli Chaudhury</t>
  </si>
  <si>
    <t>sashi.mscnursing-2023@aiimskalyani.edu.in</t>
  </si>
  <si>
    <t xml:space="preserve">SASHI BAG </t>
  </si>
  <si>
    <t xml:space="preserve">Dancing </t>
  </si>
  <si>
    <t>N/A</t>
  </si>
  <si>
    <t xml:space="preserve">Nuapada, Odisha </t>
  </si>
  <si>
    <t>https://drive.google.com/open?id=152MAZpjZvThK43BIDbogZ9khRdPP5tJ0</t>
  </si>
  <si>
    <t>https://drive.google.com/open?id=1O7FYjFhVrWKHFRQ9RAu1l5ijTF1IDO4C</t>
  </si>
  <si>
    <t xml:space="preserve">Narsing Bag </t>
  </si>
  <si>
    <t xml:space="preserve">Semeria, Nuapada, Odisha </t>
  </si>
  <si>
    <t xml:space="preserve">Shakuntala Bag </t>
  </si>
  <si>
    <t>gowtham.mbbs-2020@aiimskalyani.edu.in</t>
  </si>
  <si>
    <t>GOWTHAM S</t>
  </si>
  <si>
    <t>Football enthusiast, occasional quizzing, movies tv shows and animes, Novels and other stories</t>
  </si>
  <si>
    <t>Was in the aiims kalyani football team, was captain of the green house football team during 3rd year, led the team to the finals. Won football inter house house match in 2nd and final year</t>
  </si>
  <si>
    <t>Chathenkary, Thiruvalla, Kerala</t>
  </si>
  <si>
    <t>https://drive.google.com/open?id=14KxPGkJYWPipEttIFlq04mALjst5dPU7</t>
  </si>
  <si>
    <t>https://drive.google.com/open?id=1Wqoq6QmYVL-NSZllrfdkNyK-hRfq1ihk</t>
  </si>
  <si>
    <t>Santhosh G</t>
  </si>
  <si>
    <t xml:space="preserve">Advocate </t>
  </si>
  <si>
    <t>Thiruvalla</t>
  </si>
  <si>
    <t>Sobha VK</t>
  </si>
  <si>
    <t>Principal, Nellimoodu New B.Ed College</t>
  </si>
  <si>
    <t>pritam.mbbs-2020@aiimskalyani.edu.in</t>
  </si>
  <si>
    <t>PRITAM KUMAR DAS</t>
  </si>
  <si>
    <t>70 / 202001120</t>
  </si>
  <si>
    <t>pritamkdas21@gmail.com</t>
  </si>
  <si>
    <t>Ara - Bihar</t>
  </si>
  <si>
    <t>https://drive.google.com/open?id=1FeO19y_W8VWcjEZdY_YIZLqTIsi4H8S3</t>
  </si>
  <si>
    <t>https://drive.google.com/open?id=1BZbbjvux3p2XroHfFauBl6n9_CcTVHFh</t>
  </si>
  <si>
    <t xml:space="preserve">Uma Shankar Das </t>
  </si>
  <si>
    <t>Govt. service / ATT</t>
  </si>
  <si>
    <t xml:space="preserve">Nilam Devi </t>
  </si>
  <si>
    <t>Kori ( Bihar)</t>
  </si>
  <si>
    <t>Nilam devi</t>
  </si>
  <si>
    <t>anubhab.mbbs-2020@aiimskalyani.edu.in</t>
  </si>
  <si>
    <t>Anubhab Saha</t>
  </si>
  <si>
    <t>anubhabsaha.med@gmail.com</t>
  </si>
  <si>
    <t>Quizzing, Listening to Music and and playing Guitar, Reading Novels, Playing Football</t>
  </si>
  <si>
    <t>1. Represented AIIMS Kalyani in various National Open Quizzes (Errol Cowper trophy, Kolkata International Quiz Festival, Kolkata International Sports quiz festival etc)
2. Won Solo Instrumental at JIPMER Intercollege fest (Spandan 2023)
3. Podium finishes in online and offline quizzes organised by AIIMS Bhubaneswar and JIPMER.
4. Represented AIIMS Kalyani in Intercollege Battle of Bands competition in JIPMER and AIIMS Bhubaneswar.
5. Music Club Head of AIIMS Kalyani (2024)</t>
  </si>
  <si>
    <t>Bangalore</t>
  </si>
  <si>
    <t>https://drive.google.com/open?id=1Y6ZcGc2riRBA1oJVHyZfsfZ4dY3i6fjT</t>
  </si>
  <si>
    <t>https://drive.google.com/open?id=1ERvGu6dTpc99Rnh9EJjqrc6E_swukhi7</t>
  </si>
  <si>
    <t>Jayanta Kumar Saha</t>
  </si>
  <si>
    <t>Bank Employee, Senior Manager, Indian Bank</t>
  </si>
  <si>
    <t>Jayeeta Saha</t>
  </si>
  <si>
    <t>Teacher, Assistant teacher, Vidyodaya NAL Nursery School</t>
  </si>
  <si>
    <t>ashish.mbbs-2020@aiimskalyani.edu.in</t>
  </si>
  <si>
    <t xml:space="preserve">ASHISH GAURAV </t>
  </si>
  <si>
    <t>gauravdrashish@gmail.com</t>
  </si>
  <si>
    <t xml:space="preserve">Playing cricket </t>
  </si>
  <si>
    <t xml:space="preserve">Completed ICMR STS RESEARCH PROJECT </t>
  </si>
  <si>
    <t>Mashrak, chapra</t>
  </si>
  <si>
    <t>https://drive.google.com/open?id=1exP8iApsSJz-fQoCCg6_C_zjXxKagc7N</t>
  </si>
  <si>
    <t>https://drive.google.com/open?id=1cm90fqXv2zVDf7h9fbEs9F8ucMNpHqwB</t>
  </si>
  <si>
    <t xml:space="preserve">Jay kishor singh </t>
  </si>
  <si>
    <t xml:space="preserve">Professor </t>
  </si>
  <si>
    <t xml:space="preserve">Mashrak </t>
  </si>
  <si>
    <t xml:space="preserve">Ahilya devi </t>
  </si>
  <si>
    <t>abhilasha.mbbs-2020@aiimskalyani.edu.in</t>
  </si>
  <si>
    <t>ABHILASHA SABOTH</t>
  </si>
  <si>
    <t>sabothabhilasha@gmail.com</t>
  </si>
  <si>
    <t xml:space="preserve">I like to sing or run in my leisure times, I am interested in dance and glass painting. Besides, I like watching shows online, my favourite genres are action comedy, mystery, and fantasy drama. </t>
  </si>
  <si>
    <t>1. Responsibility of Student Organising Secretary of Annual sociocultural fest - Elyssia 2024
2. Represented college in intercollege Band, Group Dance and Quiz competitions 
3. Volunteered in free health checkup camps in Rural Bengal</t>
  </si>
  <si>
    <t>Bhubaneswar, Odisha</t>
  </si>
  <si>
    <t>https://drive.google.com/open?id=16__dhr2B7lDH-cZFXfDeVTeqcycri0Sm</t>
  </si>
  <si>
    <t>https://drive.google.com/open?id=1YgtgGM0BsLO_D9kRBIISiOo_pFEO2EhF</t>
  </si>
  <si>
    <t>Dr. Prasant Kumar Saboth</t>
  </si>
  <si>
    <t>MD Pediatrics, Professor at IMS and SUM hospital, Bhubaneswar</t>
  </si>
  <si>
    <t>Bhubaneswar</t>
  </si>
  <si>
    <t>Sibani Satpathy</t>
  </si>
  <si>
    <t>Mental health counsellor</t>
  </si>
  <si>
    <t xml:space="preserve">Prasant kumar Saboth </t>
  </si>
  <si>
    <t>subhasis.mbbs-2020@aiimskalyani.edu.in</t>
  </si>
  <si>
    <t xml:space="preserve">SUBHASIS PANJA </t>
  </si>
  <si>
    <t>100/202001150</t>
  </si>
  <si>
    <t>subhasispanja11@gmail.com</t>
  </si>
  <si>
    <t>Quiz, Badminton, Poems, Watching and analyzing Bayern Munich football games.</t>
  </si>
  <si>
    <t xml:space="preserve">Arambagh </t>
  </si>
  <si>
    <t>https://drive.google.com/open?id=124crok5AAw7ikRRjYsGq6nRYmxtyzGdL</t>
  </si>
  <si>
    <t>https://drive.google.com/open?id=1zW8WVLi6_3sWq2Ftmyb2_GxImDfZVuTc</t>
  </si>
  <si>
    <t>Sridhar Panja</t>
  </si>
  <si>
    <t>LIC AAO Officer</t>
  </si>
  <si>
    <t>Ambika Panja</t>
  </si>
  <si>
    <t>Nurse (West Bengal Staff Nurse)</t>
  </si>
  <si>
    <t xml:space="preserve">Sridhar Panja </t>
  </si>
  <si>
    <t xml:space="preserve">Ambika Panja </t>
  </si>
  <si>
    <t>honkap.mbbs-2020@aiimskalyani.edu.in</t>
  </si>
  <si>
    <t>HONKAP WANGJEN</t>
  </si>
  <si>
    <t>51/202001101</t>
  </si>
  <si>
    <t>photography, reading and following current affairs, hiking, travelling, listening to music, playing badminton, exercising, driving and fishing.</t>
  </si>
  <si>
    <t>Village- Hasse Russa, PS/PO-Kanubari, Pincode-792131, District-Longding, State- Arunachal Pradesh.</t>
  </si>
  <si>
    <t>https://drive.google.com/open?id=1evafgOkL5bzXnMIWfeJ-3EYX21EA1I4H</t>
  </si>
  <si>
    <t>https://drive.google.com/open?id=1oyRXm0T63v91E4r6-sJBAxNWs8edMhLB</t>
  </si>
  <si>
    <t>PHOTONG WANGJEN</t>
  </si>
  <si>
    <t xml:space="preserve">Village- Hasse Russa, PS/PO-Kanubari, Pincode-792131, District-Longding, State- Arunachal Pradesh. </t>
  </si>
  <si>
    <t>PHEMUN WANGJEN</t>
  </si>
  <si>
    <t>Ngamlem Wangjen</t>
  </si>
  <si>
    <t xml:space="preserve">Elder sister </t>
  </si>
  <si>
    <t>disha.mbbs-2020@aiimskalyani.edu.in</t>
  </si>
  <si>
    <t>DISHA MANDAL</t>
  </si>
  <si>
    <t>mandaldisha21@gmail.com</t>
  </si>
  <si>
    <t>Reading Books, Listening music</t>
  </si>
  <si>
    <t>https://drive.google.com/open?id=1WAR3PH2PNje3aU1_IFAB6VIupB7ExLC9</t>
  </si>
  <si>
    <t>https://drive.google.com/open?id=1vpUSj95DCgepZ11M33qVLLufnDIa6yfg</t>
  </si>
  <si>
    <t>MRINAL KANTI MANDAL</t>
  </si>
  <si>
    <t>ASSISTANT DIRECTOR AGRICULTURE, GOVT OF WEST BENGAL</t>
  </si>
  <si>
    <t>BABITA MANDAL</t>
  </si>
  <si>
    <t xml:space="preserve">BANKURA </t>
  </si>
  <si>
    <t xml:space="preserve">MRINAL KANTI MANDAL </t>
  </si>
  <si>
    <t>vulasala.mbbs-2020@aiimskalyani.edu.in</t>
  </si>
  <si>
    <t>VULASALA VENKATA SAI CHARAN</t>
  </si>
  <si>
    <t>Music, Movies, doomscrolling</t>
  </si>
  <si>
    <t>College Research Poster presentation 2023 - 2nd prize</t>
  </si>
  <si>
    <t>Proddatur, Andhra Pradesh</t>
  </si>
  <si>
    <t>https://drive.google.com/open?id=1l-YPj1SujDEzufsgxinfewrNChZ44hmn</t>
  </si>
  <si>
    <t>https://drive.google.com/open?id=1vO3anu3uqZAN5tjSoc_FJhctZ6AmmyP6</t>
  </si>
  <si>
    <t>Vulasala Sreenivasulu</t>
  </si>
  <si>
    <t>ADE in APGENCO</t>
  </si>
  <si>
    <t>Proddatur</t>
  </si>
  <si>
    <t>Chimmani Annapurna</t>
  </si>
  <si>
    <t>Chimmani Lakshmi</t>
  </si>
  <si>
    <t>sreeram.mbbs-2020@aiimskalyani.edu.in</t>
  </si>
  <si>
    <t>Sreeram R S</t>
  </si>
  <si>
    <t>124 / 202001174</t>
  </si>
  <si>
    <t>https://drive.google.com/open?id=1mMFiI51tsVW_TprZtopgXmH_Nn-I9Z7g</t>
  </si>
  <si>
    <t>https://drive.google.com/open?id=1l89BGnA4vKTlHGE5ICKyfo8hsSc3bLO6</t>
  </si>
  <si>
    <t>Sangameswaran M R</t>
  </si>
  <si>
    <t>Mechanical Engineer ( Retired )</t>
  </si>
  <si>
    <t>Palakkad , Kerala</t>
  </si>
  <si>
    <t>Jayaseeta V N</t>
  </si>
  <si>
    <t>Bank employee , Kerala Gramin Bank</t>
  </si>
  <si>
    <t>rakesh.mbbs-2020@aiimskalyani.edu.in</t>
  </si>
  <si>
    <t>Rakesh Raushan</t>
  </si>
  <si>
    <t>Rakeshraushan112@gmail.com</t>
  </si>
  <si>
    <t>Travelling, Trekking, Playing Chess, Badminton, cricket,  cooking, Photography</t>
  </si>
  <si>
    <t xml:space="preserve">Saharsa </t>
  </si>
  <si>
    <t>https://drive.google.com/open?id=1cei-PULn1wQVZbfJ-9M_omjOaQWjneMr</t>
  </si>
  <si>
    <t>https://drive.google.com/open?id=1xY-xUFjpIBv770_nomBwb-6qXCT6x8t2</t>
  </si>
  <si>
    <t>Bijay Kumar</t>
  </si>
  <si>
    <t xml:space="preserve">Kumari Sunita </t>
  </si>
  <si>
    <t xml:space="preserve">Government Job </t>
  </si>
  <si>
    <t>mourupa.mbbs-2020@aiimskalyani.edu.in</t>
  </si>
  <si>
    <t xml:space="preserve">MOURUPA SARKAR </t>
  </si>
  <si>
    <t xml:space="preserve">Won various competitions organised by Art  Club in Aiims kalyani </t>
  </si>
  <si>
    <t xml:space="preserve">Alipur Duar </t>
  </si>
  <si>
    <t>https://drive.google.com/open?id=1EZl5dm09BGfE1LXPFGGzxMDkfjpRXEDL</t>
  </si>
  <si>
    <t>https://drive.google.com/open?id=1WfJdQ7lba38kSgsUtHTA0vyCO4jFnufI</t>
  </si>
  <si>
    <t xml:space="preserve">Mr Ratan Sarkar </t>
  </si>
  <si>
    <t xml:space="preserve">Government Service </t>
  </si>
  <si>
    <t>Alipur Duar</t>
  </si>
  <si>
    <t>Mithu Das Sarkar</t>
  </si>
  <si>
    <t xml:space="preserve">Ratan Sarkar </t>
  </si>
  <si>
    <t>bindukoyel2000@gmail.com</t>
  </si>
  <si>
    <t>KOYEL BINDU</t>
  </si>
  <si>
    <t>Playing badminton and reading books</t>
  </si>
  <si>
    <t>Nursing Sports Club Head</t>
  </si>
  <si>
    <t>Falta ( West Bengal )</t>
  </si>
  <si>
    <t>https://drive.google.com/open?id=15o0a3fzy5LjwThrVuwlxE9rBOP_qlfuK</t>
  </si>
  <si>
    <t>https://drive.google.com/open?id=1C2qKVxFDxPhJY2kHo4pIgoCVLnztIcyb</t>
  </si>
  <si>
    <t>Salil Kumar Bindu</t>
  </si>
  <si>
    <t>Retired Central Government Employee</t>
  </si>
  <si>
    <t>Kabita Bindu</t>
  </si>
  <si>
    <t>kumarikhushboo0123@gmail.com</t>
  </si>
  <si>
    <t xml:space="preserve">KHUSHBOO KUMARI </t>
  </si>
  <si>
    <t xml:space="preserve">Reading and playing Badminton </t>
  </si>
  <si>
    <t xml:space="preserve">Volleyball and Throwball winner </t>
  </si>
  <si>
    <t>Jogbani (Bihar)</t>
  </si>
  <si>
    <t>https://drive.google.com/open?id=14_7dNgH2jKaUTkEsmAia11nMGYHPwMPK</t>
  </si>
  <si>
    <t>https://drive.google.com/open?id=1dcUHRKQlHNXEiuCu8H4WDFnT5PQ9u3Cv</t>
  </si>
  <si>
    <t>Vijay sah</t>
  </si>
  <si>
    <t>Jogbani (bihar)</t>
  </si>
  <si>
    <t>Urmila Devi</t>
  </si>
  <si>
    <t xml:space="preserve">Abhinav Kumar </t>
  </si>
  <si>
    <t>mansi.mbbs-2020@aiimskalyani.edu.in</t>
  </si>
  <si>
    <t>MANSI SUBBA</t>
  </si>
  <si>
    <t>Singing and playing guitar</t>
  </si>
  <si>
    <t>Notable achievements: 
School topper (10th standard) 
State topper NEET UG 2020 (Sikkim)</t>
  </si>
  <si>
    <t>Gangtok, Sikkim</t>
  </si>
  <si>
    <t>https://drive.google.com/open?id=1I9ykYpi52o7Ds7p8J3CIOEOxydSwibFL</t>
  </si>
  <si>
    <t>https://drive.google.com/open?id=1rYEhNu-GhsdymxAL2zGfa_aNIYGyLNnf</t>
  </si>
  <si>
    <t>Late Budhi Man Subba</t>
  </si>
  <si>
    <t xml:space="preserve">Deceased </t>
  </si>
  <si>
    <t>Chota Singtam, East Sikkim</t>
  </si>
  <si>
    <t>Man Kumari Rai</t>
  </si>
  <si>
    <t>Government employee</t>
  </si>
  <si>
    <t>Allen Subba</t>
  </si>
  <si>
    <t>Sibling (Brother)</t>
  </si>
  <si>
    <t>preeti.bscnursing-2021@aiimskalyani.edu.in</t>
  </si>
  <si>
    <t xml:space="preserve">PREETI DUTTA </t>
  </si>
  <si>
    <t>preetidutta2021@gmail.com</t>
  </si>
  <si>
    <t xml:space="preserve">Love to Draw, </t>
  </si>
  <si>
    <t xml:space="preserve">Bankura </t>
  </si>
  <si>
    <t>https://drive.google.com/open?id=1hlJleNe4yhMsVtNy3uaRgEhaNrJjYvnE</t>
  </si>
  <si>
    <t>https://drive.google.com/open?id=16sG-VxDCwhU-_Qbejm3nJtZOo1f2_uO5</t>
  </si>
  <si>
    <t xml:space="preserve">Satya charan Dutta </t>
  </si>
  <si>
    <t>Serviceman</t>
  </si>
  <si>
    <t xml:space="preserve">Archana Dutta </t>
  </si>
  <si>
    <t>altaf.mbbs-2020@aiimskalyani.edu.in</t>
  </si>
  <si>
    <t xml:space="preserve">ALTAF KHAN </t>
  </si>
  <si>
    <t>Altaf.mbbs-2020@aiimskalyani.edu.in</t>
  </si>
  <si>
    <t xml:space="preserve">Lucknow </t>
  </si>
  <si>
    <t>https://drive.google.com/open?id=1OKHYOcwxo5KX9hlTtCqE_9AV5KAEvPQt</t>
  </si>
  <si>
    <t>https://drive.google.com/open?id=1oE2EZGy9gu12RvtXM-WBxqvnrUSWKilB</t>
  </si>
  <si>
    <t xml:space="preserve">Lt. Dr. Dilshad Nabi Khan </t>
  </si>
  <si>
    <t>--</t>
  </si>
  <si>
    <t xml:space="preserve">Noorjahan Khan </t>
  </si>
  <si>
    <t>Lucknow</t>
  </si>
  <si>
    <t>tiyasha.mbbs-2020@aiimskalyani.edu.in</t>
  </si>
  <si>
    <t>TIYASHA CHATTERJEE</t>
  </si>
  <si>
    <t>https://drive.google.com/open?id=1nmE9wXF0rSvMqTuC6uREA91cFeJXAsj6</t>
  </si>
  <si>
    <t>https://drive.google.com/open?id=14RNrUN4mpkbO7eAM95HuFDkFOWUgWnaK</t>
  </si>
  <si>
    <t>Rahul Chatterjee</t>
  </si>
  <si>
    <t>Madhumita Chatterjee</t>
  </si>
  <si>
    <t xml:space="preserve">Entrepreneur </t>
  </si>
  <si>
    <t xml:space="preserve">Madhumita Chatterjee </t>
  </si>
  <si>
    <t xml:space="preserve">Rahul Chatterjee </t>
  </si>
  <si>
    <t>pragya.mbbs-2020@aiimskalyani.edu.in</t>
  </si>
  <si>
    <t>PRAGYA BHARATI</t>
  </si>
  <si>
    <t>69 / 202001119</t>
  </si>
  <si>
    <t>Pebble12000@gmail.com</t>
  </si>
  <si>
    <t>Singing, sketching</t>
  </si>
  <si>
    <t>Yoga nationals 2018</t>
  </si>
  <si>
    <t>Patna, bihar</t>
  </si>
  <si>
    <t>https://drive.google.com/open?id=1AgF_jk0KJ6Zalc4c9iPPr9IvqSwjDCXu</t>
  </si>
  <si>
    <t>https://drive.google.com/open?id=1rbGz2tCFTemlGr2jS0AmItnim0PMvksE</t>
  </si>
  <si>
    <t>Mr. Kundan kumar</t>
  </si>
  <si>
    <t>Senior Manager, Bank of Baroda</t>
  </si>
  <si>
    <t>Delhi</t>
  </si>
  <si>
    <t>Dr. Usha kumari</t>
  </si>
  <si>
    <t>Chairperson, Child Welfare Committee, Patna, Bihar</t>
  </si>
  <si>
    <t>Dr. Usha Kumari</t>
  </si>
  <si>
    <t>Mr. Manas Kumar Vatsal</t>
  </si>
  <si>
    <t>kinshuk.mbbs-2020@aiimskalyani.edu.in</t>
  </si>
  <si>
    <t xml:space="preserve">KINSHUK KHALUA </t>
  </si>
  <si>
    <t>Roll :-57 / Enrollment no:- 202001107</t>
  </si>
  <si>
    <t>Moyna, Purba Medinipur , 721642</t>
  </si>
  <si>
    <t>https://drive.google.com/open?id=1X72wInD9AZd_FjWj8dYlC55ijAuQHYM-</t>
  </si>
  <si>
    <t>https://drive.google.com/open?id=1aqvxPfiLCcEoD5tn2ygpiJqfn4gzD8rz</t>
  </si>
  <si>
    <t>KHOKAN KUMAR KHALUA</t>
  </si>
  <si>
    <t>Ismalichak , Moyna , Purba Medinipur ,721642</t>
  </si>
  <si>
    <t>TISTA HAZRA KHALUA</t>
  </si>
  <si>
    <t xml:space="preserve">NURSING OFFICER </t>
  </si>
  <si>
    <t xml:space="preserve">KHOKAN KUMAR KHALUA </t>
  </si>
  <si>
    <t xml:space="preserve">TISTA HAZRA KHALUA </t>
  </si>
  <si>
    <t>ramyakp1209@gmail.com</t>
  </si>
  <si>
    <t>Dr. Ramya KP</t>
  </si>
  <si>
    <t>My interests include exploring new places and cultures, drawing, reading, photography, and spending quality time with family and friends.</t>
  </si>
  <si>
    <t>I am a throwball player. I was awarded an ICMR Travel Grant to attend an international conference. I secured All India Rank 11 in INI-CET and University Rank 6 at Rajiv Gandhi University of Health Sciences (RGUHS).</t>
  </si>
  <si>
    <t xml:space="preserve">Chikamgalur Karnataka </t>
  </si>
  <si>
    <t>https://drive.google.com/open?id=16L9yiJ70gs6N6A6HBB9lxEFI3bmzseJn</t>
  </si>
  <si>
    <t>https://drive.google.com/open?id=1QCLWW_VGKxo-Zs6n7Q2hz-awebqEcIGe</t>
  </si>
  <si>
    <t>KM Parameshwara</t>
  </si>
  <si>
    <t xml:space="preserve">Superintendent, women’s first grade college chikamagalur Karnataka </t>
  </si>
  <si>
    <t xml:space="preserve">Chikamagalur Karnataka </t>
  </si>
  <si>
    <t>Gnanapurna BS</t>
  </si>
  <si>
    <t xml:space="preserve">Superintendent, Zillapanchayat, ckm, Karnataka </t>
  </si>
  <si>
    <t>Chikamagalur, Karnataka.</t>
  </si>
  <si>
    <t>Dr. Dayanand Sagar P</t>
  </si>
  <si>
    <t>Husband</t>
  </si>
  <si>
    <t>madhurima.bscnursing-2021@aiimskalyani.edu.in</t>
  </si>
  <si>
    <t>MADHURIMA PAL</t>
  </si>
  <si>
    <t>pal.madhurima2002@gmail.com</t>
  </si>
  <si>
    <t>Nagarukhra, Nadia</t>
  </si>
  <si>
    <t>https://drive.google.com/open?id=1-A24FxicSu6TlZgRzkvmjZ-h3EaKAQRB</t>
  </si>
  <si>
    <t>https://drive.google.com/open?id=1OCIzAgg3HrveRAvtpQ02ud9VHzxivlLu</t>
  </si>
  <si>
    <t>Kartick Pal</t>
  </si>
  <si>
    <t>Teacher (retired)</t>
  </si>
  <si>
    <t>Rita Pal</t>
  </si>
  <si>
    <t>bijit.mbbs-2020@aiimskalyani.edu.in</t>
  </si>
  <si>
    <t xml:space="preserve">BIJIT SARKAR </t>
  </si>
  <si>
    <t xml:space="preserve">Gaming 
Sports 
Music 
Travel </t>
  </si>
  <si>
    <t xml:space="preserve">Represented college football team as goalkeeper
Won several Efootball gaming Intercollege competitions
Represented college as percussionist in college music band </t>
  </si>
  <si>
    <t xml:space="preserve">Coochbehar ,West Bengal </t>
  </si>
  <si>
    <t>https://drive.google.com/open?id=1BnmVrj_yUQSAjmizxR7spBxs5h8gMuFR</t>
  </si>
  <si>
    <t>https://drive.google.com/open?id=1F78-nluQSO7U1kU5aNP2PTMHP2KgOGuC</t>
  </si>
  <si>
    <t>BIKASH SARKAR</t>
  </si>
  <si>
    <t xml:space="preserve">Assistant engineer ,public health engineering ,Govt of West Bengal </t>
  </si>
  <si>
    <t xml:space="preserve">Coochbehar </t>
  </si>
  <si>
    <t xml:space="preserve">Sulekha Haldar </t>
  </si>
  <si>
    <t xml:space="preserve">Public health nurse , Govt  of Westbengal </t>
  </si>
  <si>
    <t xml:space="preserve">Mr Bikash Sarkar </t>
  </si>
  <si>
    <t>fayiza.mbbs-2020@aiimskalyani.edu.in</t>
  </si>
  <si>
    <t>FAYIZA C</t>
  </si>
  <si>
    <t>119/202001169</t>
  </si>
  <si>
    <t>Travelling, exploring new places, listening music, and spending time with family and friends. I also enjoy staying active and maintaining a healthy lifestyle.</t>
  </si>
  <si>
    <t>Interested in sports and games. No major notable achievements to mention.</t>
  </si>
  <si>
    <t xml:space="preserve">Kottakkal </t>
  </si>
  <si>
    <t>https://drive.google.com/open?id=1VHgbY-v8_qHv3zYg-WSNSzSDnFfSlBRH</t>
  </si>
  <si>
    <t>https://drive.google.com/open?id=1e2BL7xJSZKlBb_4xzFeTowydz4-G2oCj</t>
  </si>
  <si>
    <t>YOOSUF</t>
  </si>
  <si>
    <t>Madrasa Teacher</t>
  </si>
  <si>
    <t>KHADEEJA</t>
  </si>
  <si>
    <t xml:space="preserve">YOOSUF </t>
  </si>
  <si>
    <t>soham.mbbs-2020@aiimskalyani.edu.in</t>
  </si>
  <si>
    <t>SOHAM MANDAL</t>
  </si>
  <si>
    <t>96/ 2020001146</t>
  </si>
  <si>
    <t>mandalsoham30@gmail.com</t>
  </si>
  <si>
    <t>Like playing and listening to music
Reading fiction</t>
  </si>
  <si>
    <t>Like playing Badminton and football
Represented college as a keyboardist in the college band</t>
  </si>
  <si>
    <t xml:space="preserve">Siliguri </t>
  </si>
  <si>
    <t>https://drive.google.com/open?id=1unyjf6RiDAljTw9YHRi5kp76eQjCCHCi</t>
  </si>
  <si>
    <t>https://drive.google.com/open?id=1LJZyywE5qTyMUbYxTcxLI6sv9D4nYEcY</t>
  </si>
  <si>
    <t>Somnath Mandal</t>
  </si>
  <si>
    <t>Professor at Government College</t>
  </si>
  <si>
    <t>Siliguri</t>
  </si>
  <si>
    <t>Ruma Mandal</t>
  </si>
  <si>
    <t>ayrin.mbbs-2020@aiimskalyani.edu.in</t>
  </si>
  <si>
    <t>AYRIN C SIMON</t>
  </si>
  <si>
    <t>32/20200182</t>
  </si>
  <si>
    <t>I’m into dancing, travelling and exploring new places ,creating and editing Reels and YouTube videos, photography, experimenting with food , understanding people and human behaviour, and capturing all the little moments that eventually become the best memories.</t>
  </si>
  <si>
    <t>From winning Mathematics Olympiads and general quizzes during my school years to exploring dance, sports, and creative activities in college which includes prizes in solo western dance, poster making and slogan writing competitions.</t>
  </si>
  <si>
    <t>Thrissur</t>
  </si>
  <si>
    <t>https://drive.google.com/open?id=1Zx_3dSzBU78LU2mqClv3ZK2lkwJJN45c</t>
  </si>
  <si>
    <t>https://drive.google.com/open?id=1vF9JH8yM1J9uka48ktINb6hYBXMbWNtR</t>
  </si>
  <si>
    <t>Simon C J</t>
  </si>
  <si>
    <t xml:space="preserve">Thrissur </t>
  </si>
  <si>
    <t>Smitha Simon</t>
  </si>
  <si>
    <t>Sijo C J</t>
  </si>
  <si>
    <t>Smitha Sijo</t>
  </si>
  <si>
    <t>anjali.bscnursing-2021@aiimskalyani.edu.in</t>
  </si>
  <si>
    <t>ANJALI KUMARI</t>
  </si>
  <si>
    <t>anjalisingh11sep2001@gmail.com</t>
  </si>
  <si>
    <t xml:space="preserve">Reading books and painting </t>
  </si>
  <si>
    <t xml:space="preserve">Carrom, Volleyball </t>
  </si>
  <si>
    <t>https://drive.google.com/open?id=18qTxgoPcgHKpjZUqm_zKFQRr7h56xlqj</t>
  </si>
  <si>
    <t>https://drive.google.com/open?id=13To9-uDGcU_enaXCXy7MM_U0asbIeV6H</t>
  </si>
  <si>
    <t xml:space="preserve">Bhagwan Singh </t>
  </si>
  <si>
    <t xml:space="preserve">Buisness man </t>
  </si>
  <si>
    <t xml:space="preserve">Pramila Devi </t>
  </si>
  <si>
    <t>sumit.mbbs-2020@aiimskalyani.edu.in</t>
  </si>
  <si>
    <t xml:space="preserve">SUMIT KUMAR MONDAL </t>
  </si>
  <si>
    <t>103/202001153</t>
  </si>
  <si>
    <t xml:space="preserve">Interested in sports specifically in Football </t>
  </si>
  <si>
    <t xml:space="preserve">BARUIPUR </t>
  </si>
  <si>
    <t>https://drive.google.com/open?id=1RP1xjpB3dL7gx3qTEOqfmYOhSLbYKPq4</t>
  </si>
  <si>
    <t>https://drive.google.com/open?id=1B3u1WKM8EwF8a4ko8op32ttXwGMfZgxO</t>
  </si>
  <si>
    <t>CHANDRA KANTA MONDAL</t>
  </si>
  <si>
    <t>GOVERNMENT HIGH SCHOOL TEACHER</t>
  </si>
  <si>
    <t>BARUIPUR</t>
  </si>
  <si>
    <t>SATHI MONDAL SARKAR</t>
  </si>
  <si>
    <t xml:space="preserve">CHANDRA KANTA MONDAL </t>
  </si>
  <si>
    <t>peeyush.derma_pgt23@aiimskalyani.edu.in</t>
  </si>
  <si>
    <t>PEEYUSH KIRAN TRIPATHY</t>
  </si>
  <si>
    <t>peeyushkirantripathy@gmail.com</t>
  </si>
  <si>
    <t xml:space="preserve">Follows cricket </t>
  </si>
  <si>
    <t>Not any</t>
  </si>
  <si>
    <t xml:space="preserve">Bargarh, odisha </t>
  </si>
  <si>
    <t>https://drive.google.com/open?id=1Pu9p4Keekv2HudOzSUaOo-jsQzRrwfRE</t>
  </si>
  <si>
    <t>https://drive.google.com/open?id=1kd5m7bXT60uYqiOWzNXqLonEbtiAAHTf</t>
  </si>
  <si>
    <t xml:space="preserve">SHANKAR TRIPATHY </t>
  </si>
  <si>
    <t>Retiree from BSNL as Sub Divisional Engineer(SDE)</t>
  </si>
  <si>
    <t xml:space="preserve">Bargarh, Odisha </t>
  </si>
  <si>
    <t>NAMITA TRIPATHY</t>
  </si>
  <si>
    <t>Shankar Tripathy</t>
  </si>
  <si>
    <t xml:space="preserve">Namita Tripathy </t>
  </si>
  <si>
    <t>khadija.mbbs-2020@aiimskalyani.edu.in</t>
  </si>
  <si>
    <t>KHADIJA KALAM</t>
  </si>
  <si>
    <t>56/202001106</t>
  </si>
  <si>
    <t>Playing outdoor games,watching drama.</t>
  </si>
  <si>
    <t xml:space="preserve">Badminton </t>
  </si>
  <si>
    <t>Bihar</t>
  </si>
  <si>
    <t>https://drive.google.com/open?id=1_K0EM6KuVzTOwEM7_XyD_mrOCpQYJfWQ</t>
  </si>
  <si>
    <t>https://drive.google.com/open?id=1FiCM2PverwGAbEmervv-W_xjWI_HDVI4</t>
  </si>
  <si>
    <t xml:space="preserve">Late Abdul kalam </t>
  </si>
  <si>
    <t>Ooo</t>
  </si>
  <si>
    <t xml:space="preserve">Roquaida Khatoon </t>
  </si>
  <si>
    <t xml:space="preserve">Ayesha kalam </t>
  </si>
  <si>
    <t xml:space="preserve">Tausif Ahmed </t>
  </si>
  <si>
    <t>varuna.mbbs-2020@aiimskalyani.edu.in</t>
  </si>
  <si>
    <t xml:space="preserve">VARUNA VINOD A </t>
  </si>
  <si>
    <t>iamvaruna20@gmail.com</t>
  </si>
  <si>
    <t xml:space="preserve">Loves dancing and drawing </t>
  </si>
  <si>
    <t>https://drive.google.com/open?id=1ubA8C6KPdYXJpYtv38xpnDxhKGsA9lTF</t>
  </si>
  <si>
    <t>https://drive.google.com/open?id=1h13cIXFRqFSwxteOs7r-i-vAcmAhm6-6</t>
  </si>
  <si>
    <t xml:space="preserve">VINOD </t>
  </si>
  <si>
    <t xml:space="preserve">Ex soldier </t>
  </si>
  <si>
    <t>AJITHA</t>
  </si>
  <si>
    <t>Varnna Vinod A</t>
  </si>
  <si>
    <t>Dr gowri</t>
  </si>
  <si>
    <t>swastik.mbbs-2020@aiimskalyani.edu.in</t>
  </si>
  <si>
    <t>SWASTIK TRIPATHY</t>
  </si>
  <si>
    <t>104 / 202001154</t>
  </si>
  <si>
    <t>Playing tabla, rail travel, WW2 history</t>
  </si>
  <si>
    <t>https://drive.google.com/open?id=1FlQgY3Scj_y3_BUa8Skrlka4aRvx9rXi</t>
  </si>
  <si>
    <t>https://drive.google.com/open?id=1nwJLxBaIq1O7GAOlDLWaU8w59li6tz1W</t>
  </si>
  <si>
    <t>MANOJ KUMAR TRIPATHY</t>
  </si>
  <si>
    <t>LIC HFL</t>
  </si>
  <si>
    <t>BHUBANESWAR</t>
  </si>
  <si>
    <t>SWAGATIKA SARANGI</t>
  </si>
  <si>
    <t>ayantika.bscnursing-2021@aiimskalyani.edu.in</t>
  </si>
  <si>
    <t xml:space="preserve">AYANTIKA HALDER </t>
  </si>
  <si>
    <t>halderayantika834@gmail.com</t>
  </si>
  <si>
    <t xml:space="preserve">Love to dance and enjoy reading novels </t>
  </si>
  <si>
    <t>Bongaon</t>
  </si>
  <si>
    <t>https://drive.google.com/open?id=1iMoknamzIQ9diAvGFUIaGMMJery5lbRU</t>
  </si>
  <si>
    <t>https://drive.google.com/open?id=1-d9UM3yHrHbdgzbXE3mwQ3JHXULrUIMX</t>
  </si>
  <si>
    <t xml:space="preserve">Kartik Halder </t>
  </si>
  <si>
    <t xml:space="preserve">Bongaon </t>
  </si>
  <si>
    <t xml:space="preserve">Sangita Halder </t>
  </si>
  <si>
    <t>pinki.bscnursing-2021@aiimskalyani.edu.in</t>
  </si>
  <si>
    <t xml:space="preserve">Pinki Sharma </t>
  </si>
  <si>
    <t>pinkisharma.sant1996@gmail.com</t>
  </si>
  <si>
    <t>Readings Books, Dancing, playing badminton and chess</t>
  </si>
  <si>
    <t xml:space="preserve">Badminton, carrom board, throw ball, volleyball. </t>
  </si>
  <si>
    <t>https://drive.google.com/open?id=1XKI2Baf5gNkEr1iZrUKPaRUYFstDA3Qt</t>
  </si>
  <si>
    <t>https://drive.google.com/open?id=1IBGikWQEp1XJ6egww1BRi--KEzxk-557</t>
  </si>
  <si>
    <t xml:space="preserve">Mr. Inderlal Sharma </t>
  </si>
  <si>
    <t xml:space="preserve">Mrs. Santoshi Devi </t>
  </si>
  <si>
    <t xml:space="preserve">Ms. Babita </t>
  </si>
  <si>
    <t xml:space="preserve">Mr. Birendra Sharma </t>
  </si>
  <si>
    <t>vikash.mbbs-2020@aiimskalyani.edu.in</t>
  </si>
  <si>
    <t xml:space="preserve">VIKASH KUMAR RAI </t>
  </si>
  <si>
    <t>111/202001161</t>
  </si>
  <si>
    <r>
      <rPr>
        <rFont val="Arial"/>
        <b/>
        <color theme="1"/>
      </rPr>
      <t>Mother's</t>
    </r>
    <r>
      <rPr>
        <rFont val="Arial"/>
        <color theme="1"/>
      </rPr>
      <t xml:space="preserve"> </t>
    </r>
    <r>
      <rPr>
        <rFont val="Arial"/>
        <b/>
        <color theme="1"/>
      </rPr>
      <t>Occupation / Designation &amp; Affiliation</t>
    </r>
  </si>
  <si>
    <t xml:space="preserve">Playing cricket ,watching movies </t>
  </si>
  <si>
    <r>
      <rPr>
        <rFont val="Arial"/>
        <b/>
        <color theme="1"/>
      </rPr>
      <t>Mother's</t>
    </r>
    <r>
      <rPr>
        <rFont val="Arial"/>
        <color theme="1"/>
      </rPr>
      <t xml:space="preserve"> </t>
    </r>
    <r>
      <rPr>
        <rFont val="Arial"/>
        <b/>
        <color theme="1"/>
      </rPr>
      <t>City / Place of Residence</t>
    </r>
  </si>
  <si>
    <t>STS 2023 awardee.published 5 research papers during MBBS.</t>
  </si>
  <si>
    <r>
      <rPr>
        <rFont val="Arial"/>
        <b/>
        <color theme="1"/>
      </rPr>
      <t>Mother's</t>
    </r>
    <r>
      <rPr>
        <rFont val="Arial"/>
        <color theme="1"/>
      </rPr>
      <t xml:space="preserve"> </t>
    </r>
    <r>
      <rPr>
        <rFont val="Arial"/>
        <b/>
        <color theme="1"/>
      </rPr>
      <t>Contact Number</t>
    </r>
  </si>
  <si>
    <t xml:space="preserve">Pokhrera,Taraiya ,Saran ,841424 ,Bihar </t>
  </si>
  <si>
    <t>https://drive.google.com/open?id=1xoY71ouDAOV0jnsCI692BaKWbhCiZL-r</t>
  </si>
  <si>
    <t>https://drive.google.com/open?id=1CpvOYOqC8OXeTRFmNioCrYg3_7hSZ39Q</t>
  </si>
  <si>
    <t>Brahma Deo Rai</t>
  </si>
  <si>
    <t xml:space="preserve">Business/graduate </t>
  </si>
  <si>
    <t xml:space="preserve">Pokhrera ,Taraiya ,Saran </t>
  </si>
  <si>
    <t xml:space="preserve">Sushila devi </t>
  </si>
  <si>
    <t xml:space="preserve">Homemaker /graduate </t>
  </si>
  <si>
    <t xml:space="preserve">Brahma Deo Rai </t>
  </si>
  <si>
    <t>anusree.mbbs-2020@aiimskalyani.edu.in</t>
  </si>
  <si>
    <t>ANUSREE JAYAN</t>
  </si>
  <si>
    <t>anusreejayan77@gmail.com</t>
  </si>
  <si>
    <t>Music-vocals, movies</t>
  </si>
  <si>
    <t xml:space="preserve">Edappal, Kerala </t>
  </si>
  <si>
    <t>https://drive.google.com/open?id=11TxnwfocD6eDqSWk_1PNN0MI2jyrL5ZS</t>
  </si>
  <si>
    <t>https://drive.google.com/open?id=1friM3Un9sYBrvVFof6J8GyRDWrPBGbVU</t>
  </si>
  <si>
    <t>Jayan k k</t>
  </si>
  <si>
    <t>Boat mechanic</t>
  </si>
  <si>
    <t>Palakkad, kerala</t>
  </si>
  <si>
    <t xml:space="preserve">Ranjini jayan </t>
  </si>
  <si>
    <t>Ponnani, Kerala</t>
  </si>
  <si>
    <t>Ranjini Jayan</t>
  </si>
  <si>
    <t>Jayan K K</t>
  </si>
  <si>
    <t>aniket.mbbs-2020@aiimskalyani.edu.in</t>
  </si>
  <si>
    <t>ANIKET SARKAR</t>
  </si>
  <si>
    <t>16/ 20200166</t>
  </si>
  <si>
    <t xml:space="preserve">Trekking </t>
  </si>
  <si>
    <t>Nil</t>
  </si>
  <si>
    <t xml:space="preserve">Haldia </t>
  </si>
  <si>
    <t>https://drive.google.com/open?id=1bEWCSfyhLSa7C1kgtitoPCS8bkIuBpmf</t>
  </si>
  <si>
    <t>https://drive.google.com/open?id=1a8yvFYEqjTFWSGtX0ctxOqXemjricIEX</t>
  </si>
  <si>
    <t>BARUN KUMAR SARKAR</t>
  </si>
  <si>
    <t>Retired govt. Employee</t>
  </si>
  <si>
    <t>Rinku Sarkar</t>
  </si>
  <si>
    <t>Govt. School teacher</t>
  </si>
  <si>
    <t>Barun Kumar Sarkar</t>
  </si>
  <si>
    <t>satyajeetrajmgr@gmail.com</t>
  </si>
  <si>
    <t xml:space="preserve">SATYAJEET RAJ </t>
  </si>
  <si>
    <t>satyajeet.mbbs-2020@aiimskalyani.edu.in</t>
  </si>
  <si>
    <t xml:space="preserve">ICMR STS completed </t>
  </si>
  <si>
    <t xml:space="preserve">Munger </t>
  </si>
  <si>
    <t>https://drive.google.com/open?id=168MUPAft9nz3m2kjmj8i_54f5AFf1pyf</t>
  </si>
  <si>
    <t>https://drive.google.com/open?id=1BlByegnrRZoQ6dQfUCSXpHSMRgmp18KO</t>
  </si>
  <si>
    <t xml:space="preserve">Gopal Kumar </t>
  </si>
  <si>
    <t xml:space="preserve">Government employee </t>
  </si>
  <si>
    <t>Munger</t>
  </si>
  <si>
    <t>Soni Devi</t>
  </si>
  <si>
    <t xml:space="preserve">Satyapriya Raj </t>
  </si>
  <si>
    <t>sabita.mbbs-2020@aiimskalyani.edu.in</t>
  </si>
  <si>
    <t>SABITA MEHER</t>
  </si>
  <si>
    <t>sabitameher054@gmail.com</t>
  </si>
  <si>
    <t>Painting</t>
  </si>
  <si>
    <t>Badminton, Volleyball</t>
  </si>
  <si>
    <t>Duajhar, khariar , Nuapada , Odisha</t>
  </si>
  <si>
    <t>https://drive.google.com/open?id=1Awo4tkcxz5_bkVWxO7auydndnGz_goeX</t>
  </si>
  <si>
    <t>https://drive.google.com/open?id=1mq7q831Mr_qKEhpGM03-BNeH3VBL5AbI</t>
  </si>
  <si>
    <t>Bibatsa Meher</t>
  </si>
  <si>
    <t>Duajhar, Khariar, Nuapada ,Odisha</t>
  </si>
  <si>
    <t>Sanjukta Meher</t>
  </si>
  <si>
    <t>murari.mbbs-2020@aiimskalyani.edu.in</t>
  </si>
  <si>
    <t xml:space="preserve">MURARI SHARMA </t>
  </si>
  <si>
    <t>sharmamd1405@gmail.com</t>
  </si>
  <si>
    <t xml:space="preserve">cricket and shotput </t>
  </si>
  <si>
    <t xml:space="preserve">jaipur </t>
  </si>
  <si>
    <t>https://drive.google.com/open?id=18pKd70kp8dxSoj4vjUBYeSdWhOZwlF0L</t>
  </si>
  <si>
    <t>https://drive.google.com/open?id=14ceMSuEc3pkisKYM3NixHSGcxAjmG1sF</t>
  </si>
  <si>
    <t xml:space="preserve">Mr.HANUMAN SAHAY SHARMA </t>
  </si>
  <si>
    <t xml:space="preserve">businessman </t>
  </si>
  <si>
    <t>RAJU DEVI</t>
  </si>
  <si>
    <t>n/a</t>
  </si>
  <si>
    <t xml:space="preserve">ishvar Vaishnav </t>
  </si>
  <si>
    <t xml:space="preserve">Friend </t>
  </si>
  <si>
    <t>https://drive.google.com/open?id=1KQ-Xwv7YV4z_8uNWiPqxFY3is8juWUs-</t>
  </si>
  <si>
    <t>https://drive.google.com/open?id=1KyaLIdCt2MgshoIA4JrddZDP2txkUFS8</t>
  </si>
  <si>
    <t xml:space="preserve">HANUMAN SAHAY SHARMA </t>
  </si>
  <si>
    <t xml:space="preserve">Raju Devi </t>
  </si>
  <si>
    <t>N/a</t>
  </si>
  <si>
    <t>sudip.mbbs-2020@aiimskalyani.edu.in</t>
  </si>
  <si>
    <t>SUDIP CHATTERJEE</t>
  </si>
  <si>
    <t>102/202001152</t>
  </si>
  <si>
    <t>sudipchatterjee429@gmail.com</t>
  </si>
  <si>
    <t>Drawing</t>
  </si>
  <si>
    <t>https://drive.google.com/open?id=1A4XDVORt_CDsjhRF3DMaEsPZHR5ZnYcg</t>
  </si>
  <si>
    <t>https://drive.google.com/open?id=1-CT1lElOCOApOe8HcjXxEVMeahpqcT2L</t>
  </si>
  <si>
    <t>RAGHUNATH CHATTERJEE</t>
  </si>
  <si>
    <t>MANASI CHATTERJEE</t>
  </si>
  <si>
    <t xml:space="preserve">RAGHUNATH CHATTERJEE </t>
  </si>
  <si>
    <t xml:space="preserve">MANASI CHATTERJEE </t>
  </si>
  <si>
    <t>ritik.mbbs-2020@aiimskalyani.edu.in</t>
  </si>
  <si>
    <t>RITIK KOTHARI</t>
  </si>
  <si>
    <t>ritikkotharigrd2000@gmail.com</t>
  </si>
  <si>
    <t xml:space="preserve">travelling ,trekking, adventure activities and fitness.
Community engagement and doing health camps.
</t>
  </si>
  <si>
    <t>Badminton &amp; trekking.</t>
  </si>
  <si>
    <t>Giridih</t>
  </si>
  <si>
    <t>https://drive.google.com/open?id=1wHZS8OrWJEM90wgdYvyFydCuzRS1HMFQ</t>
  </si>
  <si>
    <t>https://drive.google.com/open?id=1sChepRzxmD6AOCZJfQ2_8-Wd-2_z2vfU</t>
  </si>
  <si>
    <t>Dilip saw</t>
  </si>
  <si>
    <t>Geeta Devi</t>
  </si>
  <si>
    <t xml:space="preserve">Dilip saw </t>
  </si>
  <si>
    <t>druvan.mbbs-2020@aiimskalyani.edu.in</t>
  </si>
  <si>
    <t>DRUVAN J</t>
  </si>
  <si>
    <t>druvanj@gmail.com</t>
  </si>
  <si>
    <t>Malappuram</t>
  </si>
  <si>
    <t>https://drive.google.com/open?id=1_Fws1n7UzAq40kmglexanOG1kBZE5KGi</t>
  </si>
  <si>
    <t>https://drive.google.com/open?id=1SV6HkHqvwbebo7ozYz_e03owDQxGPPt5</t>
  </si>
  <si>
    <t>JayanDas  P P</t>
  </si>
  <si>
    <t>Senior Superintendent, Kerala State Electricity Board</t>
  </si>
  <si>
    <t>Nisha Balachandran</t>
  </si>
  <si>
    <t>Teacher, Ace public school</t>
  </si>
  <si>
    <t>JayanDas P P</t>
  </si>
  <si>
    <t>sharafudheen.mbbs-2020@aiimskalyani.edu.in</t>
  </si>
  <si>
    <t>SHARAFUDHEEN EP</t>
  </si>
  <si>
    <t>Roll no.88/ enrollment no.202001138</t>
  </si>
  <si>
    <t>sharafudheencu@gmail.com</t>
  </si>
  <si>
    <t xml:space="preserve">My primary pursuit lies in medicine—specifically delving into novel therapeutic approaches, complex pathology, and recent medical literature to continually refine my clinical knowledge. Alongside academics, athletics and creative pursuits play a central role in my life. I serve as a Defensive Midfielder and captain for my football team, leading our squad to several tournament victories. In my leisure time, I engage in competitive photography—having earned accolades at Kaleidoscope and Elyssia fest—as well as exploring global cinema and literature.
</t>
  </si>
  <si>
    <t xml:space="preserve">​A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t>
  </si>
  <si>
    <t xml:space="preserve">Kozhikode </t>
  </si>
  <si>
    <t>https://drive.google.com/open?id=1Bk0wxMpudBETN9z-zdPQcWVsJgv2tbSi</t>
  </si>
  <si>
    <t>https://drive.google.com/open?id=1Vy2brWMw1cMROXFbopo9E6xG_46YSJNC</t>
  </si>
  <si>
    <t>Yuseph EP</t>
  </si>
  <si>
    <t xml:space="preserve">Chennai </t>
  </si>
  <si>
    <t>Shabana m</t>
  </si>
  <si>
    <t xml:space="preserve">Yuseph EP </t>
  </si>
  <si>
    <t>Shabana M</t>
  </si>
  <si>
    <t>debmalya.mbbs-2020@aiimskalyani.edu.in</t>
  </si>
  <si>
    <t xml:space="preserve">DEBMALYA BANERJEE </t>
  </si>
  <si>
    <t>42/ 20200192</t>
  </si>
  <si>
    <t>Burdwan</t>
  </si>
  <si>
    <t>https://drive.google.com/open?id=1w0p1UgCZceHpl4zAHRlEDEs-mamWZRR0</t>
  </si>
  <si>
    <t>https://drive.google.com/open?id=1VypwVnmo6UgJ2Qmc_15cn-26yojIIqxW</t>
  </si>
  <si>
    <t xml:space="preserve">Debasis Banerjee </t>
  </si>
  <si>
    <t xml:space="preserve">Burdwan </t>
  </si>
  <si>
    <t>Mala Banerjee</t>
  </si>
  <si>
    <t xml:space="preserve">Mala Banerjee </t>
  </si>
  <si>
    <t>ajay.mbbs-2020@aiimskalyani.edu.in</t>
  </si>
  <si>
    <t xml:space="preserve">AJAY MOHAN </t>
  </si>
  <si>
    <t>116/202001166</t>
  </si>
  <si>
    <t>Outdoor sports, playing chess and listening to music.</t>
  </si>
  <si>
    <t>Football,throwball,chess, carroms , volleyball/ won multiple awards for each in every year.</t>
  </si>
  <si>
    <t>KOLLAM</t>
  </si>
  <si>
    <t>https://drive.google.com/open?id=16SyqDdIfbnjIEjxl_lbS2zIR65AdIHHI</t>
  </si>
  <si>
    <t>https://drive.google.com/open?id=1Se8DrkIUwzWpWyzR-Igc_qlTBp5Mhxs0</t>
  </si>
  <si>
    <t>MOHAN KUMAR T</t>
  </si>
  <si>
    <t>RETIRED/MBA, BCOM</t>
  </si>
  <si>
    <t>SREELATHA I</t>
  </si>
  <si>
    <t>HOME MAKER/ BCOM</t>
  </si>
  <si>
    <t>lucky.mbbs-2020@aiimskalyani.edu.in</t>
  </si>
  <si>
    <t>LUCKY BANSAL</t>
  </si>
  <si>
    <t xml:space="preserve">I like sports and games , love doing art and craft , painting and travelling and photography. </t>
  </si>
  <si>
    <t>I have participated in many events during fest in college such as arts and craft and badminton, volleyball , throwball and achieved many prizes.</t>
  </si>
  <si>
    <t>Jaipur , Rajasthan</t>
  </si>
  <si>
    <t>https://drive.google.com/open?id=1WfEEKO1GwbW3GEdHnu0Lep3QC_G034Dt</t>
  </si>
  <si>
    <t>https://drive.google.com/open?id=16WSpzrs0e-SrP9vdTQpzH3V6kfbIgvOP</t>
  </si>
  <si>
    <t>Rajesh Bansal</t>
  </si>
  <si>
    <t xml:space="preserve">Dausa, Rajasthan </t>
  </si>
  <si>
    <t>Mamta Bansal</t>
  </si>
  <si>
    <t xml:space="preserve">Dausa , Rajasthan </t>
  </si>
  <si>
    <t>balram.mbbs-2020@aiimskalyani.edu.in</t>
  </si>
  <si>
    <t>BALRAM SHARMA</t>
  </si>
  <si>
    <t>nicebalramsharma@gmail.com</t>
  </si>
  <si>
    <t xml:space="preserve">Vimalpura </t>
  </si>
  <si>
    <t>https://drive.google.com/open?id=1YNlHO2Sdw2o2_z4aADxeUoJacLrk4iaY</t>
  </si>
  <si>
    <t>https://drive.google.com/open?id=1th2NXqCtk6V21Xh0Lt2PNm5TT5DW0g5j</t>
  </si>
  <si>
    <t xml:space="preserve">Bhagwan sahay Sharma </t>
  </si>
  <si>
    <t xml:space="preserve">Gulab Devi </t>
  </si>
  <si>
    <t>ashutosh.mbbs-2020@aiimskalyani.edu.in</t>
  </si>
  <si>
    <t xml:space="preserve">ASHUTOSH KUMAR </t>
  </si>
  <si>
    <t>28 / 20200178</t>
  </si>
  <si>
    <t>ashutoshajnvi@gmail.com</t>
  </si>
  <si>
    <t xml:space="preserve">Acting </t>
  </si>
  <si>
    <t xml:space="preserve">Nawada </t>
  </si>
  <si>
    <t>https://drive.google.com/open?id=19I6hrZOuMWLrfICQwNh3M1riywaHpy-N</t>
  </si>
  <si>
    <t>https://drive.google.com/open?id=1ThszkALqpabg3JKiI8FixCV8pXi-dssS</t>
  </si>
  <si>
    <t xml:space="preserve">Lt Jay prakash singh </t>
  </si>
  <si>
    <t xml:space="preserve">NAWADA </t>
  </si>
  <si>
    <t>UMA DEVI</t>
  </si>
  <si>
    <t>NAWADA</t>
  </si>
  <si>
    <t>Anokha kumar</t>
  </si>
  <si>
    <t>sangeeta.bscnursing-2021@aiimskalyani.edu.in</t>
  </si>
  <si>
    <t>sangeeta choudhary</t>
  </si>
  <si>
    <t>sangeeta9351961677@gmail.com</t>
  </si>
  <si>
    <t>I like to sing or run in my leisure times; I am interested in dance and qlass painting, Besides, I like watching shows online, my favourite genres are action comedy, mystery, and fantasy drama.</t>
  </si>
  <si>
    <t>1. Responsibility of Student Organising Secretary of Annual sociocultural fest - Elvssia 2024
2. Represented college in intercollege Band Group Dance and Quiz competitions
3. Volunteered in free health checkup camps in Rural Bengal</t>
  </si>
  <si>
    <t>https://drive.google.com/open?id=1oiD-5x7tgVJalldoJDukD9pLaxJ6l2rM</t>
  </si>
  <si>
    <t>https://drive.google.com/open?id=1YUuDhitGgo-CCmCX2VG3nOAvqHqlOy7Z</t>
  </si>
  <si>
    <t>Prasant kumar Saboth</t>
  </si>
  <si>
    <t>MD Pediatrics, Professor at IMS and SUM Hospital, Bhubaneswar</t>
  </si>
  <si>
    <t>Mental Health Counselor</t>
  </si>
  <si>
    <t>Dr. Prasant kumar Saboth</t>
  </si>
  <si>
    <t>suchismita19999991@gmail.com</t>
  </si>
  <si>
    <t xml:space="preserve">Suchismita Adhikari </t>
  </si>
  <si>
    <t>debaritriadhikary5@gmail.com</t>
  </si>
  <si>
    <t xml:space="preserve">DEBARITRI ADHIKARY </t>
  </si>
  <si>
    <t>punya.mbbs-2020@aiimskalyani.edu.in</t>
  </si>
  <si>
    <t>PUNYA PRAKASH k</t>
  </si>
  <si>
    <t>punyaprakashk2001@gmail.com</t>
  </si>
  <si>
    <t xml:space="preserve">Malappuram, Kerala </t>
  </si>
  <si>
    <t>https://drive.google.com/open?id=1jy6suLzwa_dTurH5eohBevYr_ycOniMu</t>
  </si>
  <si>
    <t>https://drive.google.com/open?id=1g5PJZfQe2LsPmQD_nyzYI2PbSRoHhrRG</t>
  </si>
  <si>
    <t xml:space="preserve">Jayaprakash KV </t>
  </si>
  <si>
    <t xml:space="preserve">Electrician </t>
  </si>
  <si>
    <t xml:space="preserve">Preetha Kumar </t>
  </si>
  <si>
    <t>Jayaprakash KV</t>
  </si>
  <si>
    <t>nargisbanu004@gmail.com</t>
  </si>
  <si>
    <t>NARGIS BANU</t>
  </si>
  <si>
    <t xml:space="preserve">Gardening </t>
  </si>
  <si>
    <t>https://drive.google.com/open?id=14IGg4zMswkm243qLG6lAuHvHj7PTfs92</t>
  </si>
  <si>
    <t>https://drive.google.com/open?id=15U1aWPkjU2mlNHMOjUQn8KDcDguBn5cq</t>
  </si>
  <si>
    <t xml:space="preserve">Nasim akhter </t>
  </si>
  <si>
    <t xml:space="preserve">Goagaon </t>
  </si>
  <si>
    <t>Najma khatun</t>
  </si>
  <si>
    <t xml:space="preserve">Nasim Akhter </t>
  </si>
  <si>
    <t xml:space="preserve">Nasima Khatun </t>
  </si>
  <si>
    <t>atul.mbbs-2020@aiimskalyani.edu.in</t>
  </si>
  <si>
    <t>ATUL BHARTI</t>
  </si>
  <si>
    <t>29/20200179</t>
  </si>
  <si>
    <t>Club Head of Art Club for 3 yrs</t>
  </si>
  <si>
    <t>https://drive.google.com/open?id=18xwbRuQk_4qlFl55NM7IuWdQkjK3odPm</t>
  </si>
  <si>
    <t>https://drive.google.com/open?id=1eyLJPN3lw_f1Ch7Egwvs-Ru0H_aj6dLb</t>
  </si>
  <si>
    <t>Manohar Lal</t>
  </si>
  <si>
    <t xml:space="preserve">Railway Employee/Senior Sectional Incharge </t>
  </si>
  <si>
    <t>Patna/Patna,Bihar</t>
  </si>
  <si>
    <t>Anita Devi</t>
  </si>
  <si>
    <t xml:space="preserve">Home maker/ Intermediate </t>
  </si>
  <si>
    <t>aman1.mbbs-2020@aiimskalyani.edu.in</t>
  </si>
  <si>
    <t xml:space="preserve">Aman Kumar </t>
  </si>
  <si>
    <t>10/20200160</t>
  </si>
  <si>
    <t xml:space="preserve">Motihari </t>
  </si>
  <si>
    <t>https://drive.google.com/open?id=1R1gtCqMAhDFfdQwMWOSS1fbnQcxnNxZR</t>
  </si>
  <si>
    <t>https://drive.google.com/open?id=1Fb6lfF9worxGAHa7aPvmrYXfqhbM3jAV</t>
  </si>
  <si>
    <t xml:space="preserve">Arvind Kumar Singh </t>
  </si>
  <si>
    <t xml:space="preserve">Agriculture </t>
  </si>
  <si>
    <t>Ranjana Singh</t>
  </si>
  <si>
    <t xml:space="preserve">Sweta Bharti </t>
  </si>
  <si>
    <t>rohit.mbbs-2020@aiimskalyani.edu.in</t>
  </si>
  <si>
    <t>ROHIT KR SAHANI</t>
  </si>
  <si>
    <t>rohitkrsahani2@gmail.com</t>
  </si>
  <si>
    <t>https://drive.google.com/open?id=1HU34fZM7HSXHjONRwz8ToBFkzv_qYsSW</t>
  </si>
  <si>
    <t>https://drive.google.com/open?id=1hSr_jp_RTXIQ1FKAYzWqj61dcxPdJLo7</t>
  </si>
  <si>
    <t>Binod Kr Sahani</t>
  </si>
  <si>
    <t>Central Government Job at CIFRI</t>
  </si>
  <si>
    <t>Neelam Devi</t>
  </si>
  <si>
    <t>Binod kr Sahani</t>
  </si>
  <si>
    <t xml:space="preserve">Neelam Devi </t>
  </si>
  <si>
    <t>sayanth.psych_pgt23@aiimskalyani.edu.in</t>
  </si>
  <si>
    <t xml:space="preserve">SAYANTH J </t>
  </si>
  <si>
    <t>j95sayanth@gmail.com</t>
  </si>
  <si>
    <t>aprajita.mbbs-2020@aiimskalyani.edu.in</t>
  </si>
  <si>
    <t>APRAJITA</t>
  </si>
  <si>
    <t xml:space="preserve">Sports(badminton,throwball,carrom) , </t>
  </si>
  <si>
    <t xml:space="preserve">Best female sports award ,  sports club head </t>
  </si>
  <si>
    <t>https://drive.google.com/open?id=1HQrbUDwE2Dr-HEe-H8jo9KfYUnZ7KBe5</t>
  </si>
  <si>
    <t>https://drive.google.com/open?id=1bfBdhx5yPF7amqqYEypjXEoZcqC-Ho1d</t>
  </si>
  <si>
    <t>Kumar Manoj</t>
  </si>
  <si>
    <t>Sikandra, jamui, bihar</t>
  </si>
  <si>
    <t>Manju devi</t>
  </si>
  <si>
    <t>Sikandra, jamui, Bihar</t>
  </si>
  <si>
    <t>Kumar manoj</t>
  </si>
  <si>
    <t>jayashree.psych_pgt23@aiimskalyani.edu.in</t>
  </si>
  <si>
    <t>JAYASHREE KALITA</t>
  </si>
  <si>
    <t>jayashreeas5697@gmail.com</t>
  </si>
  <si>
    <t xml:space="preserve">Singing, travelling </t>
  </si>
  <si>
    <t>guwahati</t>
  </si>
  <si>
    <t>https://drive.google.com/open?id=1NPmdqGptti8bxHVklA2TrXv8hZmjuwem</t>
  </si>
  <si>
    <t>https://drive.google.com/open?id=1o9mG8dwKI62kuFvg2MOMlrGDdbpdXVJF</t>
  </si>
  <si>
    <t>Ananda Kalita</t>
  </si>
  <si>
    <t>administrative officer</t>
  </si>
  <si>
    <t>assam</t>
  </si>
  <si>
    <t>Tulumoni Kalita</t>
  </si>
  <si>
    <t>teacher</t>
  </si>
  <si>
    <t>anurags.mbbs-2020@aiimskalyani.edu.in</t>
  </si>
  <si>
    <t>ANURAG SAMANTA</t>
  </si>
  <si>
    <t>21/20200171</t>
  </si>
  <si>
    <t xml:space="preserve">Travelling and fitness </t>
  </si>
  <si>
    <t xml:space="preserve">Volleyball </t>
  </si>
  <si>
    <t xml:space="preserve">Mecheda ,Purba Medinipur </t>
  </si>
  <si>
    <t>https://drive.google.com/open?id=1PIlB8a8fUozyBqhUyq_KQHq_JBJw6yY6</t>
  </si>
  <si>
    <t>https://drive.google.com/open?id=1jSid3nJ-FX0dAF3RNvRUcB9xyo_NyaIZ</t>
  </si>
  <si>
    <t>SAMARESH SAMANTA</t>
  </si>
  <si>
    <t xml:space="preserve">Retired Office Superintendent in Indian Railways </t>
  </si>
  <si>
    <t xml:space="preserve">Mecheda,Purba Medinipur </t>
  </si>
  <si>
    <t>SNIGDHA SAMANTA</t>
  </si>
  <si>
    <t>Staff Nurse in Government of West Bengal</t>
  </si>
  <si>
    <t xml:space="preserve">Debra,Paschim Medinipur </t>
  </si>
  <si>
    <t>haritha.bscnursing-2021@aiimskalyani.edu.in</t>
  </si>
  <si>
    <t xml:space="preserve">HARITHA </t>
  </si>
  <si>
    <t>arman.mbbs-2020@aiimskalyani.edu.in</t>
  </si>
  <si>
    <t xml:space="preserve">ARMAN ANSARI </t>
  </si>
  <si>
    <t>Poetry</t>
  </si>
  <si>
    <t>Pakur</t>
  </si>
  <si>
    <t>https://drive.google.com/open?id=1pkclO8SBRQ8Fkb84z4IuG_c-Fm5zLbqA</t>
  </si>
  <si>
    <t>https://drive.google.com/open?id=1MCjRAjVQhzPZIpdpPzV6gSW3D60B3guq</t>
  </si>
  <si>
    <t xml:space="preserve">LIYAKAT ALI </t>
  </si>
  <si>
    <t xml:space="preserve">RUBI BEGAM </t>
  </si>
  <si>
    <t xml:space="preserve">Pakur </t>
  </si>
  <si>
    <t xml:space="preserve">LIYAKAT Ali </t>
  </si>
  <si>
    <t>rohitraj.mbbs-2020@aiimskalyani.edu.in</t>
  </si>
  <si>
    <t>ROHIT RAJ KHANDELWAL</t>
  </si>
  <si>
    <t>79/ 202001129</t>
  </si>
  <si>
    <t>dr.rohitrajkhandelwal@gmail.com</t>
  </si>
  <si>
    <t>Running, cycling, swimming  and listening to music.</t>
  </si>
  <si>
    <t>https://drive.google.com/open?id=1ovuJzV1YJeltkjQ5ns0tq9hIDvmeEvu6</t>
  </si>
  <si>
    <t>https://drive.google.com/open?id=1ects1CDfcrcZZ_DjgDuwb7jaJ_2TyWUp</t>
  </si>
  <si>
    <t xml:space="preserve">Arun kumar khandelwal </t>
  </si>
  <si>
    <t>Chief Manager (retired) - Bank of Baroda</t>
  </si>
  <si>
    <t>Sarita Gupta</t>
  </si>
  <si>
    <t xml:space="preserve">Tax consultant </t>
  </si>
  <si>
    <t xml:space="preserve">Sarita gupta </t>
  </si>
  <si>
    <t>moumita.mscnursing-2024@aiimskalyani.edu.in</t>
  </si>
  <si>
    <t xml:space="preserve">MOUMITA MAJI </t>
  </si>
  <si>
    <t>majimoumita4m@gmail.com</t>
  </si>
  <si>
    <t>https://drive.google.com/open?id=1gqmOrHyFZXcDOqIR7maxpa8fwYcVR7Uh</t>
  </si>
  <si>
    <t>https://drive.google.com/open?id=1Yqm9uF_uYQXIlcX04aA_qY57iVI5TGhG</t>
  </si>
  <si>
    <t>Mr. Milan Maji</t>
  </si>
  <si>
    <t>Buisness Man</t>
  </si>
  <si>
    <t xml:space="preserve">Chanda more, Asansol </t>
  </si>
  <si>
    <t>Mrs. Dipali Maji</t>
  </si>
  <si>
    <t xml:space="preserve">House Wife </t>
  </si>
  <si>
    <t>Milan Maji</t>
  </si>
  <si>
    <t>Dipali Maji</t>
  </si>
  <si>
    <t>swatisonam3300@gmail.com</t>
  </si>
  <si>
    <t xml:space="preserve">Swati Sonam </t>
  </si>
  <si>
    <t>Travelling and cooking</t>
  </si>
  <si>
    <t>https://drive.google.com/open?id=1X5yvInn0LKKltmkmiQUxZtNUQus4M7YM</t>
  </si>
  <si>
    <t>https://drive.google.com/open?id=16h2scTZqNLLt3RgCz7rwNOyIhgmbsPB4</t>
  </si>
  <si>
    <t xml:space="preserve">Pramod Kumar </t>
  </si>
  <si>
    <t>LAB TECHNICIAN pvt.</t>
  </si>
  <si>
    <t>Kumari Raushan</t>
  </si>
  <si>
    <t>ANM</t>
  </si>
  <si>
    <t>Pramod Kumar</t>
  </si>
  <si>
    <t>rahul.mbbs-2020@aiimskalyani.edu.in</t>
  </si>
  <si>
    <t>RAHUL</t>
  </si>
  <si>
    <t>rahulsaini786xx@gmail.com</t>
  </si>
  <si>
    <t xml:space="preserve">Philosophy, Investing </t>
  </si>
  <si>
    <t>Nothing</t>
  </si>
  <si>
    <t>Bhiwani, Haryana</t>
  </si>
  <si>
    <t>https://drive.google.com/open?id=19EwT0DyI9ymplMGneLNVBtIwc514sR_h</t>
  </si>
  <si>
    <t>https://drive.google.com/open?id=16D4ecvv2U-2snIq82bZDHRLLQSpNeuZL</t>
  </si>
  <si>
    <t>Om Parkash</t>
  </si>
  <si>
    <t>Wholeseller</t>
  </si>
  <si>
    <t>Maina</t>
  </si>
  <si>
    <t>Football, watching movies, reading books</t>
  </si>
  <si>
    <t>Winner of house football tournament</t>
  </si>
  <si>
    <t>https://drive.google.com/open?id=1Dsa2tQ1Snh-r4zUGRFxQYCCB4QXoXhVD</t>
  </si>
  <si>
    <t>https://drive.google.com/open?id=1exd5y3fNQkcvwlIi8dEq1IGQ-Jx-C0iC</t>
  </si>
  <si>
    <t>M somaprasad</t>
  </si>
  <si>
    <t xml:space="preserve">Retired divison officer manager united india insurance </t>
  </si>
  <si>
    <t>Malappuram kerala</t>
  </si>
  <si>
    <t>Retired higher secondary school teacher</t>
  </si>
  <si>
    <t>neha.bscnursing-2021@aiimskalyani.edu.in</t>
  </si>
  <si>
    <t>Neha Bharti</t>
  </si>
  <si>
    <t>nehabharti8257@gmail.com</t>
  </si>
  <si>
    <t xml:space="preserve">Like to read books,play badminton </t>
  </si>
  <si>
    <t>Have achieved medals and certificates for several games in college fest</t>
  </si>
  <si>
    <t>https://drive.google.com/open?id=1LhzzXJs-UnohE681HgwaOAw45n28JXz3</t>
  </si>
  <si>
    <t>https://drive.google.com/open?id=1UZx222ibsk9zHzcsDK6VCCTTZCDJYoi0</t>
  </si>
  <si>
    <t xml:space="preserve">Sanjay Kumar Singh </t>
  </si>
  <si>
    <t xml:space="preserve">Retired Army Officer </t>
  </si>
  <si>
    <t>Pratima singh</t>
  </si>
  <si>
    <t>mohua.bscnursing-2021@aiimskalyani.edu.in</t>
  </si>
  <si>
    <t xml:space="preserve">MOHUA KHATUN </t>
  </si>
  <si>
    <t xml:space="preserve">Gardening,Cooking,Spending time with family and friends
</t>
  </si>
  <si>
    <t xml:space="preserve">Health Convener of CON, Aiims Kalyani </t>
  </si>
  <si>
    <t>Arambagh, Hooghly, West Bengal</t>
  </si>
  <si>
    <t>https://drive.google.com/open?id=1jg--PfomRC8U5u4fxaR52oQRHrvm3LhQ</t>
  </si>
  <si>
    <t>https://drive.google.com/open?id=15DqgMzqxVTeyVlE8ii224-5hgM0RqaHD</t>
  </si>
  <si>
    <t>Sk Manuar Ali</t>
  </si>
  <si>
    <t>Embroidery Worker</t>
  </si>
  <si>
    <t xml:space="preserve">Arambagh, Hooghly, West Bengal </t>
  </si>
  <si>
    <t>Abeda Begam</t>
  </si>
  <si>
    <t xml:space="preserve">Abeda Begam </t>
  </si>
  <si>
    <t>Mabuda Begam</t>
  </si>
  <si>
    <t xml:space="preserve">Aunty </t>
  </si>
  <si>
    <t>saraswati.bscnursing-2021@aiimskalyani.edu.in</t>
  </si>
  <si>
    <t xml:space="preserve">SARASWATI KUMARI </t>
  </si>
  <si>
    <t>sarasranchi8084@gmail.com</t>
  </si>
  <si>
    <t>sanith.patho_pgt23@aiimskalyani.edu.in</t>
  </si>
  <si>
    <t>Dr. Sanith Mani</t>
  </si>
  <si>
    <t>sanithmani@gmail.com</t>
  </si>
  <si>
    <t>Reading, watching movies, travelling</t>
  </si>
  <si>
    <t>Football</t>
  </si>
  <si>
    <t>Kottayam, kerala</t>
  </si>
  <si>
    <t>https://drive.google.com/open?id=1mwdUPbPaO99_i4UyRy4U0ctnJjbfI1wx</t>
  </si>
  <si>
    <t>https://drive.google.com/open?id=1aEn6zynYMtTqU82pZLlLnFjsJXaMolgi</t>
  </si>
  <si>
    <t>Lt. Mani Cyriac</t>
  </si>
  <si>
    <t>Kottayam</t>
  </si>
  <si>
    <t>Ancy Mani</t>
  </si>
  <si>
    <t>MERLIN SABU</t>
  </si>
  <si>
    <t>SPOUSE</t>
  </si>
  <si>
    <t>prama.mscnursing-2024@aiimskalyani.edu.in</t>
  </si>
  <si>
    <t>PRAMA CHATTERJEE</t>
  </si>
  <si>
    <t>Dancing and singing</t>
  </si>
  <si>
    <t>Kolkata, West Bengal</t>
  </si>
  <si>
    <t>https://drive.google.com/open?id=1_v9ipshqTAJe0fl6j8fWr8d3eAG2WLHH</t>
  </si>
  <si>
    <t>https://drive.google.com/open?id=1xJj6JguZYYZ-Ag7mDWJOZAl5rU7PX0Qk</t>
  </si>
  <si>
    <t>TARUN KUMAR CHATTERJEE</t>
  </si>
  <si>
    <t>GOVT. SERVICE</t>
  </si>
  <si>
    <t>SAMPA CHATTERJEE</t>
  </si>
  <si>
    <t>nobonita.bscnursing-2021@aiimskalyani.edu.in</t>
  </si>
  <si>
    <t xml:space="preserve">NOBONITA NARAH </t>
  </si>
  <si>
    <t>nobonitanarah@gmail.com</t>
  </si>
  <si>
    <t>nidhidhandhi29@gmail.com</t>
  </si>
  <si>
    <t>Nidhi</t>
  </si>
  <si>
    <t>Yoga</t>
  </si>
  <si>
    <t>Haryana</t>
  </si>
  <si>
    <t>https://drive.google.com/open?id=1q4jtwLfwgagaoHjx9Vk-4Au0Nn89GlKY</t>
  </si>
  <si>
    <t>https://drive.google.com/open?id=1uYaBUS1pDb8zNs1myLB9Wfa06w9aEjeg</t>
  </si>
  <si>
    <t>Sanjay</t>
  </si>
  <si>
    <t xml:space="preserve">Self employment </t>
  </si>
  <si>
    <t>Mehmudpur</t>
  </si>
  <si>
    <t>Mukesh</t>
  </si>
  <si>
    <t xml:space="preserve">Mehmudpur </t>
  </si>
  <si>
    <t xml:space="preserve">Barkha </t>
  </si>
  <si>
    <t>Sneha</t>
  </si>
  <si>
    <t>vineeta.mbbs-2020@aiimskalyani.edu.in</t>
  </si>
  <si>
    <t>VINEETA MEENA</t>
  </si>
  <si>
    <t xml:space="preserve">Playing volleyball, throwball </t>
  </si>
  <si>
    <t>https://drive.google.com/open?id=1IPDSKNOEeSQb-uBaVCtoCyBaEBJUVMh8</t>
  </si>
  <si>
    <t>https://drive.google.com/open?id=1ZWe9ogNm9xcbQhRh-OolbkFOQtiDlCO1</t>
  </si>
  <si>
    <t xml:space="preserve">Vinod kumar </t>
  </si>
  <si>
    <t xml:space="preserve">Supervisor </t>
  </si>
  <si>
    <t xml:space="preserve">Manju devi </t>
  </si>
  <si>
    <t xml:space="preserve">Ashi </t>
  </si>
  <si>
    <t>88/202001138</t>
  </si>
  <si>
    <t xml:space="preserve">Beyond clinical medicine, my interests revolve around continuous medical learning, sports, and visual arts. Academically, I am driven by advancements in therapeutics and pathophysiology, frequently keeping up with recent clinical research papers. Outside the wards, I am a dedicated football player—playing primarily as a Defensive Midfielder (DMF) and having had the privilege of captaining my team to multiple tournament titles. I am also an avid photographer, with recognitions from Kaleidoscope and the annual Elyssia fest, alongside being a cinephile and reader.
</t>
  </si>
  <si>
    <t xml:space="preserve">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t>
  </si>
  <si>
    <t>https://drive.google.com/open?id=1JrLI1tyO97IMOYricg8jbMsXKHw_AamJ</t>
  </si>
  <si>
    <t>https://drive.google.com/open?id=1nFQKiLGBPCvfasJiEpHSgEEyzg9EuJNV</t>
  </si>
  <si>
    <t xml:space="preserve">business </t>
  </si>
  <si>
    <t>Chennai</t>
  </si>
  <si>
    <t>Yuseph ep</t>
  </si>
  <si>
    <t>sayak.mbbs-2020@aiimskalyani.edu.in</t>
  </si>
  <si>
    <t>SAYAK SAHA</t>
  </si>
  <si>
    <t>Rishra</t>
  </si>
  <si>
    <t>https://drive.google.com/open?id=118nvVBnwe-bVAhmD0QBndxzCqasZUNzH</t>
  </si>
  <si>
    <t>https://drive.google.com/open?id=1R9esCf3eInufZvx3OTPxJzfqaYIRDdey</t>
  </si>
  <si>
    <t>Prabhat Kumar Saha</t>
  </si>
  <si>
    <t xml:space="preserve">Ex-defence </t>
  </si>
  <si>
    <t>Kalpana Saha</t>
  </si>
  <si>
    <t>mandabi.mscnursing-2024@aiimskalyani.edu.in</t>
  </si>
  <si>
    <t>MANDABI SARKAR</t>
  </si>
  <si>
    <t>mandabisarkar@gmail.com</t>
  </si>
  <si>
    <t>Berhampore</t>
  </si>
  <si>
    <t>https://drive.google.com/open?id=1L82KSdSw_1SggAEgnc1cgro2NE9Xl-LU</t>
  </si>
  <si>
    <t>https://drive.google.com/open?id=1vuQ6wwR_TNgQ1A7JnFzO74PzrtCIMD2-</t>
  </si>
  <si>
    <t xml:space="preserve">Achintya Kumar Sarkar </t>
  </si>
  <si>
    <t xml:space="preserve">Retired school teacher </t>
  </si>
  <si>
    <t xml:space="preserve">Berhampore, Murshidabad, West Bengal </t>
  </si>
  <si>
    <t xml:space="preserve">Chandana Sarkar </t>
  </si>
  <si>
    <t>shubhrajit.mbbs-2020@aiimskalyani.edu.in</t>
  </si>
  <si>
    <t xml:space="preserve">SHUBHRAJIT SAHOO </t>
  </si>
  <si>
    <t>shubhrajit2018@gmail.com</t>
  </si>
  <si>
    <t xml:space="preserve">Watching movies </t>
  </si>
  <si>
    <t>https://drive.google.com/open?id=1b5rA_CCnxA-KTpJj49WJIbXDgG4DMwgA</t>
  </si>
  <si>
    <t>https://drive.google.com/open?id=1U5e44ln6q4wWEv95y0K5W7pbEeSipoBI</t>
  </si>
  <si>
    <t>DILLIP KUMAR SAHOO</t>
  </si>
  <si>
    <t xml:space="preserve">Accountant </t>
  </si>
  <si>
    <t xml:space="preserve">SUJATA SAHOO </t>
  </si>
  <si>
    <t>SUJATA SAHOO</t>
  </si>
  <si>
    <t>mihir.mbbs-2020@aiimskalyani.edu.in</t>
  </si>
  <si>
    <t>MIHIR SUTRADHAR</t>
  </si>
  <si>
    <t>Roll no. 63/ enrolment no. 202001113</t>
  </si>
  <si>
    <t>mihir.sutradhar154@gmail.com</t>
  </si>
  <si>
    <t>Music, guitar, exercise</t>
  </si>
  <si>
    <t>Badminton, football, table tennis.</t>
  </si>
  <si>
    <t>Silchar,Assam</t>
  </si>
  <si>
    <t>https://drive.google.com/open?id=1zqLME9eCEfxh830aS4PQ0coa_B1lNzlX</t>
  </si>
  <si>
    <t>https://drive.google.com/open?id=1ot7YL9hmNHcjwMPT5zRrVYmGjOzy7u-_</t>
  </si>
  <si>
    <t>MOHAN KISHORE SUTRADHAR</t>
  </si>
  <si>
    <t>Electrical Engineer ( Designation- Senior manager
Affilation- NEEPCO)</t>
  </si>
  <si>
    <t>Silchar, Assam</t>
  </si>
  <si>
    <t>SAMPA SUTRADHAR</t>
  </si>
  <si>
    <t xml:space="preserve">MOHAN KISHORE SUTRADHAR </t>
  </si>
  <si>
    <t>adithya.mbbs-2020@aiimskalyani.edu.in</t>
  </si>
  <si>
    <t>ADITHYA BIJITH</t>
  </si>
  <si>
    <t>adibij02mai@gmail.com</t>
  </si>
  <si>
    <t>My hobbies include dancing, creating arts and crafts, gardening, and reading novels.</t>
  </si>
  <si>
    <t xml:space="preserve">Arayoor ,kerala </t>
  </si>
  <si>
    <t>https://drive.google.com/open?id=1EjeLGgPojspkadV7_8lpv9coQSV4_yLt</t>
  </si>
  <si>
    <t>https://drive.google.com/open?id=1azhc8rxgV0Bf_si7gWdESy-jabVIz0Kh</t>
  </si>
  <si>
    <t>BIJITH T N</t>
  </si>
  <si>
    <t>Health inspector , primary health centre Amboori</t>
  </si>
  <si>
    <t>Arayoor, Kerala</t>
  </si>
  <si>
    <t>Brajimla Rejani D G</t>
  </si>
  <si>
    <t xml:space="preserve">Teacher, LMS LPS Arayoor </t>
  </si>
  <si>
    <t xml:space="preserve">Arayoor, Kerala </t>
  </si>
  <si>
    <t>Abhijithya Bijith</t>
  </si>
  <si>
    <t xml:space="preserve">Brajimla Rejani </t>
  </si>
  <si>
    <t>vartika.bscnursing-2021@aiimskalyani.edu.in</t>
  </si>
  <si>
    <t>VARTIKA YADAV</t>
  </si>
  <si>
    <t>soni.bscnursing-2021@aiimskalyani.edu.in</t>
  </si>
  <si>
    <t xml:space="preserve">SONI KUMARI </t>
  </si>
  <si>
    <t>sahnisoni05@gmail.com</t>
  </si>
  <si>
    <t>Swimming, travelling and playing various sports.</t>
  </si>
  <si>
    <t>Multi-title winner, securing top positions across state-affiliated Inter-school and District tournaments under the Bihar Table Tennis Association, as well as winning 1st place in both Singles and Doubles TT at the College Annual Sports Meet.</t>
  </si>
  <si>
    <t>https://drive.google.com/open?id=10hSk7Z1yX_aTJiHBnEzrxsWBDC0h4_ub</t>
  </si>
  <si>
    <t>https://drive.google.com/open?id=1GloprKGHhEplvmY_NCbajH_4PKKxB5tL</t>
  </si>
  <si>
    <t>RAMDEO PRASAD</t>
  </si>
  <si>
    <t>MIRA DEVI</t>
  </si>
  <si>
    <t xml:space="preserve">Patna, Bihar </t>
  </si>
  <si>
    <t>soutrikoff@gmail.com</t>
  </si>
  <si>
    <t>SOUTRIK SUR</t>
  </si>
  <si>
    <t>99/202001149</t>
  </si>
  <si>
    <t>Mogra Natungram, Hooghly, West Bengal</t>
  </si>
  <si>
    <t>https://drive.google.com/open?id=1tOkABRd3IDmLi4uocyutdNGXt3rhuheO</t>
  </si>
  <si>
    <t>https://drive.google.com/open?id=1bfJEJzu4gXqRKHMMJMBuDis_HF_aQ2JT</t>
  </si>
  <si>
    <t>RAGHUNATH SUR</t>
  </si>
  <si>
    <t>Retired teacher, PhD in parasitology(Zoology)</t>
  </si>
  <si>
    <t>Amra, Hooghly</t>
  </si>
  <si>
    <t>Kalpana Sur</t>
  </si>
  <si>
    <t>Housewife, B.Sc.(Botany), B.A.(Political Science)</t>
  </si>
  <si>
    <t>Khei, Hooghly</t>
  </si>
  <si>
    <t>Raghunath Sur</t>
  </si>
  <si>
    <t>roji.mscnursing-2024@aiimskalyani.edu.in</t>
  </si>
  <si>
    <t xml:space="preserve">Roji Mandal </t>
  </si>
  <si>
    <t>rojimandal000@gmail.com</t>
  </si>
  <si>
    <t>My hobbies include listening to music, watching movies, travelling, and spending time with my family and friends. I’m also interested in learning new things. I enjoy reading and exploring topics that help me grow personally and professionally.</t>
  </si>
  <si>
    <t>Brown belt in karate.</t>
  </si>
  <si>
    <t xml:space="preserve">Ranaghat, west bengal </t>
  </si>
  <si>
    <t>https://drive.google.com/open?id=1NDNF0u694GHtxvGMRqQDY2ckDtQX-oOV</t>
  </si>
  <si>
    <t>https://drive.google.com/open?id=1483yKZ-6P7gPptArGqbdw2iGbqudDXYr</t>
  </si>
  <si>
    <t xml:space="preserve">Ranjit Kumar Mandal </t>
  </si>
  <si>
    <t xml:space="preserve">Sheli Mandal </t>
  </si>
  <si>
    <t>aditya.mbbs-2020@aiimskalyani.edu.in</t>
  </si>
  <si>
    <t>ADITYA KUMAR</t>
  </si>
  <si>
    <t>draditya1199@gmail.com</t>
  </si>
  <si>
    <t>Pagra, Dalsinghsarai</t>
  </si>
  <si>
    <t>https://drive.google.com/open?id=1Y1foghnEA07kwud4sQLKKV6zRzOM15n9</t>
  </si>
  <si>
    <t>https://drive.google.com/open?id=1asIqFYiXtPw0r4rZI-vGyuIlVhENGzDl</t>
  </si>
  <si>
    <t>Krishna kumar singh</t>
  </si>
  <si>
    <t>Job</t>
  </si>
  <si>
    <t>Mala kumari</t>
  </si>
  <si>
    <t xml:space="preserve">ROJI MANDAL </t>
  </si>
  <si>
    <t>I am a brown belt in karate.</t>
  </si>
  <si>
    <t>https://drive.google.com/open?id=19Ufj63siWdyY2o1IyYqcc7TOHpr4iSYv</t>
  </si>
  <si>
    <t>https://drive.google.com/open?id=1F5T_c4pLztvxFFHJnUrj7TdNSkk4EBJR</t>
  </si>
  <si>
    <t>debbani.mbbs-2020@aiimskalyani.edu.in</t>
  </si>
  <si>
    <t xml:space="preserve">DEBBANI BOSE </t>
  </si>
  <si>
    <t>debbanibose@gmail.com</t>
  </si>
  <si>
    <t>Poetry and writing.</t>
  </si>
  <si>
    <t xml:space="preserve">
- Former Literary club Head from 2023-24.
- Former Student council member.
- 1st place in AIIMS RBL Parichay '21.
- 1st place in AIIMS Bathinda Aroha '21.
- Published in Jublieum- book of complication of poems, for my piece on teenagers dealing with body image issues and mental health illnesses.</t>
  </si>
  <si>
    <t>Bangalore, Karnataka.</t>
  </si>
  <si>
    <t>https://drive.google.com/open?id=1bxSA1M8vDxdA9SRzFjtp8DsGBzonvqE0</t>
  </si>
  <si>
    <t>https://drive.google.com/open?id=1NDNGIUV1WswD5-HvnX6C0v1n_4ZYWLYP</t>
  </si>
  <si>
    <t>DIPTIMAN BOSE</t>
  </si>
  <si>
    <t xml:space="preserve">Software Engineer </t>
  </si>
  <si>
    <t xml:space="preserve">Bangalore </t>
  </si>
  <si>
    <t>MAITRAYEE BOSE</t>
  </si>
  <si>
    <t xml:space="preserve">Civil advocate </t>
  </si>
  <si>
    <t>ANINDITA BOSE</t>
  </si>
  <si>
    <t>Grandmother</t>
  </si>
  <si>
    <t>CHAITALI NAG</t>
  </si>
  <si>
    <t xml:space="preserve">Grandmother </t>
  </si>
  <si>
    <t>dilshana.mbbs-2020@aiimskalyani.edu.in</t>
  </si>
  <si>
    <t>DILSHANA</t>
  </si>
  <si>
    <t>Reading books, watching movies and series, and travelling.</t>
  </si>
  <si>
    <t>Quiz competitions</t>
  </si>
  <si>
    <t xml:space="preserve">Manjeri </t>
  </si>
  <si>
    <t>https://drive.google.com/open?id=1mwvfinyTu_GlNS7PFEptZd9hpZlvKQt7</t>
  </si>
  <si>
    <t>https://drive.google.com/open?id=1uR5vsOrSI85HE4CPSUghFcqzikifUj7l</t>
  </si>
  <si>
    <t>Nazeer</t>
  </si>
  <si>
    <t xml:space="preserve">Ameen Rasiyana </t>
  </si>
  <si>
    <t>Manjeri</t>
  </si>
  <si>
    <t>Ameen Rasiyana</t>
  </si>
  <si>
    <t>raghav.mbbs-2020@aiimskalyani.edu.in</t>
  </si>
  <si>
    <t>Jajoo Raghav Bhushan</t>
  </si>
  <si>
    <t>dr.raghavjajoo@gmail.com</t>
  </si>
  <si>
    <t>Reading comics, learning about latest technological advancements</t>
  </si>
  <si>
    <t>Akola, Maharashtra</t>
  </si>
  <si>
    <t>https://drive.google.com/open?id=1w-dlCL4gT0_WB-hCqveVhpyrCUzzYjUY</t>
  </si>
  <si>
    <t>https://drive.google.com/open?id=1_RQbsyY23VX7jkJaUt516rn0AUuD56It</t>
  </si>
  <si>
    <t>Bhushan Shyamsunder Jajoo</t>
  </si>
  <si>
    <t>Chartered Accountant</t>
  </si>
  <si>
    <t>Rakhee Bhushan Jajoo</t>
  </si>
  <si>
    <t>sadia.mbbs-2020@aiimskalyani.edu.in</t>
  </si>
  <si>
    <t>SADIA ASAD</t>
  </si>
  <si>
    <t>asad.sadia145@gmail.com</t>
  </si>
  <si>
    <t>Reading</t>
  </si>
  <si>
    <t>https://drive.google.com/open?id=1OboaLdslWSE_VFpgS6LQ6bbGtwL4HwVZ</t>
  </si>
  <si>
    <t>https://drive.google.com/open?id=1M4hyYkBu6Cwfqdle_Jz4K-P6tWLEcVKj</t>
  </si>
  <si>
    <t>Asad Ahmad</t>
  </si>
  <si>
    <t>NIKHAT SULTANA</t>
  </si>
  <si>
    <t>Nikhat Sultana</t>
  </si>
  <si>
    <t>adithyakiran.mbbs-2019@aiimskalyani.edu.in</t>
  </si>
  <si>
    <t xml:space="preserve">J B ADITHYAKIRAN </t>
  </si>
  <si>
    <t>adithyakiranjb@gmail.com</t>
  </si>
  <si>
    <t>Gym, Sports and gaming.</t>
  </si>
  <si>
    <t>Winner of 1st Intra college football tournament.
2 time winner in Interhouse football tournament.
Runner up of Inter College football tournament.</t>
  </si>
  <si>
    <t>https://drive.google.com/open?id=1_uJ0G5RvCcmNXJ8HEPmjeBL_VlgBjVrz</t>
  </si>
  <si>
    <t>https://drive.google.com/open?id=1ZHmiZBpRgWbVEJgmEBxuWTKTJs9lHg7I</t>
  </si>
  <si>
    <t>Jayakumar K N</t>
  </si>
  <si>
    <t xml:space="preserve">Beena C K </t>
  </si>
  <si>
    <t>Joint Registrar, University of Calicut</t>
  </si>
  <si>
    <t xml:space="preserve">Jayakumar K N </t>
  </si>
  <si>
    <t>dannana.mbbs-2020@aiimskalyani.edu.in</t>
  </si>
  <si>
    <t xml:space="preserve">DANNANA GAYATHRI </t>
  </si>
  <si>
    <t>Playing badminton, reading novels</t>
  </si>
  <si>
    <t xml:space="preserve">Srikakulam </t>
  </si>
  <si>
    <t>https://drive.google.com/open?id=1QgNvJRjBx2uD2u8FCp2CWvw3gahNBdsB</t>
  </si>
  <si>
    <t>https://drive.google.com/open?id=1w81KoCwLdyLKxJ-F8wznvKmVk_OBhZuK</t>
  </si>
  <si>
    <t>D Gurunadham Naidu</t>
  </si>
  <si>
    <t>Govt employe (police dept)</t>
  </si>
  <si>
    <t>D Bhanumathi</t>
  </si>
  <si>
    <t>D Gurunadham naidu</t>
  </si>
  <si>
    <t>D Tarun kumar</t>
  </si>
  <si>
    <t>meenakshi.mbbs-2020@aiimskalyani.edu.in</t>
  </si>
  <si>
    <t>MEENAKSHI MINA</t>
  </si>
  <si>
    <t xml:space="preserve">Arts , painting </t>
  </si>
  <si>
    <t xml:space="preserve">Running, swiming,badminton </t>
  </si>
  <si>
    <t xml:space="preserve">Jhalawar </t>
  </si>
  <si>
    <t>https://drive.google.com/open?id=1Tpl57DoaUPa_GxVxbIOx1j_egxVgcI7H</t>
  </si>
  <si>
    <t>https://drive.google.com/open?id=1HzBSs6YLa97rZJUyb8eoZBRTlxP_rFt8</t>
  </si>
  <si>
    <t>Madan lal mina</t>
  </si>
  <si>
    <t>Sona mina</t>
  </si>
  <si>
    <t xml:space="preserve">Housemaker </t>
  </si>
  <si>
    <t xml:space="preserve">Madan lal mina </t>
  </si>
  <si>
    <t>devi.mbbs-2020@aiimskalyani.edu.in</t>
  </si>
  <si>
    <t>DEVI NAMBIAR</t>
  </si>
  <si>
    <t>devi.d.nambiar@gmail.com</t>
  </si>
  <si>
    <t xml:space="preserve">Bharatnatyam 
watercolor painting
Cat lover 
Literature
Quizzing
Swimming 
Tennis
</t>
  </si>
  <si>
    <t xml:space="preserve">Ex Cultural secretary 
Ex SPIC MACAY Secretary 
Multiple intra college awards for Bharatnatyam 
watercolor painting Literature Quizzing
Ted x patna first prize poster making competition </t>
  </si>
  <si>
    <t xml:space="preserve">BANGALORE </t>
  </si>
  <si>
    <t>https://drive.google.com/open?id=1Y2dZr6oqriAc0VBw54p-NnkUfKaydew5</t>
  </si>
  <si>
    <t>https://drive.google.com/open?id=11dQChh1KE1x2YIy-noS9o1we8DGi7Mfv</t>
  </si>
  <si>
    <t xml:space="preserve">DILEEP PURAVANKARA </t>
  </si>
  <si>
    <t xml:space="preserve">SOFTWARE ENGINEER </t>
  </si>
  <si>
    <t xml:space="preserve">VEENA S N </t>
  </si>
  <si>
    <t>VEENA S N</t>
  </si>
  <si>
    <t>anurag.mbbs-2020@aiimskalyani.edu.in</t>
  </si>
  <si>
    <t>ANURAG DASH</t>
  </si>
  <si>
    <t>20/20200170</t>
  </si>
  <si>
    <t>Playing chess</t>
  </si>
  <si>
    <t xml:space="preserve">Quizzes </t>
  </si>
  <si>
    <t>Berhampur, Odisha</t>
  </si>
  <si>
    <t>https://drive.google.com/open?id=186LcgNOSkGAlU3RLkMn2rUPaWAjK7isa</t>
  </si>
  <si>
    <t>https://drive.google.com/open?id=1gxavYVwvB4XMS9LExB-QV4jEsZX5sR-S</t>
  </si>
  <si>
    <t>Sushanta Kumar Dash</t>
  </si>
  <si>
    <t>Pensioner</t>
  </si>
  <si>
    <t>Berhampur</t>
  </si>
  <si>
    <t>Swarnalata Dash</t>
  </si>
  <si>
    <t>shruti.mbbs-2020@aiimskalyani.edu.in</t>
  </si>
  <si>
    <t>SHRUTI JOSHI</t>
  </si>
  <si>
    <t>shrutijoshi0304@gmail.com</t>
  </si>
  <si>
    <t>I enjoy music, travelling, and discovering new cultures. Exploring new places and perspectives is something I find both enriching and inspiring.</t>
  </si>
  <si>
    <t>I actively engaged in Table Tennis and Volleyball, while also participating in debates and academic seminars.</t>
  </si>
  <si>
    <t xml:space="preserve">Sriganganagar </t>
  </si>
  <si>
    <t>https://drive.google.com/open?id=1Iuo0d78nvubtjbvAZTUSrp3IIgHANyga</t>
  </si>
  <si>
    <t>https://drive.google.com/open?id=1YRsoLSkvFvuYI3QOjozfRsPJ7tcT5nOU</t>
  </si>
  <si>
    <t>Ramesh Kumar Joshi</t>
  </si>
  <si>
    <t>Business Manager</t>
  </si>
  <si>
    <t>Harsha Joshi</t>
  </si>
  <si>
    <t>Sriganganagar</t>
  </si>
  <si>
    <t xml:space="preserve">Ramesh Kumar Joshi </t>
  </si>
  <si>
    <t xml:space="preserve">Harsha Joshi </t>
  </si>
  <si>
    <t>ambuj.mbbs-2020@aiimskalyani.edu.in</t>
  </si>
  <si>
    <t xml:space="preserve">AMBUJ PANDEY </t>
  </si>
  <si>
    <t>12/20200162</t>
  </si>
  <si>
    <t xml:space="preserve">Poem writing and traveling </t>
  </si>
  <si>
    <t xml:space="preserve">Badminton and cricket </t>
  </si>
  <si>
    <t xml:space="preserve">Pratapgarh Uttar Pradesh </t>
  </si>
  <si>
    <t>https://drive.google.com/open?id=1yxXcQgKHp03sbWdJCsMI1uVsI9eGmgzX</t>
  </si>
  <si>
    <t>https://drive.google.com/open?id=1a5dDewq0XyzTJdj2lmkaQFredhPZ8oiu</t>
  </si>
  <si>
    <t xml:space="preserve">Rakesh kumar pandey </t>
  </si>
  <si>
    <t xml:space="preserve">UP government teacher </t>
  </si>
  <si>
    <t xml:space="preserve">Anita Pandey </t>
  </si>
  <si>
    <t>tanmay.mbbs-2020@aiimskalyani.edu.in</t>
  </si>
  <si>
    <t>TANMAY SAHA</t>
  </si>
  <si>
    <t>105/202001155</t>
  </si>
  <si>
    <t xml:space="preserve">Playing cricket and listening to songs </t>
  </si>
  <si>
    <t xml:space="preserve">Cricket , football </t>
  </si>
  <si>
    <t>https://drive.google.com/open?id=11goryPOB2TYIacdjkzHvRVM6d1KfI3y1</t>
  </si>
  <si>
    <t>https://drive.google.com/open?id=1FHcUgE3Nn-ylYv8bQf9lYQNBHDDDEIGg</t>
  </si>
  <si>
    <t>Goutam Saha</t>
  </si>
  <si>
    <t>Uma Saha</t>
  </si>
  <si>
    <t>sony.mbbs-2020@aiimskalyani.edu.in</t>
  </si>
  <si>
    <t xml:space="preserve">SONY KHATOON </t>
  </si>
  <si>
    <t>97/202001147</t>
  </si>
  <si>
    <t>Gyming and dance</t>
  </si>
  <si>
    <t xml:space="preserve">Marathons </t>
  </si>
  <si>
    <t>Siwan</t>
  </si>
  <si>
    <t>https://drive.google.com/open?id=1CZRSnWf_Tvwz_LZCA7mBxfN3PmHu60v-</t>
  </si>
  <si>
    <t>https://drive.google.com/open?id=1-0aJHuCjtlKlezrTUbLXkRpkdhAF4M-v</t>
  </si>
  <si>
    <t xml:space="preserve">MD Aslam </t>
  </si>
  <si>
    <t>Husan tara khatoon</t>
  </si>
  <si>
    <t xml:space="preserve">Siwan </t>
  </si>
  <si>
    <t xml:space="preserve">Husan tara khatoon </t>
  </si>
  <si>
    <t>siddharth.mbbs-2020@aiimskalyani.edu.in</t>
  </si>
  <si>
    <t>VADDE SIDDHARTH ROY</t>
  </si>
  <si>
    <t>109/ 202001159</t>
  </si>
  <si>
    <t>imsidroy1@gmail.com</t>
  </si>
  <si>
    <t>Visakhapatnam</t>
  </si>
  <si>
    <t>https://drive.google.com/open?id=10xhv7vy3irtFqB4uwlalaHDfwFIwiAco</t>
  </si>
  <si>
    <t>https://drive.google.com/open?id=1i3I0yBWBZAUnQQN5VFngO53ZQQxoBL9S</t>
  </si>
  <si>
    <t>DR VC SEKHAR</t>
  </si>
  <si>
    <t>DOCTOR, ADDITIONAL PROFESSOR, FMT, AIIMS DEOGARH</t>
  </si>
  <si>
    <t>Deogarh</t>
  </si>
  <si>
    <t>VADDE SHILA ROY</t>
  </si>
  <si>
    <t>Dr VC Sekhar</t>
  </si>
  <si>
    <t>V Shila Roy</t>
  </si>
  <si>
    <t>zinadzidan04@gmail.com</t>
  </si>
  <si>
    <t>Zinadin Zidan T K</t>
  </si>
  <si>
    <t>Sports, Arts, Music</t>
  </si>
  <si>
    <t>https://drive.google.com/open?id=1M-D4W3wo5ygIcbAyfOurXfqgDnkj9rSQ</t>
  </si>
  <si>
    <t>https://drive.google.com/open?id=1989rqVJ9nuAXRtx40x4Jix1B8K1W6Ps5</t>
  </si>
  <si>
    <t>Hamza T K</t>
  </si>
  <si>
    <t>Pattambi, Palakkad , Kerala</t>
  </si>
  <si>
    <t>Rajeens K K</t>
  </si>
  <si>
    <t>Administrator</t>
  </si>
  <si>
    <t>Rajeena  K K</t>
  </si>
  <si>
    <t>mobina.bscnursing-2021@aiimskalyani.edu.in</t>
  </si>
  <si>
    <t xml:space="preserve">MOBINA PARVEEN </t>
  </si>
  <si>
    <t>mobinaparveen12@gmail.com</t>
  </si>
  <si>
    <t xml:space="preserve">Cooking </t>
  </si>
  <si>
    <t xml:space="preserve">Work as a organiser in poster competition </t>
  </si>
  <si>
    <t xml:space="preserve">West bengal </t>
  </si>
  <si>
    <t>https://drive.google.com/open?id=1PrxEnyumEcEKeHNEIieeKLWD7GBxKFFZ</t>
  </si>
  <si>
    <t>https://drive.google.com/open?id=1idiuvmOFbXcY0TIpPj8RQpAiwxjxYWvp</t>
  </si>
  <si>
    <t>Sk mahammad ali</t>
  </si>
  <si>
    <t xml:space="preserve">West Bengal </t>
  </si>
  <si>
    <t>Jahuran bibi</t>
  </si>
  <si>
    <t>Sk Mahammad ali</t>
  </si>
  <si>
    <t>Mobina parveen</t>
  </si>
  <si>
    <t xml:space="preserve">Listening music </t>
  </si>
  <si>
    <t xml:space="preserve">TARAKESWAR </t>
  </si>
  <si>
    <t>https://drive.google.com/open?id=1q7vxH_QYaEU34MHppSGzd3NaWZVy8P2T</t>
  </si>
  <si>
    <t>https://drive.google.com/open?id=1X-UOXjb8Wn9jTSc3KAMcoMLGo_4sEAiO</t>
  </si>
  <si>
    <t xml:space="preserve">Retired Army person </t>
  </si>
  <si>
    <t>chongtham.mbbs-2020@aiimskalyani.edu.in</t>
  </si>
  <si>
    <t>CHONGTHAM PARITIYA SINGH</t>
  </si>
  <si>
    <t>Reading books, Watching anime</t>
  </si>
  <si>
    <t>Participated in and hosted multiple Quiz events</t>
  </si>
  <si>
    <t>Imphal, Manipur</t>
  </si>
  <si>
    <t>https://drive.google.com/open?id=1N44T7YnTBgmkiTbItQKtEUNpjEDd0EUh</t>
  </si>
  <si>
    <t>https://drive.google.com/open?id=17f6tVYwvx4UzQXlhJ9Z6B_eDtJe69uqQ</t>
  </si>
  <si>
    <t xml:space="preserve">Chongtham Pureihanba Singh </t>
  </si>
  <si>
    <t>Assistant Director, FSL Delhi</t>
  </si>
  <si>
    <t>Rohini, Delhi</t>
  </si>
  <si>
    <t>Chongtham Lenjibala Devi</t>
  </si>
  <si>
    <t>Sreeja Sarkar</t>
  </si>
  <si>
    <t>sharmistha.mbbs-2020@aiimskalyani.edu.in</t>
  </si>
  <si>
    <t>SHARMISTHA ROUT</t>
  </si>
  <si>
    <t>My hobbies include painting , public speaking and academic quizzing .</t>
  </si>
  <si>
    <t>https://drive.google.com/open?id=1nVM8n8zHwMihrktdkrp1SMFAISMWQPh3</t>
  </si>
  <si>
    <t>https://drive.google.com/open?id=16kxxoRKzyYMnXX9WcQjINwavwF-UhTEN</t>
  </si>
  <si>
    <t>Surendra Kumar Rout</t>
  </si>
  <si>
    <t>Retired general manager at NTPC, Kaniha</t>
  </si>
  <si>
    <t>Dr.Krishna Patro</t>
  </si>
  <si>
    <t xml:space="preserve">Associate professor at Department of Ophthalmology, PGIMER Bhubaneswar </t>
  </si>
  <si>
    <t>tapan.mbbs-2020@aiimskalyani.edu.in</t>
  </si>
  <si>
    <t>TAPAN KUMAR MAHTO</t>
  </si>
  <si>
    <t>agnibha.bscnursing-2021@aiimskalyani.edu.in</t>
  </si>
  <si>
    <t xml:space="preserve">AGNIBHA PAUL </t>
  </si>
  <si>
    <t xml:space="preserve">Sketching , watching movies </t>
  </si>
  <si>
    <t xml:space="preserve">Coochbehar, West Bengal </t>
  </si>
  <si>
    <t>https://drive.google.com/open?id=14ns53xW0g5r7rsAieCJaIPrfcLHXNG38</t>
  </si>
  <si>
    <t>https://drive.google.com/open?id=1gI65Z8yykq8K_GRtHkP7n8FulaboQPE-</t>
  </si>
  <si>
    <t>Shyamal Chandra Paul</t>
  </si>
  <si>
    <t xml:space="preserve">Coochbehar,West Bengal </t>
  </si>
  <si>
    <t>Jwelli Basu Paul</t>
  </si>
  <si>
    <t>Health worker</t>
  </si>
  <si>
    <t xml:space="preserve">1. Shyamal Chandra Paul </t>
  </si>
  <si>
    <t xml:space="preserve">Jwelli Basu Paul </t>
  </si>
  <si>
    <t>https://drive.google.com/open?id=1HVrHS_D5ahC18Hz1pfvs1DxJc9iE3i90</t>
  </si>
  <si>
    <t>https://drive.google.com/open?id=1sVVHIaGT7Z-sRVXgXVs4t5l8lNrSP3Pe</t>
  </si>
  <si>
    <t xml:space="preserve">Shahkund </t>
  </si>
  <si>
    <t xml:space="preserve">Rani Devi </t>
  </si>
  <si>
    <t>Shahkund</t>
  </si>
  <si>
    <t xml:space="preserve">Playing various sports and exploring new places. </t>
  </si>
  <si>
    <t>Represented the Bihar Table Tennis Association in competitive events, achieving multiple championship titles across district and inter-school tournaments.
Additionally, secured 1st place in both the Singles and Doubles TT at the College Annual Sports Meet.</t>
  </si>
  <si>
    <t>https://drive.google.com/open?id=14Mpb3mx408Fe669jtBDA3eVsM3JQv8Ei</t>
  </si>
  <si>
    <t>https://drive.google.com/open?id=1ZXw5JDk3nfR9UiFRHkn90J-K9uCKlxRP</t>
  </si>
  <si>
    <t>Ramdeo Prasad</t>
  </si>
  <si>
    <t>Patna,Bihar</t>
  </si>
  <si>
    <t>Mira Devi</t>
  </si>
  <si>
    <t>ABHAY KUMAR</t>
  </si>
  <si>
    <t>patel.mbbs-2020@aiimskalyani.edu.in</t>
  </si>
  <si>
    <t xml:space="preserve">PATEL SHRUTI RUTANJU </t>
  </si>
  <si>
    <t>starv2888@gmail.com</t>
  </si>
  <si>
    <t>I love diving into board games and lively debates, goofing around with dogs, dabbling in performance arts and acting, and enjoying a little baking and swimming. I also love hands-on activities like LEGO, macramé, diamond art, and puzzles.</t>
  </si>
  <si>
    <t>Participated in debates 
Although I have never competed professionally, I thoroughly enjoy swimming.</t>
  </si>
  <si>
    <t>Scarborough, Maine &amp; Anand, Gujarat</t>
  </si>
  <si>
    <t>https://drive.google.com/open?id=1wvVMWKrnUjVgP1CfYWdd_E0vchEM9pi3</t>
  </si>
  <si>
    <t>https://drive.google.com/open?id=1FD55F3mUjSvviBFvT0lmlP5qs97Jo6Rq</t>
  </si>
  <si>
    <t xml:space="preserve">Late Rutanju Patel </t>
  </si>
  <si>
    <t>Certified Public Accountant (CPA) ;</t>
  </si>
  <si>
    <t xml:space="preserve">N/A </t>
  </si>
  <si>
    <t xml:space="preserve">Trupti Patel </t>
  </si>
  <si>
    <t>Entrepreneur &amp; Business Owner</t>
  </si>
  <si>
    <t xml:space="preserve">Scarborough, Maine &amp; Anand, Gujarat </t>
  </si>
  <si>
    <t>Trupti Patel</t>
  </si>
  <si>
    <t xml:space="preserve">Pranathi Nambiar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</si>
</sst>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sz val="17.0"/>
      <color theme="1"/>
      <name val="Arial"/>
      <scheme val="minor"/>
    </font>
    <font>
      <b/>
      <sz val="17.0"/>
      <color theme="1"/>
      <name val="Arial"/>
      <scheme val="minor"/>
    </font>
    <font>
      <color theme="1"/>
      <name val="Arial"/>
      <scheme val="minor"/>
    </font>
    <font>
      <b/>
      <color theme="1"/>
      <name val="Arial"/>
      <scheme val="minor"/>
    </font>
    <font>
      <u/>
      <color rgb="FF0000FF"/>
      <name val="Roboto"/>
    </font>
    <font>
      <u/>
      <color rgb="FF0000FF"/>
      <name val="Roboto"/>
    </font>
    <font>
      <u/>
      <color rgb="FF0000FF"/>
      <name val="Roboto"/>
    </font>
  </fonts>
  <fills count="4">
    <fill>
      <patternFill patternType="none"/>
    </fill>
    <fill>
      <patternFill patternType="lightGray"/>
    </fill>
    <fill>
      <patternFill patternType="solid">
        <fgColor rgb="FFD5A6BD"/>
        <bgColor rgb="FFD5A6BD"/>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horizontal="center" readingOrder="0" shrinkToFit="0" wrapText="1"/>
    </xf>
    <xf borderId="1" fillId="0" fontId="2" numFmtId="0" xfId="0" applyAlignment="1" applyBorder="1" applyFont="1">
      <alignment readingOrder="0"/>
    </xf>
    <xf borderId="1" fillId="0" fontId="1" numFmtId="0" xfId="0" applyAlignment="1" applyBorder="1" applyFont="1">
      <alignment horizontal="center" readingOrder="0"/>
    </xf>
    <xf borderId="1" fillId="0" fontId="1" numFmtId="0" xfId="0" applyAlignment="1" applyBorder="1" applyFont="1">
      <alignment horizontal="center"/>
    </xf>
    <xf borderId="1" fillId="0" fontId="1" numFmtId="0" xfId="0" applyBorder="1" applyFont="1"/>
    <xf borderId="1" fillId="0" fontId="2" numFmtId="0" xfId="0" applyAlignment="1" applyBorder="1" applyFont="1">
      <alignment horizontal="center"/>
    </xf>
    <xf borderId="0" fillId="0" fontId="3" numFmtId="0" xfId="0" applyAlignment="1" applyFont="1">
      <alignment horizontal="center"/>
    </xf>
    <xf borderId="1" fillId="3" fontId="2" numFmtId="0" xfId="0" applyAlignment="1" applyBorder="1" applyFill="1" applyFont="1">
      <alignment readingOrder="0"/>
    </xf>
    <xf borderId="1" fillId="3" fontId="2" numFmtId="0" xfId="0" applyAlignment="1" applyBorder="1" applyFill="1" applyFont="1">
      <alignment horizontal="center" readingOrder="0" shrinkToFit="0" wrapText="1"/>
    </xf>
    <xf borderId="1" fillId="0" fontId="1" numFmtId="0" xfId="0" applyAlignment="1" applyBorder="1" applyFont="1">
      <alignment readingOrder="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5"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6" numFmtId="0" xfId="0" applyAlignment="1" applyFont="1">
      <alignment readingOrder="0" shrinkToFit="0" vertical="center" wrapText="0"/>
    </xf>
    <xf borderId="0" fillId="0" fontId="3" numFmtId="0" xfId="0" applyAlignment="1" applyFont="1">
      <alignment shrinkToFit="0" vertical="center" wrapText="0"/>
    </xf>
    <xf borderId="0" fillId="0" fontId="7" numFmtId="0" xfId="0" applyAlignment="1" applyFont="1">
      <alignment shrinkToFit="0" vertical="center" wrapText="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4C7C3"/>
          <bgColor rgb="FFF4C7C3"/>
        </patternFill>
      </fill>
      <border/>
    </dxf>
  </dxfs>
  <tableStyles count="6">
    <tableStyle count="4" pivot="0" name="Form responses 1-style">
      <tableStyleElement dxfId="1" type="headerRow"/>
      <tableStyleElement dxfId="2" type="firstRowStripe"/>
      <tableStyleElement dxfId="3" type="secondRowStripe"/>
      <tableStyleElement dxfId="4" size="0" type="wholeTable"/>
    </tableStyle>
    <tableStyle count="4" pivot="0" name="Responses-style">
      <tableStyleElement dxfId="1" type="headerRow"/>
      <tableStyleElement dxfId="2" type="firstRowStripe"/>
      <tableStyleElement dxfId="3" type="secondRowStripe"/>
      <tableStyleElement dxfId="4" size="0" type="wholeTable"/>
    </tableStyle>
    <tableStyle count="4" pivot="0" name="MBBS-style">
      <tableStyleElement dxfId="1" type="headerRow"/>
      <tableStyleElement dxfId="2" type="firstRowStripe"/>
      <tableStyleElement dxfId="3" type="secondRowStripe"/>
      <tableStyleElement dxfId="4" size="0" type="wholeTable"/>
    </tableStyle>
    <tableStyle count="4" pivot="0" name="MDMSMDS-style">
      <tableStyleElement dxfId="1" type="headerRow"/>
      <tableStyleElement dxfId="2" type="firstRowStripe"/>
      <tableStyleElement dxfId="3" type="secondRowStripe"/>
      <tableStyleElement dxfId="4" size="0" type="wholeTable"/>
    </tableStyle>
    <tableStyle count="4" pivot="0" name="B.Sc (Hons) Nursing-style">
      <tableStyleElement dxfId="1" type="headerRow"/>
      <tableStyleElement dxfId="2" type="firstRowStripe"/>
      <tableStyleElement dxfId="3" type="secondRowStripe"/>
      <tableStyleElement dxfId="4" size="0" type="wholeTable"/>
    </tableStyle>
    <tableStyle count="4" pivot="0" name="M.Sc. Nurs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197" displayName="Form_Responses" name="Form_Responses" id="1">
  <autoFilter ref="$A$1:$AE$197"/>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Form responses 1-style" showColumnStripes="0" showFirstColumn="1" showLastColumn="1" showRowStripes="1"/>
</table>
</file>

<file path=xl/tables/table2.xml><?xml version="1.0" encoding="utf-8"?>
<table xmlns="http://schemas.openxmlformats.org/spreadsheetml/2006/main" ref="A1:AE193" displayName="Form_Response" name="Form_Response" id="3">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Responses-style" showColumnStripes="0" showFirstColumn="1" showLastColumn="1" showRowStripes="1"/>
</table>
</file>

<file path=xl/tables/table3.xml><?xml version="1.0" encoding="utf-8"?>
<table xmlns="http://schemas.openxmlformats.org/spreadsheetml/2006/main" ref="A1:AE193" displayName="MBBS" name="MBBS" id="2">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MBBS-style" showColumnStripes="0" showFirstColumn="1" showLastColumn="1" showRowStripes="1"/>
</table>
</file>

<file path=xl/tables/table4.xml><?xml version="1.0" encoding="utf-8"?>
<table xmlns="http://schemas.openxmlformats.org/spreadsheetml/2006/main" ref="A1:AE193" displayName="PG" name="PG" id="4">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MDMSMDS-style" showColumnStripes="0" showFirstColumn="1" showLastColumn="1" showRowStripes="1"/>
</table>
</file>

<file path=xl/tables/table5.xml><?xml version="1.0" encoding="utf-8"?>
<table xmlns="http://schemas.openxmlformats.org/spreadsheetml/2006/main" ref="A1:AE193" displayName="B.Sc_Nursing" name="B.Sc_Nursing" id="5">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B.Sc (Hons) Nursing-style" showColumnStripes="0" showFirstColumn="1" showLastColumn="1" showRowStripes="1"/>
</table>
</file>

<file path=xl/tables/table6.xml><?xml version="1.0" encoding="utf-8"?>
<table xmlns="http://schemas.openxmlformats.org/spreadsheetml/2006/main" ref="A1:AE193" displayName="M.Sc._Nursing" name="M.Sc._Nursing" id="6">
  <autoFilter ref="$A$1:$AE$193"/>
  <tableColumns count="31">
    <tableColumn name="Timestamp" id="1"/>
    <tableColumn name="Email address" id="2"/>
    <tableColumn name="Full Name (in Block Letters)" id="3"/>
    <tableColumn name="Roll Number / Enrollment ID" id="4"/>
    <tableColumn name="Course" id="5"/>
    <tableColumn name="Contact Number" id="6"/>
    <tableColumn name="Email" id="7"/>
    <tableColumn name="Attending Convocation" id="8"/>
    <tableColumn name="Hobbies &amp; Personal Interests" id="9"/>
    <tableColumn name="Sports &amp; Games / Notable Achievements" id="10"/>
    <tableColumn name="Hometown" id="11"/>
    <tableColumn name="Passport Size Photo Upload" id="12"/>
    <tableColumn name="Family Photo Upload" id="13"/>
    <tableColumn name="Father's Name" id="14"/>
    <tableColumn name="Father's Occupation / Designation &amp; Affiliation" id="15"/>
    <tableColumn name="Father's City / Place of Residence" id="16"/>
    <tableColumn name="Father's Contact Number" id="17"/>
    <tableColumn name="Mother's Name" id="18"/>
    <tableColumn name="Mother's Occupation / Designation &amp; Affiliation" id="19"/>
    <tableColumn name="Mother's City / Place of Residence" id="20"/>
    <tableColumn name="Mother's Contact Number" id="21"/>
    <tableColumn name="Number of Accompanying Guests" id="22"/>
    <tableColumn name="Guest 1 Full Name" id="23"/>
    <tableColumn name="Relation with the Student" id="24"/>
    <tableColumn name="Guest 2 Full Name" id="25"/>
    <tableColumn name="Relation with the Student 2" id="26"/>
    <tableColumn name="Student Meal/Food Preference" id="27"/>
    <tableColumn name="Guest 1 Meal/Food Preference" id="28"/>
    <tableColumn name="Guest 2 Meal/Food Preference" id="29"/>
    <tableColumn name="Bus Drop Service Required on 15.09.2026 at 8:00 PM?" id="30"/>
    <tableColumn name="Number of Passengers for Bus Service" id="31"/>
  </tableColumns>
  <tableStyleInfo name="M.Sc. Nurs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kV_ewUUdJaWU4DsSMykLEI-oa4NRfwnQ" TargetMode="External"/><Relationship Id="rId190" Type="http://schemas.openxmlformats.org/officeDocument/2006/relationships/hyperlink" Target="https://drive.google.com/open?id=1QCLWW_VGKxo-Zs6n7Q2hz-awebqEcIGe" TargetMode="External"/><Relationship Id="rId42" Type="http://schemas.openxmlformats.org/officeDocument/2006/relationships/hyperlink" Target="https://drive.google.com/open?id=1PfFNHgJaZ24VQtrXvxJkCNPtDZdprTPV" TargetMode="External"/><Relationship Id="rId41" Type="http://schemas.openxmlformats.org/officeDocument/2006/relationships/hyperlink" Target="https://drive.google.com/open?id=1in8EqddpfEgt0T8H8C9u4-s47ybeLQym" TargetMode="External"/><Relationship Id="rId44" Type="http://schemas.openxmlformats.org/officeDocument/2006/relationships/hyperlink" Target="https://drive.google.com/open?id=1_LznKduDz5f4pghoIv7j-MlwomF_NOaA" TargetMode="External"/><Relationship Id="rId194" Type="http://schemas.openxmlformats.org/officeDocument/2006/relationships/hyperlink" Target="https://drive.google.com/open?id=1F78-nluQSO7U1kU5aNP2PTMHP2KgOGuC" TargetMode="External"/><Relationship Id="rId43" Type="http://schemas.openxmlformats.org/officeDocument/2006/relationships/hyperlink" Target="https://drive.google.com/open?id=1ebUTdcQyNy1kHGDWLP7si5Lr08i6dGfS" TargetMode="External"/><Relationship Id="rId193" Type="http://schemas.openxmlformats.org/officeDocument/2006/relationships/hyperlink" Target="https://drive.google.com/open?id=1BnmVrj_yUQSAjmizxR7spBxs5h8gMuFR" TargetMode="External"/><Relationship Id="rId46" Type="http://schemas.openxmlformats.org/officeDocument/2006/relationships/hyperlink" Target="https://drive.google.com/open?id=15YmVzTzAigXyrk6ABa9nTOXGTUBg4ydd" TargetMode="External"/><Relationship Id="rId192" Type="http://schemas.openxmlformats.org/officeDocument/2006/relationships/hyperlink" Target="https://drive.google.com/open?id=1OCIzAgg3HrveRAvtpQ02ud9VHzxivlLu" TargetMode="External"/><Relationship Id="rId45" Type="http://schemas.openxmlformats.org/officeDocument/2006/relationships/hyperlink" Target="https://drive.google.com/open?id=18VpKBK02odLSuP_Vz9lZWXzo-g8-Ho2p" TargetMode="External"/><Relationship Id="rId191" Type="http://schemas.openxmlformats.org/officeDocument/2006/relationships/hyperlink" Target="https://drive.google.com/open?id=1-A24FxicSu6TlZgRzkvmjZ-h3EaKAQRB" TargetMode="External"/><Relationship Id="rId48" Type="http://schemas.openxmlformats.org/officeDocument/2006/relationships/hyperlink" Target="https://drive.google.com/open?id=1T6W7gCxCxiXRzLWClR30gfBGvOB7xvpI" TargetMode="External"/><Relationship Id="rId187" Type="http://schemas.openxmlformats.org/officeDocument/2006/relationships/hyperlink" Target="https://drive.google.com/open?id=1X72wInD9AZd_FjWj8dYlC55ijAuQHYM-" TargetMode="External"/><Relationship Id="rId47" Type="http://schemas.openxmlformats.org/officeDocument/2006/relationships/hyperlink" Target="https://drive.google.com/open?id=1swgdXG5ahfxdANZb31Jij9iuAiMrQ-GJ" TargetMode="External"/><Relationship Id="rId186" Type="http://schemas.openxmlformats.org/officeDocument/2006/relationships/hyperlink" Target="https://drive.google.com/open?id=1rbGz2tCFTemlGr2jS0AmItnim0PMvksE" TargetMode="External"/><Relationship Id="rId185" Type="http://schemas.openxmlformats.org/officeDocument/2006/relationships/hyperlink" Target="https://drive.google.com/open?id=1AgF_jk0KJ6Zalc4c9iPPr9IvqSwjDCXu" TargetMode="External"/><Relationship Id="rId49" Type="http://schemas.openxmlformats.org/officeDocument/2006/relationships/hyperlink" Target="https://drive.google.com/open?id=1_lO5SQB-zGnpvwJKVcDPzkTOs5OgzmxX" TargetMode="External"/><Relationship Id="rId184" Type="http://schemas.openxmlformats.org/officeDocument/2006/relationships/hyperlink" Target="https://drive.google.com/open?id=14RNrUN4mpkbO7eAM95HuFDkFOWUgWnaK" TargetMode="External"/><Relationship Id="rId189" Type="http://schemas.openxmlformats.org/officeDocument/2006/relationships/hyperlink" Target="https://drive.google.com/open?id=16L9yiJ70gs6N6A6HBB9lxEFI3bmzseJn" TargetMode="External"/><Relationship Id="rId188" Type="http://schemas.openxmlformats.org/officeDocument/2006/relationships/hyperlink" Target="https://drive.google.com/open?id=1aqvxPfiLCcEoD5tn2ygpiJqfn4gzD8rz" TargetMode="External"/><Relationship Id="rId31" Type="http://schemas.openxmlformats.org/officeDocument/2006/relationships/hyperlink" Target="https://drive.google.com/open?id=1SWuwHRxyno1L65hUqbVUCARa8kB9WwfS" TargetMode="External"/><Relationship Id="rId30" Type="http://schemas.openxmlformats.org/officeDocument/2006/relationships/hyperlink" Target="https://drive.google.com/open?id=1jY1Pfr68oNoCTqmnwGvgYXorqJPrNTfD" TargetMode="External"/><Relationship Id="rId33" Type="http://schemas.openxmlformats.org/officeDocument/2006/relationships/hyperlink" Target="https://drive.google.com/open?id=1LwqSTi2fSQe0ScwNC2r5BtXOsq_ISJ1o" TargetMode="External"/><Relationship Id="rId183" Type="http://schemas.openxmlformats.org/officeDocument/2006/relationships/hyperlink" Target="https://drive.google.com/open?id=1nmE9wXF0rSvMqTuC6uREA91cFeJXAsj6" TargetMode="External"/><Relationship Id="rId32" Type="http://schemas.openxmlformats.org/officeDocument/2006/relationships/hyperlink" Target="https://drive.google.com/open?id=1eN3XM3FDAfnjuzltq2F02E95vygNgK8o" TargetMode="External"/><Relationship Id="rId182" Type="http://schemas.openxmlformats.org/officeDocument/2006/relationships/hyperlink" Target="https://drive.google.com/open?id=1oE2EZGy9gu12RvtXM-WBxqvnrUSWKilB" TargetMode="External"/><Relationship Id="rId35" Type="http://schemas.openxmlformats.org/officeDocument/2006/relationships/hyperlink" Target="https://drive.google.com/open?id=1bo6OujeREw0L8EjGlISNIBR_OR-ZWkZg" TargetMode="External"/><Relationship Id="rId181" Type="http://schemas.openxmlformats.org/officeDocument/2006/relationships/hyperlink" Target="https://drive.google.com/open?id=1OKHYOcwxo5KX9hlTtCqE_9AV5KAEvPQt" TargetMode="External"/><Relationship Id="rId34" Type="http://schemas.openxmlformats.org/officeDocument/2006/relationships/hyperlink" Target="https://drive.google.com/open?id=1t8EZibcMxmHBFmMnZsEeQLKarEkZlhfi" TargetMode="External"/><Relationship Id="rId180" Type="http://schemas.openxmlformats.org/officeDocument/2006/relationships/hyperlink" Target="https://drive.google.com/open?id=16sG-VxDCwhU-_Qbejm3nJtZOo1f2_uO5" TargetMode="External"/><Relationship Id="rId37" Type="http://schemas.openxmlformats.org/officeDocument/2006/relationships/hyperlink" Target="https://drive.google.com/open?id=12mVENRztApFqkfMj-N-EbI99DcOAnjQI" TargetMode="External"/><Relationship Id="rId176" Type="http://schemas.openxmlformats.org/officeDocument/2006/relationships/hyperlink" Target="https://drive.google.com/open?id=1dcUHRKQlHNXEiuCu8H4WDFnT5PQ9u3Cv" TargetMode="External"/><Relationship Id="rId297" Type="http://schemas.openxmlformats.org/officeDocument/2006/relationships/hyperlink" Target="https://drive.google.com/open?id=1b5rA_CCnxA-KTpJj49WJIbXDgG4DMwgA" TargetMode="External"/><Relationship Id="rId36" Type="http://schemas.openxmlformats.org/officeDocument/2006/relationships/hyperlink" Target="https://drive.google.com/open?id=1tb-MIGQ5GOylf6dZBWRVO2WA8GCWKCDi" TargetMode="External"/><Relationship Id="rId175" Type="http://schemas.openxmlformats.org/officeDocument/2006/relationships/hyperlink" Target="https://drive.google.com/open?id=14_7dNgH2jKaUTkEsmAia11nMGYHPwMPK" TargetMode="External"/><Relationship Id="rId296" Type="http://schemas.openxmlformats.org/officeDocument/2006/relationships/hyperlink" Target="https://drive.google.com/open?id=1vuQ6wwR_TNgQ1A7JnFzO74PzrtCIMD2-" TargetMode="External"/><Relationship Id="rId39" Type="http://schemas.openxmlformats.org/officeDocument/2006/relationships/hyperlink" Target="https://drive.google.com/open?id=15VzPSTgmPpWXI6z2gRrbuOfp-S0xeTX8" TargetMode="External"/><Relationship Id="rId174" Type="http://schemas.openxmlformats.org/officeDocument/2006/relationships/hyperlink" Target="https://drive.google.com/open?id=1C2qKVxFDxPhJY2kHo4pIgoCVLnztIcyb" TargetMode="External"/><Relationship Id="rId295" Type="http://schemas.openxmlformats.org/officeDocument/2006/relationships/hyperlink" Target="https://drive.google.com/open?id=1L82KSdSw_1SggAEgnc1cgro2NE9Xl-LU" TargetMode="External"/><Relationship Id="rId38" Type="http://schemas.openxmlformats.org/officeDocument/2006/relationships/hyperlink" Target="https://drive.google.com/open?id=1sN-R1iU5tJvTKcjxNc8GxGMrBfPDcM1S" TargetMode="External"/><Relationship Id="rId173" Type="http://schemas.openxmlformats.org/officeDocument/2006/relationships/hyperlink" Target="https://drive.google.com/open?id=15o0a3fzy5LjwThrVuwlxE9rBOP_qlfuK" TargetMode="External"/><Relationship Id="rId294" Type="http://schemas.openxmlformats.org/officeDocument/2006/relationships/hyperlink" Target="https://drive.google.com/open?id=1R9esCf3eInufZvx3OTPxJzfqaYIRDdey" TargetMode="External"/><Relationship Id="rId179" Type="http://schemas.openxmlformats.org/officeDocument/2006/relationships/hyperlink" Target="https://drive.google.com/open?id=1hlJleNe4yhMsVtNy3uaRgEhaNrJjYvnE" TargetMode="External"/><Relationship Id="rId178" Type="http://schemas.openxmlformats.org/officeDocument/2006/relationships/hyperlink" Target="https://drive.google.com/open?id=1rYEhNu-GhsdymxAL2zGfa_aNIYGyLNnf" TargetMode="External"/><Relationship Id="rId299" Type="http://schemas.openxmlformats.org/officeDocument/2006/relationships/hyperlink" Target="https://drive.google.com/open?id=1zqLME9eCEfxh830aS4PQ0coa_B1lNzlX" TargetMode="External"/><Relationship Id="rId177" Type="http://schemas.openxmlformats.org/officeDocument/2006/relationships/hyperlink" Target="https://drive.google.com/open?id=1I9ykYpi52o7Ds7p8J3CIOEOxydSwibFL" TargetMode="External"/><Relationship Id="rId298" Type="http://schemas.openxmlformats.org/officeDocument/2006/relationships/hyperlink" Target="https://drive.google.com/open?id=1U5e44ln6q4wWEv95y0K5W7pbEeSipoBI" TargetMode="External"/><Relationship Id="rId20" Type="http://schemas.openxmlformats.org/officeDocument/2006/relationships/hyperlink" Target="https://drive.google.com/open?id=1Bt6RqjcZymSOtepnin9GtCneOooOhk1b" TargetMode="External"/><Relationship Id="rId22" Type="http://schemas.openxmlformats.org/officeDocument/2006/relationships/hyperlink" Target="https://drive.google.com/open?id=1r05u7kaR07v-0XzX50YXDcEiRVbJywIM" TargetMode="External"/><Relationship Id="rId21" Type="http://schemas.openxmlformats.org/officeDocument/2006/relationships/hyperlink" Target="https://drive.google.com/open?id=1yx_mTJmpBlS7Ehjr2FkvxGn7j9Nj2wg3" TargetMode="External"/><Relationship Id="rId24" Type="http://schemas.openxmlformats.org/officeDocument/2006/relationships/hyperlink" Target="https://drive.google.com/open?id=1DFJGA8riZ87Ou3GVZQWgBDMuQAqU9SFj" TargetMode="External"/><Relationship Id="rId23" Type="http://schemas.openxmlformats.org/officeDocument/2006/relationships/hyperlink" Target="https://drive.google.com/open?id=1gZ6v76lU3CFE6kKfseufO2_k_gc7KcL8" TargetMode="External"/><Relationship Id="rId26" Type="http://schemas.openxmlformats.org/officeDocument/2006/relationships/hyperlink" Target="https://drive.google.com/open?id=1u_rmdsZQkqSLw89Wr3hh4895kQxU6rCH" TargetMode="External"/><Relationship Id="rId25" Type="http://schemas.openxmlformats.org/officeDocument/2006/relationships/hyperlink" Target="https://drive.google.com/open?id=1hExh2JwuT6TMN4Mg4IBFwmLaqAZa85G0" TargetMode="External"/><Relationship Id="rId28" Type="http://schemas.openxmlformats.org/officeDocument/2006/relationships/hyperlink" Target="https://drive.google.com/open?id=1UJUiJTyL0PYyi87H4TV5zhX-DzbNR0lw" TargetMode="External"/><Relationship Id="rId27" Type="http://schemas.openxmlformats.org/officeDocument/2006/relationships/hyperlink" Target="https://drive.google.com/open?id=1zTOBxVNCXt22Rwj7Pl1gpjJkQa8kWMSn" TargetMode="External"/><Relationship Id="rId29" Type="http://schemas.openxmlformats.org/officeDocument/2006/relationships/hyperlink" Target="https://drive.google.com/open?id=1jTIq7YFhMjFF20qzi_laHszNnwT09IJ5" TargetMode="External"/><Relationship Id="rId11" Type="http://schemas.openxmlformats.org/officeDocument/2006/relationships/hyperlink" Target="https://drive.google.com/open?id=1eN9KhEi0TCm-OcRLJmS5rKVoLJwRf1mI" TargetMode="External"/><Relationship Id="rId10" Type="http://schemas.openxmlformats.org/officeDocument/2006/relationships/hyperlink" Target="https://drive.google.com/open?id=17i92BzKwyN2k5VhycQ5DI3h-7HMpDCX2" TargetMode="External"/><Relationship Id="rId13" Type="http://schemas.openxmlformats.org/officeDocument/2006/relationships/hyperlink" Target="https://drive.google.com/open?id=1h4VpzyKvgyDNNcYVeW6ly6tOWqJOXtMs" TargetMode="External"/><Relationship Id="rId12" Type="http://schemas.openxmlformats.org/officeDocument/2006/relationships/hyperlink" Target="https://drive.google.com/open?id=1Ri09OkjQVrb-B_-sNHrLb7K3aF2Lqv5V" TargetMode="External"/><Relationship Id="rId15" Type="http://schemas.openxmlformats.org/officeDocument/2006/relationships/hyperlink" Target="https://drive.google.com/open?id=1YRRwubDBrdrwOYwpaBVXTz6uwcv90LO-" TargetMode="External"/><Relationship Id="rId198" Type="http://schemas.openxmlformats.org/officeDocument/2006/relationships/hyperlink" Target="https://drive.google.com/open?id=1LJZyywE5qTyMUbYxTcxLI6sv9D4nYEcY" TargetMode="External"/><Relationship Id="rId14" Type="http://schemas.openxmlformats.org/officeDocument/2006/relationships/hyperlink" Target="https://drive.google.com/open?id=1RcZNsQ-1elCc1ADBnjl4hCbodpnOgm9-" TargetMode="External"/><Relationship Id="rId197" Type="http://schemas.openxmlformats.org/officeDocument/2006/relationships/hyperlink" Target="https://drive.google.com/open?id=1unyjf6RiDAljTw9YHRi5kp76eQjCCHCi" TargetMode="External"/><Relationship Id="rId17" Type="http://schemas.openxmlformats.org/officeDocument/2006/relationships/hyperlink" Target="https://drive.google.com/open?id=1PSXf2zicyWI65fLmGUfogSav7KQ6IW7Y" TargetMode="External"/><Relationship Id="rId196" Type="http://schemas.openxmlformats.org/officeDocument/2006/relationships/hyperlink" Target="https://drive.google.com/open?id=1e2BL7xJSZKlBb_4xzFeTowydz4-G2oCj" TargetMode="External"/><Relationship Id="rId16" Type="http://schemas.openxmlformats.org/officeDocument/2006/relationships/hyperlink" Target="https://drive.google.com/open?id=1Tt51dZ7qtQV2avZFs44rQOLmeiBAiqLl" TargetMode="External"/><Relationship Id="rId195" Type="http://schemas.openxmlformats.org/officeDocument/2006/relationships/hyperlink" Target="https://drive.google.com/open?id=1VHgbY-v8_qHv3zYg-WSNSzSDnFfSlBRH" TargetMode="External"/><Relationship Id="rId19" Type="http://schemas.openxmlformats.org/officeDocument/2006/relationships/hyperlink" Target="https://drive.google.com/open?id=1kqkAzE1eOmrtdmrzRw8esKmszv6pTXiS" TargetMode="External"/><Relationship Id="rId18" Type="http://schemas.openxmlformats.org/officeDocument/2006/relationships/hyperlink" Target="https://drive.google.com/open?id=1nSrmZabl9dLEuU_jVo6OP4hFGyxYvmcW" TargetMode="External"/><Relationship Id="rId199" Type="http://schemas.openxmlformats.org/officeDocument/2006/relationships/hyperlink" Target="https://drive.google.com/open?id=1Zx_3dSzBU78LU2mqClv3ZK2lkwJJN45c" TargetMode="External"/><Relationship Id="rId84" Type="http://schemas.openxmlformats.org/officeDocument/2006/relationships/hyperlink" Target="https://drive.google.com/open?id=1g5LOAHxF_ScybXMcwE2e_uMicFRl2JzV" TargetMode="External"/><Relationship Id="rId83" Type="http://schemas.openxmlformats.org/officeDocument/2006/relationships/hyperlink" Target="https://drive.google.com/open?id=1oMT5M4kV0RkssJ0_QzythLc9C0HuyymA" TargetMode="External"/><Relationship Id="rId86" Type="http://schemas.openxmlformats.org/officeDocument/2006/relationships/hyperlink" Target="https://drive.google.com/open?id=1z0m__2Kf-p6DA6y2VeswitaQCVWSvvAf" TargetMode="External"/><Relationship Id="rId85" Type="http://schemas.openxmlformats.org/officeDocument/2006/relationships/hyperlink" Target="https://drive.google.com/open?id=1PfkJCRRfe6_PizYazTm6-jWa8yEryYt8" TargetMode="External"/><Relationship Id="rId88" Type="http://schemas.openxmlformats.org/officeDocument/2006/relationships/hyperlink" Target="https://drive.google.com/open?id=10CRwIMWLrQ1rlIWdSN3Q5Rc9IDxk7hD_" TargetMode="External"/><Relationship Id="rId150" Type="http://schemas.openxmlformats.org/officeDocument/2006/relationships/hyperlink" Target="https://drive.google.com/open?id=1Wqoq6QmYVL-NSZllrfdkNyK-hRfq1ihk" TargetMode="External"/><Relationship Id="rId271" Type="http://schemas.openxmlformats.org/officeDocument/2006/relationships/hyperlink" Target="https://drive.google.com/open?id=1gqmOrHyFZXcDOqIR7maxpa8fwYcVR7Uh" TargetMode="External"/><Relationship Id="rId87" Type="http://schemas.openxmlformats.org/officeDocument/2006/relationships/hyperlink" Target="https://drive.google.com/open?id=17ExJneL3SUtqC9Qf7axOqaajenbgeByB" TargetMode="External"/><Relationship Id="rId270" Type="http://schemas.openxmlformats.org/officeDocument/2006/relationships/hyperlink" Target="https://drive.google.com/open?id=1ects1CDfcrcZZ_DjgDuwb7jaJ_2TyWUp" TargetMode="External"/><Relationship Id="rId89" Type="http://schemas.openxmlformats.org/officeDocument/2006/relationships/hyperlink" Target="https://drive.google.com/open?id=1CQbRk21X5nqkp45p_2xoY_EvlMSNqf-n" TargetMode="External"/><Relationship Id="rId80" Type="http://schemas.openxmlformats.org/officeDocument/2006/relationships/hyperlink" Target="https://drive.google.com/open?id=1t7sh8VESGNONWELAVzkctbPURibtLjDj" TargetMode="External"/><Relationship Id="rId82" Type="http://schemas.openxmlformats.org/officeDocument/2006/relationships/hyperlink" Target="https://drive.google.com/open?id=1EGPEv54gplcZHH1Y3Nr8DfNpueu5PTVN" TargetMode="External"/><Relationship Id="rId81" Type="http://schemas.openxmlformats.org/officeDocument/2006/relationships/hyperlink" Target="https://drive.google.com/open?id=1GIGpB-tlDRzkPCSVeWaPPwsNnFMrCLdR" TargetMode="External"/><Relationship Id="rId1" Type="http://schemas.openxmlformats.org/officeDocument/2006/relationships/hyperlink" Target="https://drive.google.com/open?id=1Ve3rgelDyUKPtFnAdnGfSgKUXegGOroA" TargetMode="External"/><Relationship Id="rId2" Type="http://schemas.openxmlformats.org/officeDocument/2006/relationships/hyperlink" Target="https://drive.google.com/open?id=1hs75SNotCZp_qyhtSsg4KkQ1TyUXiwzD" TargetMode="External"/><Relationship Id="rId3" Type="http://schemas.openxmlformats.org/officeDocument/2006/relationships/hyperlink" Target="https://drive.google.com/open?id=1_j5e_JX1--W1J-lrq1oLNLFeWOWMawCh" TargetMode="External"/><Relationship Id="rId149" Type="http://schemas.openxmlformats.org/officeDocument/2006/relationships/hyperlink" Target="https://drive.google.com/open?id=14KxPGkJYWPipEttIFlq04mALjst5dPU7" TargetMode="External"/><Relationship Id="rId4" Type="http://schemas.openxmlformats.org/officeDocument/2006/relationships/hyperlink" Target="https://drive.google.com/open?id=1uY7TeX8m5oAoS51y5th6r-EeTDoPFDvM" TargetMode="External"/><Relationship Id="rId148" Type="http://schemas.openxmlformats.org/officeDocument/2006/relationships/hyperlink" Target="https://drive.google.com/open?id=1O7FYjFhVrWKHFRQ9RAu1l5ijTF1IDO4C" TargetMode="External"/><Relationship Id="rId269" Type="http://schemas.openxmlformats.org/officeDocument/2006/relationships/hyperlink" Target="https://drive.google.com/open?id=1ovuJzV1YJeltkjQ5ns0tq9hIDvmeEvu6" TargetMode="External"/><Relationship Id="rId9" Type="http://schemas.openxmlformats.org/officeDocument/2006/relationships/hyperlink" Target="https://drive.google.com/open?id=1NCOOa_8VmPy1X5FhFx0U4oSo3SKqIgY8" TargetMode="External"/><Relationship Id="rId143" Type="http://schemas.openxmlformats.org/officeDocument/2006/relationships/hyperlink" Target="https://drive.google.com/open?id=1u8imoqsNrP_lVTtGQ21ZqWYQszN6ixOv" TargetMode="External"/><Relationship Id="rId264" Type="http://schemas.openxmlformats.org/officeDocument/2006/relationships/hyperlink" Target="https://drive.google.com/open?id=1o9mG8dwKI62kuFvg2MOMlrGDdbpdXVJF" TargetMode="External"/><Relationship Id="rId142" Type="http://schemas.openxmlformats.org/officeDocument/2006/relationships/hyperlink" Target="https://drive.google.com/open?id=1X4JWLItu9ghafqaLSkURBJcu5eETQID-" TargetMode="External"/><Relationship Id="rId263" Type="http://schemas.openxmlformats.org/officeDocument/2006/relationships/hyperlink" Target="https://drive.google.com/open?id=1NPmdqGptti8bxHVklA2TrXv8hZmjuwem" TargetMode="External"/><Relationship Id="rId141" Type="http://schemas.openxmlformats.org/officeDocument/2006/relationships/hyperlink" Target="https://drive.google.com/open?id=1oTU0HnOhbkuJ3RhdmOb9qEbpezYQDMQw" TargetMode="External"/><Relationship Id="rId262" Type="http://schemas.openxmlformats.org/officeDocument/2006/relationships/hyperlink" Target="https://drive.google.com/open?id=1bfBdhx5yPF7amqqYEypjXEoZcqC-Ho1d" TargetMode="External"/><Relationship Id="rId140" Type="http://schemas.openxmlformats.org/officeDocument/2006/relationships/hyperlink" Target="https://drive.google.com/open?id=1XJonGXteDH9udDMLlJGeP_HfJwqiofaj" TargetMode="External"/><Relationship Id="rId261" Type="http://schemas.openxmlformats.org/officeDocument/2006/relationships/hyperlink" Target="https://drive.google.com/open?id=1HQrbUDwE2Dr-HEe-H8jo9KfYUnZ7KBe5" TargetMode="External"/><Relationship Id="rId5" Type="http://schemas.openxmlformats.org/officeDocument/2006/relationships/hyperlink" Target="https://drive.google.com/open?id=1RfJBGbLf99R16v5n9J2VAwbNPAdqNGMh" TargetMode="External"/><Relationship Id="rId147" Type="http://schemas.openxmlformats.org/officeDocument/2006/relationships/hyperlink" Target="https://drive.google.com/open?id=152MAZpjZvThK43BIDbogZ9khRdPP5tJ0" TargetMode="External"/><Relationship Id="rId268" Type="http://schemas.openxmlformats.org/officeDocument/2006/relationships/hyperlink" Target="https://drive.google.com/open?id=1MCjRAjVQhzPZIpdpPzV6gSW3D60B3guq" TargetMode="External"/><Relationship Id="rId6" Type="http://schemas.openxmlformats.org/officeDocument/2006/relationships/hyperlink" Target="https://drive.google.com/open?id=1STTeHRjW4WNongEoGig9psCiKAfLb4Xu" TargetMode="External"/><Relationship Id="rId146" Type="http://schemas.openxmlformats.org/officeDocument/2006/relationships/hyperlink" Target="https://drive.google.com/open?id=1HpMDpGCD4c3_33yBOdQz4f5MkCXQfSgn" TargetMode="External"/><Relationship Id="rId267" Type="http://schemas.openxmlformats.org/officeDocument/2006/relationships/hyperlink" Target="https://drive.google.com/open?id=1pkclO8SBRQ8Fkb84z4IuG_c-Fm5zLbqA" TargetMode="External"/><Relationship Id="rId7" Type="http://schemas.openxmlformats.org/officeDocument/2006/relationships/hyperlink" Target="https://drive.google.com/open?id=1suZL-X0BxCLmYfcwzUijOzMezxZEVbSW" TargetMode="External"/><Relationship Id="rId145" Type="http://schemas.openxmlformats.org/officeDocument/2006/relationships/hyperlink" Target="https://drive.google.com/open?id=1agx6ZfcmuLblPYU7OsUM2ZwLLKrSIMl7" TargetMode="External"/><Relationship Id="rId266" Type="http://schemas.openxmlformats.org/officeDocument/2006/relationships/hyperlink" Target="https://drive.google.com/open?id=1jSid3nJ-FX0dAF3RNvRUcB9xyo_NyaIZ" TargetMode="External"/><Relationship Id="rId8" Type="http://schemas.openxmlformats.org/officeDocument/2006/relationships/hyperlink" Target="https://drive.google.com/open?id=1ReqtzHanLhryyFBG63TCBQgMGflMz5Pd" TargetMode="External"/><Relationship Id="rId144" Type="http://schemas.openxmlformats.org/officeDocument/2006/relationships/hyperlink" Target="https://drive.google.com/open?id=11SIoYQq9hiWtLLY_sLjDOh8TbZ9sutr4" TargetMode="External"/><Relationship Id="rId265" Type="http://schemas.openxmlformats.org/officeDocument/2006/relationships/hyperlink" Target="https://drive.google.com/open?id=1PIlB8a8fUozyBqhUyq_KQHq_JBJw6yY6" TargetMode="External"/><Relationship Id="rId73" Type="http://schemas.openxmlformats.org/officeDocument/2006/relationships/hyperlink" Target="https://drive.google.com/open?id=17b6bIqVkWSIkAmF68CQSxQ6jnC29-46V" TargetMode="External"/><Relationship Id="rId72" Type="http://schemas.openxmlformats.org/officeDocument/2006/relationships/hyperlink" Target="https://drive.google.com/open?id=1sEgVY-mkTmcFAlq_VHH_zH8V7NRcRTZB" TargetMode="External"/><Relationship Id="rId75" Type="http://schemas.openxmlformats.org/officeDocument/2006/relationships/hyperlink" Target="https://drive.google.com/open?id=1ndP96MZXOCBl_KkpL18Kdf8jW7Rmw5yY" TargetMode="External"/><Relationship Id="rId74" Type="http://schemas.openxmlformats.org/officeDocument/2006/relationships/hyperlink" Target="https://drive.google.com/open?id=15mg3M5L4ukDORUqgR1KRrFy6NNLA9FaA" TargetMode="External"/><Relationship Id="rId77" Type="http://schemas.openxmlformats.org/officeDocument/2006/relationships/hyperlink" Target="https://drive.google.com/open?id=12BNG6P5xXWi32CK6CXgPf4UawJfUZFmi" TargetMode="External"/><Relationship Id="rId260" Type="http://schemas.openxmlformats.org/officeDocument/2006/relationships/hyperlink" Target="https://drive.google.com/open?id=1hSr_jp_RTXIQ1FKAYzWqj61dcxPdJLo7" TargetMode="External"/><Relationship Id="rId76" Type="http://schemas.openxmlformats.org/officeDocument/2006/relationships/hyperlink" Target="https://drive.google.com/open?id=1Nw6P4AOw8_4vSJ2OdAQZZ2qgMF3T045K" TargetMode="External"/><Relationship Id="rId79" Type="http://schemas.openxmlformats.org/officeDocument/2006/relationships/hyperlink" Target="https://drive.google.com/open?id=1EQsc_fYLaTRd_kbeacLyeEIpYs-q_N7E" TargetMode="External"/><Relationship Id="rId78" Type="http://schemas.openxmlformats.org/officeDocument/2006/relationships/hyperlink" Target="https://drive.google.com/open?id=1YVDOVy1dIyuZ3_6xtT8zIma4Kr9-z6Ab" TargetMode="External"/><Relationship Id="rId71" Type="http://schemas.openxmlformats.org/officeDocument/2006/relationships/hyperlink" Target="https://drive.google.com/open?id=1IGN8QQZm9ZLtGrUOJzX5EeRq2LTFOeS9" TargetMode="External"/><Relationship Id="rId70" Type="http://schemas.openxmlformats.org/officeDocument/2006/relationships/hyperlink" Target="https://drive.google.com/open?id=18ktayzQ3enUk0YBzZUCarsxwHROZtm_i" TargetMode="External"/><Relationship Id="rId139" Type="http://schemas.openxmlformats.org/officeDocument/2006/relationships/hyperlink" Target="https://drive.google.com/open?id=17BdUijWLObfbTAKpcHr9mXHy1RK5gi2-" TargetMode="External"/><Relationship Id="rId138" Type="http://schemas.openxmlformats.org/officeDocument/2006/relationships/hyperlink" Target="https://drive.google.com/open?id=1ZD3z5nf0pwc96d1HX7jqSXfk-ERO4_Oe" TargetMode="External"/><Relationship Id="rId259" Type="http://schemas.openxmlformats.org/officeDocument/2006/relationships/hyperlink" Target="https://drive.google.com/open?id=1HU34fZM7HSXHjONRwz8ToBFkzv_qYsSW" TargetMode="External"/><Relationship Id="rId137" Type="http://schemas.openxmlformats.org/officeDocument/2006/relationships/hyperlink" Target="https://drive.google.com/open?id=1ayNmTeBQYcJdKiZR6EGzzcRuTQQTE9qU" TargetMode="External"/><Relationship Id="rId258" Type="http://schemas.openxmlformats.org/officeDocument/2006/relationships/hyperlink" Target="https://drive.google.com/open?id=1Fb6lfF9worxGAHa7aPvmrYXfqhbM3jAV" TargetMode="External"/><Relationship Id="rId132" Type="http://schemas.openxmlformats.org/officeDocument/2006/relationships/hyperlink" Target="https://drive.google.com/open?id=1ajWQ3Z9aqj-RCpDrIAOXZH9HlJ2IIePU" TargetMode="External"/><Relationship Id="rId253" Type="http://schemas.openxmlformats.org/officeDocument/2006/relationships/hyperlink" Target="https://drive.google.com/open?id=14IGg4zMswkm243qLG6lAuHvHj7PTfs92" TargetMode="External"/><Relationship Id="rId131" Type="http://schemas.openxmlformats.org/officeDocument/2006/relationships/hyperlink" Target="https://drive.google.com/open?id=1VJfeqrPpNmHa7SscTL8KCgUhAQiYU0Bx" TargetMode="External"/><Relationship Id="rId252" Type="http://schemas.openxmlformats.org/officeDocument/2006/relationships/hyperlink" Target="https://drive.google.com/open?id=1g5PJZfQe2LsPmQD_nyzYI2PbSRoHhrRG" TargetMode="External"/><Relationship Id="rId130" Type="http://schemas.openxmlformats.org/officeDocument/2006/relationships/hyperlink" Target="https://drive.google.com/open?id=1qRsZT9XjUPmj65nV7EWEiTNyeeUYSqZ2" TargetMode="External"/><Relationship Id="rId251" Type="http://schemas.openxmlformats.org/officeDocument/2006/relationships/hyperlink" Target="https://drive.google.com/open?id=1jy6suLzwa_dTurH5eohBevYr_ycOniMu" TargetMode="External"/><Relationship Id="rId250" Type="http://schemas.openxmlformats.org/officeDocument/2006/relationships/hyperlink" Target="https://drive.google.com/open?id=1YUuDhitGgo-CCmCX2VG3nOAvqHqlOy7Z" TargetMode="External"/><Relationship Id="rId136" Type="http://schemas.openxmlformats.org/officeDocument/2006/relationships/hyperlink" Target="https://drive.google.com/open?id=1vGFtlfh3GEMhuu440tPrjxHtpLkTnhSb" TargetMode="External"/><Relationship Id="rId257" Type="http://schemas.openxmlformats.org/officeDocument/2006/relationships/hyperlink" Target="https://drive.google.com/open?id=1R1gtCqMAhDFfdQwMWOSS1fbnQcxnNxZR" TargetMode="External"/><Relationship Id="rId135" Type="http://schemas.openxmlformats.org/officeDocument/2006/relationships/hyperlink" Target="https://drive.google.com/open?id=1MX9mhWJba8vTZsXTJGPr9vDlJyHZR8hZ" TargetMode="External"/><Relationship Id="rId256" Type="http://schemas.openxmlformats.org/officeDocument/2006/relationships/hyperlink" Target="https://drive.google.com/open?id=1eyLJPN3lw_f1Ch7Egwvs-Ru0H_aj6dLb" TargetMode="External"/><Relationship Id="rId134" Type="http://schemas.openxmlformats.org/officeDocument/2006/relationships/hyperlink" Target="https://drive.google.com/open?id=1LZgv0JIoYsZBwvvIYjddDlYni48T09th" TargetMode="External"/><Relationship Id="rId255" Type="http://schemas.openxmlformats.org/officeDocument/2006/relationships/hyperlink" Target="https://drive.google.com/open?id=18xwbRuQk_4qlFl55NM7IuWdQkjK3odPm" TargetMode="External"/><Relationship Id="rId133" Type="http://schemas.openxmlformats.org/officeDocument/2006/relationships/hyperlink" Target="https://drive.google.com/open?id=1AEJWkIp2CdrFco8TmKGNB1wVy_07lL4i" TargetMode="External"/><Relationship Id="rId254" Type="http://schemas.openxmlformats.org/officeDocument/2006/relationships/hyperlink" Target="https://drive.google.com/open?id=15U1aWPkjU2mlNHMOjUQn8KDcDguBn5cq" TargetMode="External"/><Relationship Id="rId62" Type="http://schemas.openxmlformats.org/officeDocument/2006/relationships/hyperlink" Target="https://drive.google.com/open?id=1w5oxEG3Y_3QnTCazzcYgvScpQnlHlUCB" TargetMode="External"/><Relationship Id="rId61" Type="http://schemas.openxmlformats.org/officeDocument/2006/relationships/hyperlink" Target="https://drive.google.com/open?id=1Bjvem_I_ilRINZh5ay3Gh2MmbqyI_ZM5" TargetMode="External"/><Relationship Id="rId64" Type="http://schemas.openxmlformats.org/officeDocument/2006/relationships/hyperlink" Target="https://drive.google.com/open?id=1pWB5DAklFhIBCDY88-lVSMw6USUqOUwf" TargetMode="External"/><Relationship Id="rId63" Type="http://schemas.openxmlformats.org/officeDocument/2006/relationships/hyperlink" Target="https://drive.google.com/open?id=1P6zVDGzkvgIb6Tdpk3ftQTaZgIxa5RHn" TargetMode="External"/><Relationship Id="rId66" Type="http://schemas.openxmlformats.org/officeDocument/2006/relationships/hyperlink" Target="https://drive.google.com/open?id=1y7cM_212CUes9lf3DFTsE1oQt_gVIrf-" TargetMode="External"/><Relationship Id="rId172" Type="http://schemas.openxmlformats.org/officeDocument/2006/relationships/hyperlink" Target="https://drive.google.com/open?id=1WfJdQ7lba38kSgsUtHTA0vyCO4jFnufI" TargetMode="External"/><Relationship Id="rId293" Type="http://schemas.openxmlformats.org/officeDocument/2006/relationships/hyperlink" Target="https://drive.google.com/open?id=118nvVBnwe-bVAhmD0QBndxzCqasZUNzH" TargetMode="External"/><Relationship Id="rId65" Type="http://schemas.openxmlformats.org/officeDocument/2006/relationships/hyperlink" Target="https://drive.google.com/open?id=1thgAXDqCeAa3Di76_D8nIFLshDuiWyFK" TargetMode="External"/><Relationship Id="rId171" Type="http://schemas.openxmlformats.org/officeDocument/2006/relationships/hyperlink" Target="https://drive.google.com/open?id=1EZl5dm09BGfE1LXPFGGzxMDkfjpRXEDL" TargetMode="External"/><Relationship Id="rId292" Type="http://schemas.openxmlformats.org/officeDocument/2006/relationships/hyperlink" Target="https://drive.google.com/open?id=1nFQKiLGBPCvfasJiEpHSgEEyzg9EuJNV" TargetMode="External"/><Relationship Id="rId68" Type="http://schemas.openxmlformats.org/officeDocument/2006/relationships/hyperlink" Target="https://drive.google.com/open?id=17NwuQxURpwnFXAM2DiR5BSKfqwrc4IpS" TargetMode="External"/><Relationship Id="rId170" Type="http://schemas.openxmlformats.org/officeDocument/2006/relationships/hyperlink" Target="https://drive.google.com/open?id=1xY-xUFjpIBv770_nomBwb-6qXCT6x8t2" TargetMode="External"/><Relationship Id="rId291" Type="http://schemas.openxmlformats.org/officeDocument/2006/relationships/hyperlink" Target="https://drive.google.com/open?id=1JrLI1tyO97IMOYricg8jbMsXKHw_AamJ" TargetMode="External"/><Relationship Id="rId67" Type="http://schemas.openxmlformats.org/officeDocument/2006/relationships/hyperlink" Target="https://drive.google.com/open?id=1nBinud0RE0f_0prwiaAI5ZZNJcp5dUd7" TargetMode="External"/><Relationship Id="rId290" Type="http://schemas.openxmlformats.org/officeDocument/2006/relationships/hyperlink" Target="https://drive.google.com/open?id=1ZWe9ogNm9xcbQhRh-OolbkFOQtiDlCO1" TargetMode="External"/><Relationship Id="rId60" Type="http://schemas.openxmlformats.org/officeDocument/2006/relationships/hyperlink" Target="https://drive.google.com/open?id=1b2PmDTvfM0tx4EnfWQ5zBGcJFZ-e_yhI" TargetMode="External"/><Relationship Id="rId165" Type="http://schemas.openxmlformats.org/officeDocument/2006/relationships/hyperlink" Target="https://drive.google.com/open?id=1l-YPj1SujDEzufsgxinfewrNChZ44hmn" TargetMode="External"/><Relationship Id="rId286" Type="http://schemas.openxmlformats.org/officeDocument/2006/relationships/hyperlink" Target="https://drive.google.com/open?id=1xJj6JguZYYZ-Ag7mDWJOZAl5rU7PX0Qk" TargetMode="External"/><Relationship Id="rId69" Type="http://schemas.openxmlformats.org/officeDocument/2006/relationships/hyperlink" Target="https://drive.google.com/open?id=1I2vyciA0tArPcdiQVStjSbGUrAuBO1gl" TargetMode="External"/><Relationship Id="rId164" Type="http://schemas.openxmlformats.org/officeDocument/2006/relationships/hyperlink" Target="https://drive.google.com/open?id=1vpUSj95DCgepZ11M33qVLLufnDIa6yfg" TargetMode="External"/><Relationship Id="rId285" Type="http://schemas.openxmlformats.org/officeDocument/2006/relationships/hyperlink" Target="https://drive.google.com/open?id=1_v9ipshqTAJe0fl6j8fWr8d3eAG2WLHH" TargetMode="External"/><Relationship Id="rId163" Type="http://schemas.openxmlformats.org/officeDocument/2006/relationships/hyperlink" Target="https://drive.google.com/open?id=1WAR3PH2PNje3aU1_IFAB6VIupB7ExLC9" TargetMode="External"/><Relationship Id="rId284" Type="http://schemas.openxmlformats.org/officeDocument/2006/relationships/hyperlink" Target="https://drive.google.com/open?id=1aEn6zynYMtTqU82pZLlLnFjsJXaMolgi" TargetMode="External"/><Relationship Id="rId162" Type="http://schemas.openxmlformats.org/officeDocument/2006/relationships/hyperlink" Target="https://drive.google.com/open?id=1oyRXm0T63v91E4r6-sJBAxNWs8edMhLB" TargetMode="External"/><Relationship Id="rId283" Type="http://schemas.openxmlformats.org/officeDocument/2006/relationships/hyperlink" Target="https://drive.google.com/open?id=1mwdUPbPaO99_i4UyRy4U0ctnJjbfI1wx" TargetMode="External"/><Relationship Id="rId169" Type="http://schemas.openxmlformats.org/officeDocument/2006/relationships/hyperlink" Target="https://drive.google.com/open?id=1cei-PULn1wQVZbfJ-9M_omjOaQWjneMr" TargetMode="External"/><Relationship Id="rId168" Type="http://schemas.openxmlformats.org/officeDocument/2006/relationships/hyperlink" Target="https://drive.google.com/open?id=1l89BGnA4vKTlHGE5ICKyfo8hsSc3bLO6" TargetMode="External"/><Relationship Id="rId289" Type="http://schemas.openxmlformats.org/officeDocument/2006/relationships/hyperlink" Target="https://drive.google.com/open?id=1IPDSKNOEeSQb-uBaVCtoCyBaEBJUVMh8" TargetMode="External"/><Relationship Id="rId167" Type="http://schemas.openxmlformats.org/officeDocument/2006/relationships/hyperlink" Target="https://drive.google.com/open?id=1mMFiI51tsVW_TprZtopgXmH_Nn-I9Z7g" TargetMode="External"/><Relationship Id="rId288" Type="http://schemas.openxmlformats.org/officeDocument/2006/relationships/hyperlink" Target="https://drive.google.com/open?id=1uYaBUS1pDb8zNs1myLB9Wfa06w9aEjeg" TargetMode="External"/><Relationship Id="rId166" Type="http://schemas.openxmlformats.org/officeDocument/2006/relationships/hyperlink" Target="https://drive.google.com/open?id=1vO3anu3uqZAN5tjSoc_FJhctZ6AmmyP6" TargetMode="External"/><Relationship Id="rId287" Type="http://schemas.openxmlformats.org/officeDocument/2006/relationships/hyperlink" Target="https://drive.google.com/open?id=1q4jtwLfwgagaoHjx9Vk-4Au0Nn89GlKY" TargetMode="External"/><Relationship Id="rId51" Type="http://schemas.openxmlformats.org/officeDocument/2006/relationships/hyperlink" Target="https://drive.google.com/open?id=1ff7w9oWM0zZamED4L5zGFL1ShxRfELVm" TargetMode="External"/><Relationship Id="rId50" Type="http://schemas.openxmlformats.org/officeDocument/2006/relationships/hyperlink" Target="https://drive.google.com/open?id=1lM_Pqa4APkRd4ud8x3cCNVqZaH20aqcU" TargetMode="External"/><Relationship Id="rId53" Type="http://schemas.openxmlformats.org/officeDocument/2006/relationships/hyperlink" Target="https://drive.google.com/open?id=1l5jAcXwoQ-cvT-9G8LAGLweeEyCOYRNI" TargetMode="External"/><Relationship Id="rId52" Type="http://schemas.openxmlformats.org/officeDocument/2006/relationships/hyperlink" Target="https://drive.google.com/open?id=15g0VUuS3eWOtYa4xYiE-49HMFJkGPJ_H" TargetMode="External"/><Relationship Id="rId55" Type="http://schemas.openxmlformats.org/officeDocument/2006/relationships/hyperlink" Target="https://drive.google.com/open?id=1pTCiAxTmh72cd1ew5dqtKt5o63zF4DVl" TargetMode="External"/><Relationship Id="rId161" Type="http://schemas.openxmlformats.org/officeDocument/2006/relationships/hyperlink" Target="https://drive.google.com/open?id=1evafgOkL5bzXnMIWfeJ-3EYX21EA1I4H" TargetMode="External"/><Relationship Id="rId282" Type="http://schemas.openxmlformats.org/officeDocument/2006/relationships/hyperlink" Target="https://drive.google.com/open?id=15DqgMzqxVTeyVlE8ii224-5hgM0RqaHD" TargetMode="External"/><Relationship Id="rId54" Type="http://schemas.openxmlformats.org/officeDocument/2006/relationships/hyperlink" Target="https://drive.google.com/open?id=1SefSF4GXvJgrmCLfFNmLeUBeigtkZDqN" TargetMode="External"/><Relationship Id="rId160" Type="http://schemas.openxmlformats.org/officeDocument/2006/relationships/hyperlink" Target="https://drive.google.com/open?id=1zW8WVLi6_3sWq2Ftmyb2_GxImDfZVuTc" TargetMode="External"/><Relationship Id="rId281" Type="http://schemas.openxmlformats.org/officeDocument/2006/relationships/hyperlink" Target="https://drive.google.com/open?id=1jg--PfomRC8U5u4fxaR52oQRHrvm3LhQ" TargetMode="External"/><Relationship Id="rId57" Type="http://schemas.openxmlformats.org/officeDocument/2006/relationships/hyperlink" Target="https://drive.google.com/open?id=1XTyHx4GbZQFlgWAkfnY_3DnqsZBqeupP" TargetMode="External"/><Relationship Id="rId280" Type="http://schemas.openxmlformats.org/officeDocument/2006/relationships/hyperlink" Target="https://drive.google.com/open?id=1UZx222ibsk9zHzcsDK6VCCTTZCDJYoi0" TargetMode="External"/><Relationship Id="rId56" Type="http://schemas.openxmlformats.org/officeDocument/2006/relationships/hyperlink" Target="https://drive.google.com/open?id=18yGlpiRX8BvHeQapF545hc1x-tS2uJog" TargetMode="External"/><Relationship Id="rId159" Type="http://schemas.openxmlformats.org/officeDocument/2006/relationships/hyperlink" Target="https://drive.google.com/open?id=124crok5AAw7ikRRjYsGq6nRYmxtyzGdL" TargetMode="External"/><Relationship Id="rId59" Type="http://schemas.openxmlformats.org/officeDocument/2006/relationships/hyperlink" Target="https://drive.google.com/open?id=1fxh5-Uv1aPb30bXsySbDnRVK9Y3Kg_gX" TargetMode="External"/><Relationship Id="rId154" Type="http://schemas.openxmlformats.org/officeDocument/2006/relationships/hyperlink" Target="https://drive.google.com/open?id=1ERvGu6dTpc99Rnh9EJjqrc6E_swukhi7" TargetMode="External"/><Relationship Id="rId275" Type="http://schemas.openxmlformats.org/officeDocument/2006/relationships/hyperlink" Target="https://drive.google.com/open?id=19EwT0DyI9ymplMGneLNVBtIwc514sR_h" TargetMode="External"/><Relationship Id="rId58" Type="http://schemas.openxmlformats.org/officeDocument/2006/relationships/hyperlink" Target="https://drive.google.com/open?id=1P_X0YDbiCrcY9oVeF1sWkeovZYgKMExE" TargetMode="External"/><Relationship Id="rId153" Type="http://schemas.openxmlformats.org/officeDocument/2006/relationships/hyperlink" Target="https://drive.google.com/open?id=1Y6ZcGc2riRBA1oJVHyZfsfZ4dY3i6fjT" TargetMode="External"/><Relationship Id="rId274" Type="http://schemas.openxmlformats.org/officeDocument/2006/relationships/hyperlink" Target="https://drive.google.com/open?id=16h2scTZqNLLt3RgCz7rwNOyIhgmbsPB4" TargetMode="External"/><Relationship Id="rId152" Type="http://schemas.openxmlformats.org/officeDocument/2006/relationships/hyperlink" Target="https://drive.google.com/open?id=1BZbbjvux3p2XroHfFauBl6n9_CcTVHFh" TargetMode="External"/><Relationship Id="rId273" Type="http://schemas.openxmlformats.org/officeDocument/2006/relationships/hyperlink" Target="https://drive.google.com/open?id=1X5yvInn0LKKltmkmiQUxZtNUQus4M7YM" TargetMode="External"/><Relationship Id="rId151" Type="http://schemas.openxmlformats.org/officeDocument/2006/relationships/hyperlink" Target="https://drive.google.com/open?id=1FeO19y_W8VWcjEZdY_YIZLqTIsi4H8S3" TargetMode="External"/><Relationship Id="rId272" Type="http://schemas.openxmlformats.org/officeDocument/2006/relationships/hyperlink" Target="https://drive.google.com/open?id=1Yqm9uF_uYQXIlcX04aA_qY57iVI5TGhG" TargetMode="External"/><Relationship Id="rId158" Type="http://schemas.openxmlformats.org/officeDocument/2006/relationships/hyperlink" Target="https://drive.google.com/open?id=1YgtgGM0BsLO_D9kRBIISiOo_pFEO2EhF" TargetMode="External"/><Relationship Id="rId279" Type="http://schemas.openxmlformats.org/officeDocument/2006/relationships/hyperlink" Target="https://drive.google.com/open?id=1LhzzXJs-UnohE681HgwaOAw45n28JXz3" TargetMode="External"/><Relationship Id="rId157" Type="http://schemas.openxmlformats.org/officeDocument/2006/relationships/hyperlink" Target="https://drive.google.com/open?id=16__dhr2B7lDH-cZFXfDeVTeqcycri0Sm" TargetMode="External"/><Relationship Id="rId278" Type="http://schemas.openxmlformats.org/officeDocument/2006/relationships/hyperlink" Target="https://drive.google.com/open?id=1exd5y3fNQkcvwlIi8dEq1IGQ-Jx-C0iC" TargetMode="External"/><Relationship Id="rId156" Type="http://schemas.openxmlformats.org/officeDocument/2006/relationships/hyperlink" Target="https://drive.google.com/open?id=1cm90fqXv2zVDf7h9fbEs9F8ucMNpHqwB" TargetMode="External"/><Relationship Id="rId277" Type="http://schemas.openxmlformats.org/officeDocument/2006/relationships/hyperlink" Target="https://drive.google.com/open?id=1Dsa2tQ1Snh-r4zUGRFxQYCCB4QXoXhVD" TargetMode="External"/><Relationship Id="rId155" Type="http://schemas.openxmlformats.org/officeDocument/2006/relationships/hyperlink" Target="https://drive.google.com/open?id=1exP8iApsSJz-fQoCCg6_C_zjXxKagc7N" TargetMode="External"/><Relationship Id="rId276" Type="http://schemas.openxmlformats.org/officeDocument/2006/relationships/hyperlink" Target="https://drive.google.com/open?id=16D4ecvv2U-2snIq82bZDHRLLQSpNeuZL" TargetMode="External"/><Relationship Id="rId107" Type="http://schemas.openxmlformats.org/officeDocument/2006/relationships/hyperlink" Target="https://drive.google.com/open?id=1HfIVNeMB_ECzHMzWa-6GJ_qgAMlIU_n0" TargetMode="External"/><Relationship Id="rId228" Type="http://schemas.openxmlformats.org/officeDocument/2006/relationships/hyperlink" Target="https://drive.google.com/open?id=14ceMSuEc3pkisKYM3NixHSGcxAjmG1sF" TargetMode="External"/><Relationship Id="rId349" Type="http://schemas.openxmlformats.org/officeDocument/2006/relationships/hyperlink" Target="https://drive.google.com/open?id=1nVM8n8zHwMihrktdkrp1SMFAISMWQPh3" TargetMode="External"/><Relationship Id="rId106" Type="http://schemas.openxmlformats.org/officeDocument/2006/relationships/hyperlink" Target="https://drive.google.com/open?id=16QJxFRyFat2-vQbJCjTv_aoucODfuX6d" TargetMode="External"/><Relationship Id="rId227" Type="http://schemas.openxmlformats.org/officeDocument/2006/relationships/hyperlink" Target="https://drive.google.com/open?id=18pKd70kp8dxSoj4vjUBYeSdWhOZwlF0L" TargetMode="External"/><Relationship Id="rId348" Type="http://schemas.openxmlformats.org/officeDocument/2006/relationships/hyperlink" Target="https://drive.google.com/open?id=17f6tVYwvx4UzQXlhJ9Z6B_eDtJe69uqQ" TargetMode="External"/><Relationship Id="rId105" Type="http://schemas.openxmlformats.org/officeDocument/2006/relationships/hyperlink" Target="https://drive.google.com/open?id=1KztgL8OEke4hZZMua6o0pKtkGrhe4WAN" TargetMode="External"/><Relationship Id="rId226" Type="http://schemas.openxmlformats.org/officeDocument/2006/relationships/hyperlink" Target="https://drive.google.com/open?id=1mq7q831Mr_qKEhpGM03-BNeH3VBL5AbI" TargetMode="External"/><Relationship Id="rId347" Type="http://schemas.openxmlformats.org/officeDocument/2006/relationships/hyperlink" Target="https://drive.google.com/open?id=1N44T7YnTBgmkiTbItQKtEUNpjEDd0EUh" TargetMode="External"/><Relationship Id="rId104" Type="http://schemas.openxmlformats.org/officeDocument/2006/relationships/hyperlink" Target="https://drive.google.com/open?id=1fZ5OB9vLnev-bJ1nlJk4fGZXjbpDEO-c" TargetMode="External"/><Relationship Id="rId225" Type="http://schemas.openxmlformats.org/officeDocument/2006/relationships/hyperlink" Target="https://drive.google.com/open?id=1Awo4tkcxz5_bkVWxO7auydndnGz_goeX" TargetMode="External"/><Relationship Id="rId346" Type="http://schemas.openxmlformats.org/officeDocument/2006/relationships/hyperlink" Target="https://drive.google.com/open?id=1X-UOXjb8Wn9jTSc3KAMcoMLGo_4sEAiO" TargetMode="External"/><Relationship Id="rId109" Type="http://schemas.openxmlformats.org/officeDocument/2006/relationships/hyperlink" Target="https://drive.google.com/open?id=1rAVplwsISXN9YIFzRlgWKf7L2pj15DSl" TargetMode="External"/><Relationship Id="rId108" Type="http://schemas.openxmlformats.org/officeDocument/2006/relationships/hyperlink" Target="https://drive.google.com/open?id=1PFDlujHx6D2q1D7mezqt7rCMaq5Nffsv" TargetMode="External"/><Relationship Id="rId229" Type="http://schemas.openxmlformats.org/officeDocument/2006/relationships/hyperlink" Target="https://drive.google.com/open?id=1KQ-Xwv7YV4z_8uNWiPqxFY3is8juWUs-" TargetMode="External"/><Relationship Id="rId220" Type="http://schemas.openxmlformats.org/officeDocument/2006/relationships/hyperlink" Target="https://drive.google.com/open?id=1friM3Un9sYBrvVFof6J8GyRDWrPBGbVU" TargetMode="External"/><Relationship Id="rId341" Type="http://schemas.openxmlformats.org/officeDocument/2006/relationships/hyperlink" Target="https://drive.google.com/open?id=1M-D4W3wo5ygIcbAyfOurXfqgDnkj9rSQ" TargetMode="External"/><Relationship Id="rId340" Type="http://schemas.openxmlformats.org/officeDocument/2006/relationships/hyperlink" Target="https://drive.google.com/open?id=1i3I0yBWBZAUnQQN5VFngO53ZQQxoBL9S" TargetMode="External"/><Relationship Id="rId103" Type="http://schemas.openxmlformats.org/officeDocument/2006/relationships/hyperlink" Target="https://drive.google.com/open?id=1mByFASwogNgPgDp3ASra5Yi99XMaHEJr" TargetMode="External"/><Relationship Id="rId224" Type="http://schemas.openxmlformats.org/officeDocument/2006/relationships/hyperlink" Target="https://drive.google.com/open?id=1BlByegnrRZoQ6dQfUCSXpHSMRgmp18KO" TargetMode="External"/><Relationship Id="rId345" Type="http://schemas.openxmlformats.org/officeDocument/2006/relationships/hyperlink" Target="https://drive.google.com/open?id=1q7vxH_QYaEU34MHppSGzd3NaWZVy8P2T" TargetMode="External"/><Relationship Id="rId102" Type="http://schemas.openxmlformats.org/officeDocument/2006/relationships/hyperlink" Target="https://drive.google.com/open?id=1E0Vszup2lQLfdpgMIBj2WugQ756uMslC" TargetMode="External"/><Relationship Id="rId223" Type="http://schemas.openxmlformats.org/officeDocument/2006/relationships/hyperlink" Target="https://drive.google.com/open?id=168MUPAft9nz3m2kjmj8i_54f5AFf1pyf" TargetMode="External"/><Relationship Id="rId344" Type="http://schemas.openxmlformats.org/officeDocument/2006/relationships/hyperlink" Target="https://drive.google.com/open?id=1idiuvmOFbXcY0TIpPj8RQpAiwxjxYWvp" TargetMode="External"/><Relationship Id="rId101" Type="http://schemas.openxmlformats.org/officeDocument/2006/relationships/hyperlink" Target="https://drive.google.com/open?id=1ItmdZQFTymSYMMTI1_Y7PkbVoZ62MP4z" TargetMode="External"/><Relationship Id="rId222" Type="http://schemas.openxmlformats.org/officeDocument/2006/relationships/hyperlink" Target="https://drive.google.com/open?id=1a8yvFYEqjTFWSGtX0ctxOqXemjricIEX" TargetMode="External"/><Relationship Id="rId343" Type="http://schemas.openxmlformats.org/officeDocument/2006/relationships/hyperlink" Target="https://drive.google.com/open?id=1PrxEnyumEcEKeHNEIieeKLWD7GBxKFFZ" TargetMode="External"/><Relationship Id="rId100" Type="http://schemas.openxmlformats.org/officeDocument/2006/relationships/hyperlink" Target="https://drive.google.com/open?id=1wrF__61hq-wpg3zhkDMrs0OSYRla9JTh" TargetMode="External"/><Relationship Id="rId221" Type="http://schemas.openxmlformats.org/officeDocument/2006/relationships/hyperlink" Target="https://drive.google.com/open?id=1bEWCSfyhLSa7C1kgtitoPCS8bkIuBpmf" TargetMode="External"/><Relationship Id="rId342" Type="http://schemas.openxmlformats.org/officeDocument/2006/relationships/hyperlink" Target="https://drive.google.com/open?id=1989rqVJ9nuAXRtx40x4Jix1B8K1W6Ps5" TargetMode="External"/><Relationship Id="rId217" Type="http://schemas.openxmlformats.org/officeDocument/2006/relationships/hyperlink" Target="https://drive.google.com/open?id=1xoY71ouDAOV0jnsCI692BaKWbhCiZL-r" TargetMode="External"/><Relationship Id="rId338" Type="http://schemas.openxmlformats.org/officeDocument/2006/relationships/hyperlink" Target="https://drive.google.com/open?id=1-0aJHuCjtlKlezrTUbLXkRpkdhAF4M-v" TargetMode="External"/><Relationship Id="rId216" Type="http://schemas.openxmlformats.org/officeDocument/2006/relationships/hyperlink" Target="https://drive.google.com/open?id=1IBGikWQEp1XJ6egww1BRi--KEzxk-557" TargetMode="External"/><Relationship Id="rId337" Type="http://schemas.openxmlformats.org/officeDocument/2006/relationships/hyperlink" Target="https://drive.google.com/open?id=1CZRSnWf_Tvwz_LZCA7mBxfN3PmHu60v-" TargetMode="External"/><Relationship Id="rId215" Type="http://schemas.openxmlformats.org/officeDocument/2006/relationships/hyperlink" Target="https://drive.google.com/open?id=1XKI2Baf5gNkEr1iZrUKPaRUYFstDA3Qt" TargetMode="External"/><Relationship Id="rId336" Type="http://schemas.openxmlformats.org/officeDocument/2006/relationships/hyperlink" Target="https://drive.google.com/open?id=1FHcUgE3Nn-ylYv8bQf9lYQNBHDDDEIGg" TargetMode="External"/><Relationship Id="rId214" Type="http://schemas.openxmlformats.org/officeDocument/2006/relationships/hyperlink" Target="https://drive.google.com/open?id=1-d9UM3yHrHbdgzbXE3mwQ3JHXULrUIMX" TargetMode="External"/><Relationship Id="rId335" Type="http://schemas.openxmlformats.org/officeDocument/2006/relationships/hyperlink" Target="https://drive.google.com/open?id=11goryPOB2TYIacdjkzHvRVM6d1KfI3y1" TargetMode="External"/><Relationship Id="rId219" Type="http://schemas.openxmlformats.org/officeDocument/2006/relationships/hyperlink" Target="https://drive.google.com/open?id=11TxnwfocD6eDqSWk_1PNN0MI2jyrL5ZS" TargetMode="External"/><Relationship Id="rId218" Type="http://schemas.openxmlformats.org/officeDocument/2006/relationships/hyperlink" Target="https://drive.google.com/open?id=1CpvOYOqC8OXeTRFmNioCrYg3_7hSZ39Q" TargetMode="External"/><Relationship Id="rId339" Type="http://schemas.openxmlformats.org/officeDocument/2006/relationships/hyperlink" Target="https://drive.google.com/open?id=10xhv7vy3irtFqB4uwlalaHDfwFIwiAco" TargetMode="External"/><Relationship Id="rId330" Type="http://schemas.openxmlformats.org/officeDocument/2006/relationships/hyperlink" Target="https://drive.google.com/open?id=1gxavYVwvB4XMS9LExB-QV4jEsZX5sR-S" TargetMode="External"/><Relationship Id="rId213" Type="http://schemas.openxmlformats.org/officeDocument/2006/relationships/hyperlink" Target="https://drive.google.com/open?id=1iMoknamzIQ9diAvGFUIaGMMJery5lbRU" TargetMode="External"/><Relationship Id="rId334" Type="http://schemas.openxmlformats.org/officeDocument/2006/relationships/hyperlink" Target="https://drive.google.com/open?id=1a5dDewq0XyzTJdj2lmkaQFredhPZ8oiu" TargetMode="External"/><Relationship Id="rId212" Type="http://schemas.openxmlformats.org/officeDocument/2006/relationships/hyperlink" Target="https://drive.google.com/open?id=1nwJLxBaIq1O7GAOlDLWaU8w59li6tz1W" TargetMode="External"/><Relationship Id="rId333" Type="http://schemas.openxmlformats.org/officeDocument/2006/relationships/hyperlink" Target="https://drive.google.com/open?id=1yxXcQgKHp03sbWdJCsMI1uVsI9eGmgzX" TargetMode="External"/><Relationship Id="rId211" Type="http://schemas.openxmlformats.org/officeDocument/2006/relationships/hyperlink" Target="https://drive.google.com/open?id=1FlQgY3Scj_y3_BUa8Skrlka4aRvx9rXi" TargetMode="External"/><Relationship Id="rId332" Type="http://schemas.openxmlformats.org/officeDocument/2006/relationships/hyperlink" Target="https://drive.google.com/open?id=1YRsoLSkvFvuYI3QOjozfRsPJ7tcT5nOU" TargetMode="External"/><Relationship Id="rId210" Type="http://schemas.openxmlformats.org/officeDocument/2006/relationships/hyperlink" Target="https://drive.google.com/open?id=1h13cIXFRqFSwxteOs7r-i-vAcmAhm6-6" TargetMode="External"/><Relationship Id="rId331" Type="http://schemas.openxmlformats.org/officeDocument/2006/relationships/hyperlink" Target="https://drive.google.com/open?id=1Iuo0d78nvubtjbvAZTUSrp3IIgHANyga" TargetMode="External"/><Relationship Id="rId129" Type="http://schemas.openxmlformats.org/officeDocument/2006/relationships/hyperlink" Target="https://drive.google.com/open?id=1VZYGH72dNxSBH5qzEkCmugohgZSlXur0" TargetMode="External"/><Relationship Id="rId128" Type="http://schemas.openxmlformats.org/officeDocument/2006/relationships/hyperlink" Target="https://drive.google.com/open?id=1OkLu-ptgMZQw7pT7GsaSjllY8wXroPNL" TargetMode="External"/><Relationship Id="rId249" Type="http://schemas.openxmlformats.org/officeDocument/2006/relationships/hyperlink" Target="https://drive.google.com/open?id=1oiD-5x7tgVJalldoJDukD9pLaxJ6l2rM" TargetMode="External"/><Relationship Id="rId127" Type="http://schemas.openxmlformats.org/officeDocument/2006/relationships/hyperlink" Target="https://drive.google.com/open?id=1j_6KyPRejnXCr7eFpem9o5GnC1qR6c77" TargetMode="External"/><Relationship Id="rId248" Type="http://schemas.openxmlformats.org/officeDocument/2006/relationships/hyperlink" Target="https://drive.google.com/open?id=1ThszkALqpabg3JKiI8FixCV8pXi-dssS" TargetMode="External"/><Relationship Id="rId126" Type="http://schemas.openxmlformats.org/officeDocument/2006/relationships/hyperlink" Target="https://drive.google.com/open?id=1s9Ebe8xltDlsotZ3crK3wUEUpXtRXJoA" TargetMode="External"/><Relationship Id="rId247" Type="http://schemas.openxmlformats.org/officeDocument/2006/relationships/hyperlink" Target="https://drive.google.com/open?id=19I6hrZOuMWLrfICQwNh3M1riywaHpy-N" TargetMode="External"/><Relationship Id="rId121" Type="http://schemas.openxmlformats.org/officeDocument/2006/relationships/hyperlink" Target="https://drive.google.com/open?id=1mooE5TomVolzpVAYGxoBnfGZoiuiEYwa" TargetMode="External"/><Relationship Id="rId242" Type="http://schemas.openxmlformats.org/officeDocument/2006/relationships/hyperlink" Target="https://drive.google.com/open?id=1Se8DrkIUwzWpWyzR-Igc_qlTBp5Mhxs0" TargetMode="External"/><Relationship Id="rId120" Type="http://schemas.openxmlformats.org/officeDocument/2006/relationships/hyperlink" Target="https://drive.google.com/open?id=1bWTUr93keviUY0wPZjsrGyOdNGtayJXM" TargetMode="External"/><Relationship Id="rId241" Type="http://schemas.openxmlformats.org/officeDocument/2006/relationships/hyperlink" Target="https://drive.google.com/open?id=16SyqDdIfbnjIEjxl_lbS2zIR65AdIHHI" TargetMode="External"/><Relationship Id="rId240" Type="http://schemas.openxmlformats.org/officeDocument/2006/relationships/hyperlink" Target="https://drive.google.com/open?id=1VypwVnmo6UgJ2Qmc_15cn-26yojIIqxW" TargetMode="External"/><Relationship Id="rId361" Type="http://schemas.openxmlformats.org/officeDocument/2006/relationships/table" Target="../tables/table1.xml"/><Relationship Id="rId125" Type="http://schemas.openxmlformats.org/officeDocument/2006/relationships/hyperlink" Target="https://drive.google.com/open?id=1tJzycF8wTukxcHtvCxx2YjnVGm2tWdib" TargetMode="External"/><Relationship Id="rId246" Type="http://schemas.openxmlformats.org/officeDocument/2006/relationships/hyperlink" Target="https://drive.google.com/open?id=1th2NXqCtk6V21Xh0Lt2PNm5TT5DW0g5j" TargetMode="External"/><Relationship Id="rId124" Type="http://schemas.openxmlformats.org/officeDocument/2006/relationships/hyperlink" Target="https://drive.google.com/open?id=1WUfTc0UTv4bn9f4QhA9YscJZ_gz2Dfu7" TargetMode="External"/><Relationship Id="rId245" Type="http://schemas.openxmlformats.org/officeDocument/2006/relationships/hyperlink" Target="https://drive.google.com/open?id=1YNlHO2Sdw2o2_z4aADxeUoJacLrk4iaY" TargetMode="External"/><Relationship Id="rId123" Type="http://schemas.openxmlformats.org/officeDocument/2006/relationships/hyperlink" Target="https://drive.google.com/open?id=19LVDSS8uhFIpMrRJFs2VDpOruOFW8x7D" TargetMode="External"/><Relationship Id="rId244" Type="http://schemas.openxmlformats.org/officeDocument/2006/relationships/hyperlink" Target="https://drive.google.com/open?id=16WSpzrs0e-SrP9vdTQpzH3V6kfbIgvOP" TargetMode="External"/><Relationship Id="rId122" Type="http://schemas.openxmlformats.org/officeDocument/2006/relationships/hyperlink" Target="https://drive.google.com/open?id=1b1VAZPhPPMzCLahin7wlrEP6ooPciPU1" TargetMode="External"/><Relationship Id="rId243" Type="http://schemas.openxmlformats.org/officeDocument/2006/relationships/hyperlink" Target="https://drive.google.com/open?id=1WfEEKO1GwbW3GEdHnu0Lep3QC_G034Dt" TargetMode="External"/><Relationship Id="rId95" Type="http://schemas.openxmlformats.org/officeDocument/2006/relationships/hyperlink" Target="https://drive.google.com/open?id=1zwdEFcV9P321Q6Jkzx-Cv1wnMXEHxajP" TargetMode="External"/><Relationship Id="rId94" Type="http://schemas.openxmlformats.org/officeDocument/2006/relationships/hyperlink" Target="https://drive.google.com/open?id=1TUTEY9I_2s5assnVLiXCGzIDtFy0AZ6k" TargetMode="External"/><Relationship Id="rId97" Type="http://schemas.openxmlformats.org/officeDocument/2006/relationships/hyperlink" Target="https://drive.google.com/open?id=1z1xB5-MdjChXJLkgsNr-19kq0-G3lMxB" TargetMode="External"/><Relationship Id="rId96" Type="http://schemas.openxmlformats.org/officeDocument/2006/relationships/hyperlink" Target="https://drive.google.com/open?id=1IFG8feelFIXlMM6oKKg5CWGBzzIZIh4e" TargetMode="External"/><Relationship Id="rId99" Type="http://schemas.openxmlformats.org/officeDocument/2006/relationships/hyperlink" Target="https://drive.google.com/open?id=1bwx5q9n2bwNAABsvPhSADC1hY7hWzzHG" TargetMode="External"/><Relationship Id="rId98" Type="http://schemas.openxmlformats.org/officeDocument/2006/relationships/hyperlink" Target="https://drive.google.com/open?id=1oAextmrjXqAddypCl1SQWYtScP-7FjVd" TargetMode="External"/><Relationship Id="rId91" Type="http://schemas.openxmlformats.org/officeDocument/2006/relationships/hyperlink" Target="https://drive.google.com/open?id=1oTJeS8X8zWGi3Pgc67CPklkSSF98dFZT" TargetMode="External"/><Relationship Id="rId90" Type="http://schemas.openxmlformats.org/officeDocument/2006/relationships/hyperlink" Target="https://drive.google.com/open?id=1f5C8dZdGLRKVJM6yCk1O-96zo49IXahL" TargetMode="External"/><Relationship Id="rId93" Type="http://schemas.openxmlformats.org/officeDocument/2006/relationships/hyperlink" Target="https://drive.google.com/open?id=1DCVm9ykzqDErz0EjbdSm9jvVk0ZLCDza" TargetMode="External"/><Relationship Id="rId92" Type="http://schemas.openxmlformats.org/officeDocument/2006/relationships/hyperlink" Target="https://drive.google.com/open?id=1l5rZmmtfg3Bm95Nn38SAfiFNS5hhXCD7" TargetMode="External"/><Relationship Id="rId118" Type="http://schemas.openxmlformats.org/officeDocument/2006/relationships/hyperlink" Target="https://drive.google.com/open?id=18sG2dhPmRPBY_1avWO-Ok0VgU7YGhMMr" TargetMode="External"/><Relationship Id="rId239" Type="http://schemas.openxmlformats.org/officeDocument/2006/relationships/hyperlink" Target="https://drive.google.com/open?id=1w0p1UgCZceHpl4zAHRlEDEs-mamWZRR0" TargetMode="External"/><Relationship Id="rId117" Type="http://schemas.openxmlformats.org/officeDocument/2006/relationships/hyperlink" Target="https://drive.google.com/open?id=1nKfebNHsjLdXOG-kfFUb6nUXdGBLIZ90" TargetMode="External"/><Relationship Id="rId238" Type="http://schemas.openxmlformats.org/officeDocument/2006/relationships/hyperlink" Target="https://drive.google.com/open?id=1Vy2brWMw1cMROXFbopo9E6xG_46YSJNC" TargetMode="External"/><Relationship Id="rId359" Type="http://schemas.openxmlformats.org/officeDocument/2006/relationships/drawing" Target="../drawings/drawing1.xml"/><Relationship Id="rId116" Type="http://schemas.openxmlformats.org/officeDocument/2006/relationships/hyperlink" Target="https://drive.google.com/open?id=1H_khFxRF9EcRpryKoyQHwFotoxkr_7f7" TargetMode="External"/><Relationship Id="rId237" Type="http://schemas.openxmlformats.org/officeDocument/2006/relationships/hyperlink" Target="https://drive.google.com/open?id=1Bk0wxMpudBETN9z-zdPQcWVsJgv2tbSi" TargetMode="External"/><Relationship Id="rId358" Type="http://schemas.openxmlformats.org/officeDocument/2006/relationships/hyperlink" Target="https://drive.google.com/open?id=1FD55F3mUjSvviBFvT0lmlP5qs97Jo6Rq" TargetMode="External"/><Relationship Id="rId115" Type="http://schemas.openxmlformats.org/officeDocument/2006/relationships/hyperlink" Target="https://drive.google.com/open?id=1xwTvH0UHuOuHTemjNyYAvkgpCvGtFFUq" TargetMode="External"/><Relationship Id="rId236" Type="http://schemas.openxmlformats.org/officeDocument/2006/relationships/hyperlink" Target="https://drive.google.com/open?id=1SV6HkHqvwbebo7ozYz_e03owDQxGPPt5" TargetMode="External"/><Relationship Id="rId357" Type="http://schemas.openxmlformats.org/officeDocument/2006/relationships/hyperlink" Target="https://drive.google.com/open?id=1wvVMWKrnUjVgP1CfYWdd_E0vchEM9pi3" TargetMode="External"/><Relationship Id="rId119" Type="http://schemas.openxmlformats.org/officeDocument/2006/relationships/hyperlink" Target="https://drive.google.com/open?id=1AboCbMf3z59BPRrgyU-WmaaHQXIfcFWl" TargetMode="External"/><Relationship Id="rId110" Type="http://schemas.openxmlformats.org/officeDocument/2006/relationships/hyperlink" Target="https://drive.google.com/open?id=1KSVGFNkqmgnIfvuHe2oNtxoHgQth5juD" TargetMode="External"/><Relationship Id="rId231" Type="http://schemas.openxmlformats.org/officeDocument/2006/relationships/hyperlink" Target="https://drive.google.com/open?id=1A4XDVORt_CDsjhRF3DMaEsPZHR5ZnYcg" TargetMode="External"/><Relationship Id="rId352" Type="http://schemas.openxmlformats.org/officeDocument/2006/relationships/hyperlink" Target="https://drive.google.com/open?id=1gI65Z8yykq8K_GRtHkP7n8FulaboQPE-" TargetMode="External"/><Relationship Id="rId230" Type="http://schemas.openxmlformats.org/officeDocument/2006/relationships/hyperlink" Target="https://drive.google.com/open?id=1KyaLIdCt2MgshoIA4JrddZDP2txkUFS8" TargetMode="External"/><Relationship Id="rId351" Type="http://schemas.openxmlformats.org/officeDocument/2006/relationships/hyperlink" Target="https://drive.google.com/open?id=14ns53xW0g5r7rsAieCJaIPrfcLHXNG38" TargetMode="External"/><Relationship Id="rId350" Type="http://schemas.openxmlformats.org/officeDocument/2006/relationships/hyperlink" Target="https://drive.google.com/open?id=16kxxoRKzyYMnXX9WcQjINwavwF-UhTEN" TargetMode="External"/><Relationship Id="rId114" Type="http://schemas.openxmlformats.org/officeDocument/2006/relationships/hyperlink" Target="https://drive.google.com/open?id=1OSErYJ1q5eyzKWBvZ-27mXecsNEeej7i" TargetMode="External"/><Relationship Id="rId235" Type="http://schemas.openxmlformats.org/officeDocument/2006/relationships/hyperlink" Target="https://drive.google.com/open?id=1_Fws1n7UzAq40kmglexanOG1kBZE5KGi" TargetMode="External"/><Relationship Id="rId356" Type="http://schemas.openxmlformats.org/officeDocument/2006/relationships/hyperlink" Target="https://drive.google.com/open?id=1ZXw5JDk3nfR9UiFRHkn90J-K9uCKlxRP" TargetMode="External"/><Relationship Id="rId113" Type="http://schemas.openxmlformats.org/officeDocument/2006/relationships/hyperlink" Target="https://drive.google.com/open?id=1hhVYne8osDPO8Bx14dmu7ItoD8rDQomg" TargetMode="External"/><Relationship Id="rId234" Type="http://schemas.openxmlformats.org/officeDocument/2006/relationships/hyperlink" Target="https://drive.google.com/open?id=1sChepRzxmD6AOCZJfQ2_8-Wd-2_z2vfU" TargetMode="External"/><Relationship Id="rId355" Type="http://schemas.openxmlformats.org/officeDocument/2006/relationships/hyperlink" Target="https://drive.google.com/open?id=14Mpb3mx408Fe669jtBDA3eVsM3JQv8Ei" TargetMode="External"/><Relationship Id="rId112" Type="http://schemas.openxmlformats.org/officeDocument/2006/relationships/hyperlink" Target="https://drive.google.com/open?id=1GHxARDGpeigN3bmOaGRUMWlmc6f6V254" TargetMode="External"/><Relationship Id="rId233" Type="http://schemas.openxmlformats.org/officeDocument/2006/relationships/hyperlink" Target="https://drive.google.com/open?id=1wHZS8OrWJEM90wgdYvyFydCuzRS1HMFQ" TargetMode="External"/><Relationship Id="rId354" Type="http://schemas.openxmlformats.org/officeDocument/2006/relationships/hyperlink" Target="https://drive.google.com/open?id=1sVVHIaGT7Z-sRVXgXVs4t5l8lNrSP3Pe" TargetMode="External"/><Relationship Id="rId111" Type="http://schemas.openxmlformats.org/officeDocument/2006/relationships/hyperlink" Target="https://drive.google.com/open?id=1r_tAll3oKhxHO6BWB4Hy0FpJ9xy06lPP" TargetMode="External"/><Relationship Id="rId232" Type="http://schemas.openxmlformats.org/officeDocument/2006/relationships/hyperlink" Target="https://drive.google.com/open?id=1-CT1lElOCOApOe8HcjXxEVMeahpqcT2L" TargetMode="External"/><Relationship Id="rId353" Type="http://schemas.openxmlformats.org/officeDocument/2006/relationships/hyperlink" Target="https://drive.google.com/open?id=1HVrHS_D5ahC18Hz1pfvs1DxJc9iE3i90" TargetMode="External"/><Relationship Id="rId305" Type="http://schemas.openxmlformats.org/officeDocument/2006/relationships/hyperlink" Target="https://drive.google.com/open?id=1tOkABRd3IDmLi4uocyutdNGXt3rhuheO" TargetMode="External"/><Relationship Id="rId304" Type="http://schemas.openxmlformats.org/officeDocument/2006/relationships/hyperlink" Target="https://drive.google.com/open?id=1GloprKGHhEplvmY_NCbajH_4PKKxB5tL" TargetMode="External"/><Relationship Id="rId303" Type="http://schemas.openxmlformats.org/officeDocument/2006/relationships/hyperlink" Target="https://drive.google.com/open?id=10hSk7Z1yX_aTJiHBnEzrxsWBDC0h4_ub" TargetMode="External"/><Relationship Id="rId302" Type="http://schemas.openxmlformats.org/officeDocument/2006/relationships/hyperlink" Target="https://drive.google.com/open?id=1azhc8rxgV0Bf_si7gWdESy-jabVIz0Kh" TargetMode="External"/><Relationship Id="rId309" Type="http://schemas.openxmlformats.org/officeDocument/2006/relationships/hyperlink" Target="https://drive.google.com/open?id=1Y1foghnEA07kwud4sQLKKV6zRzOM15n9" TargetMode="External"/><Relationship Id="rId308" Type="http://schemas.openxmlformats.org/officeDocument/2006/relationships/hyperlink" Target="https://drive.google.com/open?id=1483yKZ-6P7gPptArGqbdw2iGbqudDXYr" TargetMode="External"/><Relationship Id="rId307" Type="http://schemas.openxmlformats.org/officeDocument/2006/relationships/hyperlink" Target="https://drive.google.com/open?id=1NDNF0u694GHtxvGMRqQDY2ckDtQX-oOV" TargetMode="External"/><Relationship Id="rId306" Type="http://schemas.openxmlformats.org/officeDocument/2006/relationships/hyperlink" Target="https://drive.google.com/open?id=1bfJEJzu4gXqRKHMMJMBuDis_HF_aQ2JT" TargetMode="External"/><Relationship Id="rId301" Type="http://schemas.openxmlformats.org/officeDocument/2006/relationships/hyperlink" Target="https://drive.google.com/open?id=1EjeLGgPojspkadV7_8lpv9coQSV4_yLt" TargetMode="External"/><Relationship Id="rId300" Type="http://schemas.openxmlformats.org/officeDocument/2006/relationships/hyperlink" Target="https://drive.google.com/open?id=1ot7YL9hmNHcjwMPT5zRrVYmGjOzy7u-_" TargetMode="External"/><Relationship Id="rId206" Type="http://schemas.openxmlformats.org/officeDocument/2006/relationships/hyperlink" Target="https://drive.google.com/open?id=1kd5m7bXT60uYqiOWzNXqLonEbtiAAHTf" TargetMode="External"/><Relationship Id="rId327" Type="http://schemas.openxmlformats.org/officeDocument/2006/relationships/hyperlink" Target="https://drive.google.com/open?id=1Y2dZr6oqriAc0VBw54p-NnkUfKaydew5" TargetMode="External"/><Relationship Id="rId205" Type="http://schemas.openxmlformats.org/officeDocument/2006/relationships/hyperlink" Target="https://drive.google.com/open?id=1Pu9p4Keekv2HudOzSUaOo-jsQzRrwfRE" TargetMode="External"/><Relationship Id="rId326" Type="http://schemas.openxmlformats.org/officeDocument/2006/relationships/hyperlink" Target="https://drive.google.com/open?id=1HzBSs6YLa97rZJUyb8eoZBRTlxP_rFt8" TargetMode="External"/><Relationship Id="rId204" Type="http://schemas.openxmlformats.org/officeDocument/2006/relationships/hyperlink" Target="https://drive.google.com/open?id=1B3u1WKM8EwF8a4ko8op32ttXwGMfZgxO" TargetMode="External"/><Relationship Id="rId325" Type="http://schemas.openxmlformats.org/officeDocument/2006/relationships/hyperlink" Target="https://drive.google.com/open?id=1Tpl57DoaUPa_GxVxbIOx1j_egxVgcI7H" TargetMode="External"/><Relationship Id="rId203" Type="http://schemas.openxmlformats.org/officeDocument/2006/relationships/hyperlink" Target="https://drive.google.com/open?id=1RP1xjpB3dL7gx3qTEOqfmYOhSLbYKPq4" TargetMode="External"/><Relationship Id="rId324" Type="http://schemas.openxmlformats.org/officeDocument/2006/relationships/hyperlink" Target="https://drive.google.com/open?id=1w81KoCwLdyLKxJ-F8wznvKmVk_OBhZuK" TargetMode="External"/><Relationship Id="rId209" Type="http://schemas.openxmlformats.org/officeDocument/2006/relationships/hyperlink" Target="https://drive.google.com/open?id=1ubA8C6KPdYXJpYtv38xpnDxhKGsA9lTF" TargetMode="External"/><Relationship Id="rId208" Type="http://schemas.openxmlformats.org/officeDocument/2006/relationships/hyperlink" Target="https://drive.google.com/open?id=1FiCM2PverwGAbEmervv-W_xjWI_HDVI4" TargetMode="External"/><Relationship Id="rId329" Type="http://schemas.openxmlformats.org/officeDocument/2006/relationships/hyperlink" Target="https://drive.google.com/open?id=186LcgNOSkGAlU3RLkMn2rUPaWAjK7isa" TargetMode="External"/><Relationship Id="rId207" Type="http://schemas.openxmlformats.org/officeDocument/2006/relationships/hyperlink" Target="https://drive.google.com/open?id=1_K0EM6KuVzTOwEM7_XyD_mrOCpQYJfWQ" TargetMode="External"/><Relationship Id="rId328" Type="http://schemas.openxmlformats.org/officeDocument/2006/relationships/hyperlink" Target="https://drive.google.com/open?id=11dQChh1KE1x2YIy-noS9o1we8DGi7Mfv" TargetMode="External"/><Relationship Id="rId202" Type="http://schemas.openxmlformats.org/officeDocument/2006/relationships/hyperlink" Target="https://drive.google.com/open?id=13To9-uDGcU_enaXCXy7MM_U0asbIeV6H" TargetMode="External"/><Relationship Id="rId323" Type="http://schemas.openxmlformats.org/officeDocument/2006/relationships/hyperlink" Target="https://drive.google.com/open?id=1QgNvJRjBx2uD2u8FCp2CWvw3gahNBdsB" TargetMode="External"/><Relationship Id="rId201" Type="http://schemas.openxmlformats.org/officeDocument/2006/relationships/hyperlink" Target="https://drive.google.com/open?id=18qTxgoPcgHKpjZUqm_zKFQRr7h56xlqj" TargetMode="External"/><Relationship Id="rId322" Type="http://schemas.openxmlformats.org/officeDocument/2006/relationships/hyperlink" Target="https://drive.google.com/open?id=1ZHmiZBpRgWbVEJgmEBxuWTKTJs9lHg7I" TargetMode="External"/><Relationship Id="rId200" Type="http://schemas.openxmlformats.org/officeDocument/2006/relationships/hyperlink" Target="https://drive.google.com/open?id=1vF9JH8yM1J9uka48ktINb6hYBXMbWNtR" TargetMode="External"/><Relationship Id="rId321" Type="http://schemas.openxmlformats.org/officeDocument/2006/relationships/hyperlink" Target="https://drive.google.com/open?id=1_uJ0G5RvCcmNXJ8HEPmjeBL_VlgBjVrz" TargetMode="External"/><Relationship Id="rId320" Type="http://schemas.openxmlformats.org/officeDocument/2006/relationships/hyperlink" Target="https://drive.google.com/open?id=1M4hyYkBu6Cwfqdle_Jz4K-P6tWLEcVKj" TargetMode="External"/><Relationship Id="rId316" Type="http://schemas.openxmlformats.org/officeDocument/2006/relationships/hyperlink" Target="https://drive.google.com/open?id=1uR5vsOrSI85HE4CPSUghFcqzikifUj7l" TargetMode="External"/><Relationship Id="rId315" Type="http://schemas.openxmlformats.org/officeDocument/2006/relationships/hyperlink" Target="https://drive.google.com/open?id=1mwvfinyTu_GlNS7PFEptZd9hpZlvKQt7" TargetMode="External"/><Relationship Id="rId314" Type="http://schemas.openxmlformats.org/officeDocument/2006/relationships/hyperlink" Target="https://drive.google.com/open?id=1NDNGIUV1WswD5-HvnX6C0v1n_4ZYWLYP" TargetMode="External"/><Relationship Id="rId313" Type="http://schemas.openxmlformats.org/officeDocument/2006/relationships/hyperlink" Target="https://drive.google.com/open?id=1bxSA1M8vDxdA9SRzFjtp8DsGBzonvqE0" TargetMode="External"/><Relationship Id="rId319" Type="http://schemas.openxmlformats.org/officeDocument/2006/relationships/hyperlink" Target="https://drive.google.com/open?id=1OboaLdslWSE_VFpgS6LQ6bbGtwL4HwVZ" TargetMode="External"/><Relationship Id="rId318" Type="http://schemas.openxmlformats.org/officeDocument/2006/relationships/hyperlink" Target="https://drive.google.com/open?id=1_RQbsyY23VX7jkJaUt516rn0AUuD56It" TargetMode="External"/><Relationship Id="rId317" Type="http://schemas.openxmlformats.org/officeDocument/2006/relationships/hyperlink" Target="https://drive.google.com/open?id=1w-dlCL4gT0_WB-hCqveVhpyrCUzzYjUY" TargetMode="External"/><Relationship Id="rId312" Type="http://schemas.openxmlformats.org/officeDocument/2006/relationships/hyperlink" Target="https://drive.google.com/open?id=1F5T_c4pLztvxFFHJnUrj7TdNSkk4EBJR" TargetMode="External"/><Relationship Id="rId311" Type="http://schemas.openxmlformats.org/officeDocument/2006/relationships/hyperlink" Target="https://drive.google.com/open?id=19Ufj63siWdyY2o1IyYqcc7TOHpr4iSYv" TargetMode="External"/><Relationship Id="rId310" Type="http://schemas.openxmlformats.org/officeDocument/2006/relationships/hyperlink" Target="https://drive.google.com/open?id=1asIqFYiXtPw0r4rZI-vGyuIlVhENGzD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M4hyYkBu6Cwfqdle_Jz4K-P6tWLEcVKj" TargetMode="External"/><Relationship Id="rId190" Type="http://schemas.openxmlformats.org/officeDocument/2006/relationships/hyperlink" Target="https://drive.google.com/open?id=1oyRXm0T63v91E4r6-sJBAxNWs8edMhLB" TargetMode="External"/><Relationship Id="rId42" Type="http://schemas.openxmlformats.org/officeDocument/2006/relationships/hyperlink" Target="https://drive.google.com/open?id=1_RQbsyY23VX7jkJaUt516rn0AUuD56It" TargetMode="External"/><Relationship Id="rId41" Type="http://schemas.openxmlformats.org/officeDocument/2006/relationships/hyperlink" Target="https://drive.google.com/open?id=1w-dlCL4gT0_WB-hCqveVhpyrCUzzYjUY" TargetMode="External"/><Relationship Id="rId44" Type="http://schemas.openxmlformats.org/officeDocument/2006/relationships/hyperlink" Target="https://drive.google.com/open?id=1uR5vsOrSI85HE4CPSUghFcqzikifUj7l" TargetMode="External"/><Relationship Id="rId194" Type="http://schemas.openxmlformats.org/officeDocument/2006/relationships/hyperlink" Target="https://drive.google.com/open?id=1cm90fqXv2zVDf7h9fbEs9F8ucMNpHqwB" TargetMode="External"/><Relationship Id="rId43" Type="http://schemas.openxmlformats.org/officeDocument/2006/relationships/hyperlink" Target="https://drive.google.com/open?id=1mwvfinyTu_GlNS7PFEptZd9hpZlvKQt7" TargetMode="External"/><Relationship Id="rId193" Type="http://schemas.openxmlformats.org/officeDocument/2006/relationships/hyperlink" Target="https://drive.google.com/open?id=1exP8iApsSJz-fQoCCg6_C_zjXxKagc7N" TargetMode="External"/><Relationship Id="rId46" Type="http://schemas.openxmlformats.org/officeDocument/2006/relationships/hyperlink" Target="https://drive.google.com/open?id=1NDNGIUV1WswD5-HvnX6C0v1n_4ZYWLYP" TargetMode="External"/><Relationship Id="rId192" Type="http://schemas.openxmlformats.org/officeDocument/2006/relationships/hyperlink" Target="https://drive.google.com/open?id=1zW8WVLi6_3sWq2Ftmyb2_GxImDfZVuTc" TargetMode="External"/><Relationship Id="rId45" Type="http://schemas.openxmlformats.org/officeDocument/2006/relationships/hyperlink" Target="https://drive.google.com/open?id=1bxSA1M8vDxdA9SRzFjtp8DsGBzonvqE0" TargetMode="External"/><Relationship Id="rId191" Type="http://schemas.openxmlformats.org/officeDocument/2006/relationships/hyperlink" Target="https://drive.google.com/open?id=124crok5AAw7ikRRjYsGq6nRYmxtyzGdL" TargetMode="External"/><Relationship Id="rId48" Type="http://schemas.openxmlformats.org/officeDocument/2006/relationships/hyperlink" Target="https://drive.google.com/open?id=1F5T_c4pLztvxFFHJnUrj7TdNSkk4EBJR" TargetMode="External"/><Relationship Id="rId187" Type="http://schemas.openxmlformats.org/officeDocument/2006/relationships/hyperlink" Target="https://drive.google.com/open?id=1WAR3PH2PNje3aU1_IFAB6VIupB7ExLC9" TargetMode="External"/><Relationship Id="rId47" Type="http://schemas.openxmlformats.org/officeDocument/2006/relationships/hyperlink" Target="https://drive.google.com/open?id=19Ufj63siWdyY2o1IyYqcc7TOHpr4iSYv" TargetMode="External"/><Relationship Id="rId186" Type="http://schemas.openxmlformats.org/officeDocument/2006/relationships/hyperlink" Target="https://drive.google.com/open?id=1vO3anu3uqZAN5tjSoc_FJhctZ6AmmyP6" TargetMode="External"/><Relationship Id="rId185" Type="http://schemas.openxmlformats.org/officeDocument/2006/relationships/hyperlink" Target="https://drive.google.com/open?id=1l-YPj1SujDEzufsgxinfewrNChZ44hmn" TargetMode="External"/><Relationship Id="rId49" Type="http://schemas.openxmlformats.org/officeDocument/2006/relationships/hyperlink" Target="https://drive.google.com/open?id=1Y1foghnEA07kwud4sQLKKV6zRzOM15n9" TargetMode="External"/><Relationship Id="rId184" Type="http://schemas.openxmlformats.org/officeDocument/2006/relationships/hyperlink" Target="https://drive.google.com/open?id=1l89BGnA4vKTlHGE5ICKyfo8hsSc3bLO6" TargetMode="External"/><Relationship Id="rId189" Type="http://schemas.openxmlformats.org/officeDocument/2006/relationships/hyperlink" Target="https://drive.google.com/open?id=1evafgOkL5bzXnMIWfeJ-3EYX21EA1I4H" TargetMode="External"/><Relationship Id="rId188" Type="http://schemas.openxmlformats.org/officeDocument/2006/relationships/hyperlink" Target="https://drive.google.com/open?id=1vpUSj95DCgepZ11M33qVLLufnDIa6yfg" TargetMode="External"/><Relationship Id="rId31" Type="http://schemas.openxmlformats.org/officeDocument/2006/relationships/hyperlink" Target="https://drive.google.com/open?id=1Y2dZr6oqriAc0VBw54p-NnkUfKaydew5" TargetMode="External"/><Relationship Id="rId30" Type="http://schemas.openxmlformats.org/officeDocument/2006/relationships/hyperlink" Target="https://drive.google.com/open?id=1gxavYVwvB4XMS9LExB-QV4jEsZX5sR-S" TargetMode="External"/><Relationship Id="rId33" Type="http://schemas.openxmlformats.org/officeDocument/2006/relationships/hyperlink" Target="https://drive.google.com/open?id=1Tpl57DoaUPa_GxVxbIOx1j_egxVgcI7H" TargetMode="External"/><Relationship Id="rId183" Type="http://schemas.openxmlformats.org/officeDocument/2006/relationships/hyperlink" Target="https://drive.google.com/open?id=1mMFiI51tsVW_TprZtopgXmH_Nn-I9Z7g" TargetMode="External"/><Relationship Id="rId32" Type="http://schemas.openxmlformats.org/officeDocument/2006/relationships/hyperlink" Target="https://drive.google.com/open?id=11dQChh1KE1x2YIy-noS9o1we8DGi7Mfv" TargetMode="External"/><Relationship Id="rId182" Type="http://schemas.openxmlformats.org/officeDocument/2006/relationships/hyperlink" Target="https://drive.google.com/open?id=1xY-xUFjpIBv770_nomBwb-6qXCT6x8t2" TargetMode="External"/><Relationship Id="rId35" Type="http://schemas.openxmlformats.org/officeDocument/2006/relationships/hyperlink" Target="https://drive.google.com/open?id=1QgNvJRjBx2uD2u8FCp2CWvw3gahNBdsB" TargetMode="External"/><Relationship Id="rId181" Type="http://schemas.openxmlformats.org/officeDocument/2006/relationships/hyperlink" Target="https://drive.google.com/open?id=1cei-PULn1wQVZbfJ-9M_omjOaQWjneMr" TargetMode="External"/><Relationship Id="rId34" Type="http://schemas.openxmlformats.org/officeDocument/2006/relationships/hyperlink" Target="https://drive.google.com/open?id=1HzBSs6YLa97rZJUyb8eoZBRTlxP_rFt8" TargetMode="External"/><Relationship Id="rId180" Type="http://schemas.openxmlformats.org/officeDocument/2006/relationships/hyperlink" Target="https://drive.google.com/open?id=1WfJdQ7lba38kSgsUtHTA0vyCO4jFnufI" TargetMode="External"/><Relationship Id="rId37" Type="http://schemas.openxmlformats.org/officeDocument/2006/relationships/hyperlink" Target="https://drive.google.com/open?id=1_uJ0G5RvCcmNXJ8HEPmjeBL_VlgBjVrz" TargetMode="External"/><Relationship Id="rId176" Type="http://schemas.openxmlformats.org/officeDocument/2006/relationships/hyperlink" Target="https://drive.google.com/open?id=1dcUHRKQlHNXEiuCu8H4WDFnT5PQ9u3Cv" TargetMode="External"/><Relationship Id="rId297" Type="http://schemas.openxmlformats.org/officeDocument/2006/relationships/hyperlink" Target="https://drive.google.com/open?id=1in8EqddpfEgt0T8H8C9u4-s47ybeLQym" TargetMode="External"/><Relationship Id="rId36" Type="http://schemas.openxmlformats.org/officeDocument/2006/relationships/hyperlink" Target="https://drive.google.com/open?id=1w81KoCwLdyLKxJ-F8wznvKmVk_OBhZuK" TargetMode="External"/><Relationship Id="rId175" Type="http://schemas.openxmlformats.org/officeDocument/2006/relationships/hyperlink" Target="https://drive.google.com/open?id=14_7dNgH2jKaUTkEsmAia11nMGYHPwMPK" TargetMode="External"/><Relationship Id="rId296" Type="http://schemas.openxmlformats.org/officeDocument/2006/relationships/hyperlink" Target="https://drive.google.com/open?id=1_LznKduDz5f4pghoIv7j-MlwomF_NOaA" TargetMode="External"/><Relationship Id="rId39" Type="http://schemas.openxmlformats.org/officeDocument/2006/relationships/hyperlink" Target="https://drive.google.com/open?id=1OboaLdslWSE_VFpgS6LQ6bbGtwL4HwVZ" TargetMode="External"/><Relationship Id="rId174" Type="http://schemas.openxmlformats.org/officeDocument/2006/relationships/hyperlink" Target="https://drive.google.com/open?id=1rYEhNu-GhsdymxAL2zGfa_aNIYGyLNnf" TargetMode="External"/><Relationship Id="rId295" Type="http://schemas.openxmlformats.org/officeDocument/2006/relationships/hyperlink" Target="https://drive.google.com/open?id=1ebUTdcQyNy1kHGDWLP7si5Lr08i6dGfS" TargetMode="External"/><Relationship Id="rId38" Type="http://schemas.openxmlformats.org/officeDocument/2006/relationships/hyperlink" Target="https://drive.google.com/open?id=1ZHmiZBpRgWbVEJgmEBxuWTKTJs9lHg7I" TargetMode="External"/><Relationship Id="rId173" Type="http://schemas.openxmlformats.org/officeDocument/2006/relationships/hyperlink" Target="https://drive.google.com/open?id=1I9ykYpi52o7Ds7p8J3CIOEOxydSwibFL" TargetMode="External"/><Relationship Id="rId294" Type="http://schemas.openxmlformats.org/officeDocument/2006/relationships/hyperlink" Target="https://drive.google.com/open?id=15YmVzTzAigXyrk6ABa9nTOXGTUBg4ydd" TargetMode="External"/><Relationship Id="rId179" Type="http://schemas.openxmlformats.org/officeDocument/2006/relationships/hyperlink" Target="https://drive.google.com/open?id=1EZl5dm09BGfE1LXPFGGzxMDkfjpRXEDL" TargetMode="External"/><Relationship Id="rId178" Type="http://schemas.openxmlformats.org/officeDocument/2006/relationships/hyperlink" Target="https://drive.google.com/open?id=1C2qKVxFDxPhJY2kHo4pIgoCVLnztIcyb" TargetMode="External"/><Relationship Id="rId299" Type="http://schemas.openxmlformats.org/officeDocument/2006/relationships/hyperlink" Target="https://drive.google.com/open?id=15VzPSTgmPpWXI6z2gRrbuOfp-S0xeTX8" TargetMode="External"/><Relationship Id="rId177" Type="http://schemas.openxmlformats.org/officeDocument/2006/relationships/hyperlink" Target="https://drive.google.com/open?id=15o0a3fzy5LjwThrVuwlxE9rBOP_qlfuK" TargetMode="External"/><Relationship Id="rId298" Type="http://schemas.openxmlformats.org/officeDocument/2006/relationships/hyperlink" Target="https://drive.google.com/open?id=1PfFNHgJaZ24VQtrXvxJkCNPtDZdprTPV" TargetMode="External"/><Relationship Id="rId20" Type="http://schemas.openxmlformats.org/officeDocument/2006/relationships/hyperlink" Target="https://drive.google.com/open?id=1i3I0yBWBZAUnQQN5VFngO53ZQQxoBL9S" TargetMode="External"/><Relationship Id="rId22" Type="http://schemas.openxmlformats.org/officeDocument/2006/relationships/hyperlink" Target="https://drive.google.com/open?id=1-0aJHuCjtlKlezrTUbLXkRpkdhAF4M-v" TargetMode="External"/><Relationship Id="rId21" Type="http://schemas.openxmlformats.org/officeDocument/2006/relationships/hyperlink" Target="https://drive.google.com/open?id=1CZRSnWf_Tvwz_LZCA7mBxfN3PmHu60v-" TargetMode="External"/><Relationship Id="rId24" Type="http://schemas.openxmlformats.org/officeDocument/2006/relationships/hyperlink" Target="https://drive.google.com/open?id=1FHcUgE3Nn-ylYv8bQf9lYQNBHDDDEIGg" TargetMode="External"/><Relationship Id="rId23" Type="http://schemas.openxmlformats.org/officeDocument/2006/relationships/hyperlink" Target="https://drive.google.com/open?id=11goryPOB2TYIacdjkzHvRVM6d1KfI3y1" TargetMode="External"/><Relationship Id="rId26" Type="http://schemas.openxmlformats.org/officeDocument/2006/relationships/hyperlink" Target="https://drive.google.com/open?id=1a5dDewq0XyzTJdj2lmkaQFredhPZ8oiu" TargetMode="External"/><Relationship Id="rId25" Type="http://schemas.openxmlformats.org/officeDocument/2006/relationships/hyperlink" Target="https://drive.google.com/open?id=1yxXcQgKHp03sbWdJCsMI1uVsI9eGmgzX" TargetMode="External"/><Relationship Id="rId28" Type="http://schemas.openxmlformats.org/officeDocument/2006/relationships/hyperlink" Target="https://drive.google.com/open?id=1YRsoLSkvFvuYI3QOjozfRsPJ7tcT5nOU" TargetMode="External"/><Relationship Id="rId27" Type="http://schemas.openxmlformats.org/officeDocument/2006/relationships/hyperlink" Target="https://drive.google.com/open?id=1Iuo0d78nvubtjbvAZTUSrp3IIgHANyga" TargetMode="External"/><Relationship Id="rId29" Type="http://schemas.openxmlformats.org/officeDocument/2006/relationships/hyperlink" Target="https://drive.google.com/open?id=186LcgNOSkGAlU3RLkMn2rUPaWAjK7isa" TargetMode="External"/><Relationship Id="rId11" Type="http://schemas.openxmlformats.org/officeDocument/2006/relationships/hyperlink" Target="https://drive.google.com/open?id=1N44T7YnTBgmkiTbItQKtEUNpjEDd0EUh" TargetMode="External"/><Relationship Id="rId10" Type="http://schemas.openxmlformats.org/officeDocument/2006/relationships/hyperlink" Target="https://drive.google.com/open?id=16kxxoRKzyYMnXX9WcQjINwavwF-UhTEN" TargetMode="External"/><Relationship Id="rId13" Type="http://schemas.openxmlformats.org/officeDocument/2006/relationships/hyperlink" Target="https://drive.google.com/open?id=1q7vxH_QYaEU34MHppSGzd3NaWZVy8P2T" TargetMode="External"/><Relationship Id="rId12" Type="http://schemas.openxmlformats.org/officeDocument/2006/relationships/hyperlink" Target="https://drive.google.com/open?id=17f6tVYwvx4UzQXlhJ9Z6B_eDtJe69uqQ" TargetMode="External"/><Relationship Id="rId15" Type="http://schemas.openxmlformats.org/officeDocument/2006/relationships/hyperlink" Target="https://drive.google.com/open?id=1PrxEnyumEcEKeHNEIieeKLWD7GBxKFFZ" TargetMode="External"/><Relationship Id="rId198" Type="http://schemas.openxmlformats.org/officeDocument/2006/relationships/hyperlink" Target="https://drive.google.com/open?id=1BZbbjvux3p2XroHfFauBl6n9_CcTVHFh" TargetMode="External"/><Relationship Id="rId14" Type="http://schemas.openxmlformats.org/officeDocument/2006/relationships/hyperlink" Target="https://drive.google.com/open?id=1X-UOXjb8Wn9jTSc3KAMcoMLGo_4sEAiO" TargetMode="External"/><Relationship Id="rId197" Type="http://schemas.openxmlformats.org/officeDocument/2006/relationships/hyperlink" Target="https://drive.google.com/open?id=1FeO19y_W8VWcjEZdY_YIZLqTIsi4H8S3" TargetMode="External"/><Relationship Id="rId17" Type="http://schemas.openxmlformats.org/officeDocument/2006/relationships/hyperlink" Target="https://drive.google.com/open?id=1M-D4W3wo5ygIcbAyfOurXfqgDnkj9rSQ" TargetMode="External"/><Relationship Id="rId196" Type="http://schemas.openxmlformats.org/officeDocument/2006/relationships/hyperlink" Target="https://drive.google.com/open?id=1ERvGu6dTpc99Rnh9EJjqrc6E_swukhi7" TargetMode="External"/><Relationship Id="rId16" Type="http://schemas.openxmlformats.org/officeDocument/2006/relationships/hyperlink" Target="https://drive.google.com/open?id=1idiuvmOFbXcY0TIpPj8RQpAiwxjxYWvp" TargetMode="External"/><Relationship Id="rId195" Type="http://schemas.openxmlformats.org/officeDocument/2006/relationships/hyperlink" Target="https://drive.google.com/open?id=1Y6ZcGc2riRBA1oJVHyZfsfZ4dY3i6fjT" TargetMode="External"/><Relationship Id="rId19" Type="http://schemas.openxmlformats.org/officeDocument/2006/relationships/hyperlink" Target="https://drive.google.com/open?id=10xhv7vy3irtFqB4uwlalaHDfwFIwiAco" TargetMode="External"/><Relationship Id="rId18" Type="http://schemas.openxmlformats.org/officeDocument/2006/relationships/hyperlink" Target="https://drive.google.com/open?id=1989rqVJ9nuAXRtx40x4Jix1B8K1W6Ps5" TargetMode="External"/><Relationship Id="rId199" Type="http://schemas.openxmlformats.org/officeDocument/2006/relationships/hyperlink" Target="https://drive.google.com/open?id=14KxPGkJYWPipEttIFlq04mALjst5dPU7" TargetMode="External"/><Relationship Id="rId84" Type="http://schemas.openxmlformats.org/officeDocument/2006/relationships/hyperlink" Target="https://drive.google.com/open?id=1Yqm9uF_uYQXIlcX04aA_qY57iVI5TGhG" TargetMode="External"/><Relationship Id="rId83" Type="http://schemas.openxmlformats.org/officeDocument/2006/relationships/hyperlink" Target="https://drive.google.com/open?id=1gqmOrHyFZXcDOqIR7maxpa8fwYcVR7Uh" TargetMode="External"/><Relationship Id="rId86" Type="http://schemas.openxmlformats.org/officeDocument/2006/relationships/hyperlink" Target="https://drive.google.com/open?id=1ects1CDfcrcZZ_DjgDuwb7jaJ_2TyWUp" TargetMode="External"/><Relationship Id="rId85" Type="http://schemas.openxmlformats.org/officeDocument/2006/relationships/hyperlink" Target="https://drive.google.com/open?id=1ovuJzV1YJeltkjQ5ns0tq9hIDvmeEvu6" TargetMode="External"/><Relationship Id="rId88" Type="http://schemas.openxmlformats.org/officeDocument/2006/relationships/hyperlink" Target="https://drive.google.com/open?id=1MCjRAjVQhzPZIpdpPzV6gSW3D60B3guq" TargetMode="External"/><Relationship Id="rId150" Type="http://schemas.openxmlformats.org/officeDocument/2006/relationships/hyperlink" Target="https://drive.google.com/open?id=13To9-uDGcU_enaXCXy7MM_U0asbIeV6H" TargetMode="External"/><Relationship Id="rId271" Type="http://schemas.openxmlformats.org/officeDocument/2006/relationships/hyperlink" Target="https://drive.google.com/open?id=1I2vyciA0tArPcdiQVStjSbGUrAuBO1gl" TargetMode="External"/><Relationship Id="rId87" Type="http://schemas.openxmlformats.org/officeDocument/2006/relationships/hyperlink" Target="https://drive.google.com/open?id=1pkclO8SBRQ8Fkb84z4IuG_c-Fm5zLbqA" TargetMode="External"/><Relationship Id="rId270" Type="http://schemas.openxmlformats.org/officeDocument/2006/relationships/hyperlink" Target="https://drive.google.com/open?id=1sEgVY-mkTmcFAlq_VHH_zH8V7NRcRTZB" TargetMode="External"/><Relationship Id="rId89" Type="http://schemas.openxmlformats.org/officeDocument/2006/relationships/hyperlink" Target="https://drive.google.com/open?id=1PIlB8a8fUozyBqhUyq_KQHq_JBJw6yY6" TargetMode="External"/><Relationship Id="rId80" Type="http://schemas.openxmlformats.org/officeDocument/2006/relationships/hyperlink" Target="https://drive.google.com/open?id=16D4ecvv2U-2snIq82bZDHRLLQSpNeuZL" TargetMode="External"/><Relationship Id="rId82" Type="http://schemas.openxmlformats.org/officeDocument/2006/relationships/hyperlink" Target="https://drive.google.com/open?id=16h2scTZqNLLt3RgCz7rwNOyIhgmbsPB4" TargetMode="External"/><Relationship Id="rId81" Type="http://schemas.openxmlformats.org/officeDocument/2006/relationships/hyperlink" Target="https://drive.google.com/open?id=1X5yvInn0LKKltmkmiQUxZtNUQus4M7YM" TargetMode="External"/><Relationship Id="rId1" Type="http://schemas.openxmlformats.org/officeDocument/2006/relationships/hyperlink" Target="https://drive.google.com/open?id=1wvVMWKrnUjVgP1CfYWdd_E0vchEM9pi3" TargetMode="External"/><Relationship Id="rId2" Type="http://schemas.openxmlformats.org/officeDocument/2006/relationships/hyperlink" Target="https://drive.google.com/open?id=1FD55F3mUjSvviBFvT0lmlP5qs97Jo6Rq" TargetMode="External"/><Relationship Id="rId3" Type="http://schemas.openxmlformats.org/officeDocument/2006/relationships/hyperlink" Target="https://drive.google.com/open?id=14Mpb3mx408Fe669jtBDA3eVsM3JQv8Ei" TargetMode="External"/><Relationship Id="rId149" Type="http://schemas.openxmlformats.org/officeDocument/2006/relationships/hyperlink" Target="https://drive.google.com/open?id=18qTxgoPcgHKpjZUqm_zKFQRr7h56xlqj" TargetMode="External"/><Relationship Id="rId4" Type="http://schemas.openxmlformats.org/officeDocument/2006/relationships/hyperlink" Target="https://drive.google.com/open?id=1ZXw5JDk3nfR9UiFRHkn90J-K9uCKlxRP" TargetMode="External"/><Relationship Id="rId148" Type="http://schemas.openxmlformats.org/officeDocument/2006/relationships/hyperlink" Target="https://drive.google.com/open?id=1B3u1WKM8EwF8a4ko8op32ttXwGMfZgxO" TargetMode="External"/><Relationship Id="rId269" Type="http://schemas.openxmlformats.org/officeDocument/2006/relationships/hyperlink" Target="https://drive.google.com/open?id=1IGN8QQZm9ZLtGrUOJzX5EeRq2LTFOeS9" TargetMode="External"/><Relationship Id="rId9" Type="http://schemas.openxmlformats.org/officeDocument/2006/relationships/hyperlink" Target="https://drive.google.com/open?id=1nVM8n8zHwMihrktdkrp1SMFAISMWQPh3" TargetMode="External"/><Relationship Id="rId143" Type="http://schemas.openxmlformats.org/officeDocument/2006/relationships/hyperlink" Target="https://drive.google.com/open?id=1_K0EM6KuVzTOwEM7_XyD_mrOCpQYJfWQ" TargetMode="External"/><Relationship Id="rId264" Type="http://schemas.openxmlformats.org/officeDocument/2006/relationships/hyperlink" Target="https://drive.google.com/open?id=1YVDOVy1dIyuZ3_6xtT8zIma4Kr9-z6Ab" TargetMode="External"/><Relationship Id="rId142" Type="http://schemas.openxmlformats.org/officeDocument/2006/relationships/hyperlink" Target="https://drive.google.com/open?id=1h13cIXFRqFSwxteOs7r-i-vAcmAhm6-6" TargetMode="External"/><Relationship Id="rId263" Type="http://schemas.openxmlformats.org/officeDocument/2006/relationships/hyperlink" Target="https://drive.google.com/open?id=12BNG6P5xXWi32CK6CXgPf4UawJfUZFmi" TargetMode="External"/><Relationship Id="rId141" Type="http://schemas.openxmlformats.org/officeDocument/2006/relationships/hyperlink" Target="https://drive.google.com/open?id=1ubA8C6KPdYXJpYtv38xpnDxhKGsA9lTF" TargetMode="External"/><Relationship Id="rId262" Type="http://schemas.openxmlformats.org/officeDocument/2006/relationships/hyperlink" Target="https://drive.google.com/open?id=1t7sh8VESGNONWELAVzkctbPURibtLjDj" TargetMode="External"/><Relationship Id="rId140" Type="http://schemas.openxmlformats.org/officeDocument/2006/relationships/hyperlink" Target="https://drive.google.com/open?id=1nwJLxBaIq1O7GAOlDLWaU8w59li6tz1W" TargetMode="External"/><Relationship Id="rId261" Type="http://schemas.openxmlformats.org/officeDocument/2006/relationships/hyperlink" Target="https://drive.google.com/open?id=1EQsc_fYLaTRd_kbeacLyeEIpYs-q_N7E" TargetMode="External"/><Relationship Id="rId5" Type="http://schemas.openxmlformats.org/officeDocument/2006/relationships/hyperlink" Target="https://drive.google.com/open?id=1HVrHS_D5ahC18Hz1pfvs1DxJc9iE3i90" TargetMode="External"/><Relationship Id="rId147" Type="http://schemas.openxmlformats.org/officeDocument/2006/relationships/hyperlink" Target="https://drive.google.com/open?id=1RP1xjpB3dL7gx3qTEOqfmYOhSLbYKPq4" TargetMode="External"/><Relationship Id="rId268" Type="http://schemas.openxmlformats.org/officeDocument/2006/relationships/hyperlink" Target="https://drive.google.com/open?id=15mg3M5L4ukDORUqgR1KRrFy6NNLA9FaA" TargetMode="External"/><Relationship Id="rId6" Type="http://schemas.openxmlformats.org/officeDocument/2006/relationships/hyperlink" Target="https://drive.google.com/open?id=1sVVHIaGT7Z-sRVXgXVs4t5l8lNrSP3Pe" TargetMode="External"/><Relationship Id="rId146" Type="http://schemas.openxmlformats.org/officeDocument/2006/relationships/hyperlink" Target="https://drive.google.com/open?id=1kd5m7bXT60uYqiOWzNXqLonEbtiAAHTf" TargetMode="External"/><Relationship Id="rId267" Type="http://schemas.openxmlformats.org/officeDocument/2006/relationships/hyperlink" Target="https://drive.google.com/open?id=17b6bIqVkWSIkAmF68CQSxQ6jnC29-46V" TargetMode="External"/><Relationship Id="rId7" Type="http://schemas.openxmlformats.org/officeDocument/2006/relationships/hyperlink" Target="https://drive.google.com/open?id=14ns53xW0g5r7rsAieCJaIPrfcLHXNG38" TargetMode="External"/><Relationship Id="rId145" Type="http://schemas.openxmlformats.org/officeDocument/2006/relationships/hyperlink" Target="https://drive.google.com/open?id=1Pu9p4Keekv2HudOzSUaOo-jsQzRrwfRE" TargetMode="External"/><Relationship Id="rId266" Type="http://schemas.openxmlformats.org/officeDocument/2006/relationships/hyperlink" Target="https://drive.google.com/open?id=1Nw6P4AOw8_4vSJ2OdAQZZ2qgMF3T045K" TargetMode="External"/><Relationship Id="rId8" Type="http://schemas.openxmlformats.org/officeDocument/2006/relationships/hyperlink" Target="https://drive.google.com/open?id=1gI65Z8yykq8K_GRtHkP7n8FulaboQPE-" TargetMode="External"/><Relationship Id="rId144" Type="http://schemas.openxmlformats.org/officeDocument/2006/relationships/hyperlink" Target="https://drive.google.com/open?id=1FiCM2PverwGAbEmervv-W_xjWI_HDVI4" TargetMode="External"/><Relationship Id="rId265" Type="http://schemas.openxmlformats.org/officeDocument/2006/relationships/hyperlink" Target="https://drive.google.com/open?id=1ndP96MZXOCBl_KkpL18Kdf8jW7Rmw5yY" TargetMode="External"/><Relationship Id="rId73" Type="http://schemas.openxmlformats.org/officeDocument/2006/relationships/hyperlink" Target="https://drive.google.com/open?id=1jg--PfomRC8U5u4fxaR52oQRHrvm3LhQ" TargetMode="External"/><Relationship Id="rId72" Type="http://schemas.openxmlformats.org/officeDocument/2006/relationships/hyperlink" Target="https://drive.google.com/open?id=1aEn6zynYMtTqU82pZLlLnFjsJXaMolgi" TargetMode="External"/><Relationship Id="rId75" Type="http://schemas.openxmlformats.org/officeDocument/2006/relationships/hyperlink" Target="https://drive.google.com/open?id=1LhzzXJs-UnohE681HgwaOAw45n28JXz3" TargetMode="External"/><Relationship Id="rId74" Type="http://schemas.openxmlformats.org/officeDocument/2006/relationships/hyperlink" Target="https://drive.google.com/open?id=15DqgMzqxVTeyVlE8ii224-5hgM0RqaHD" TargetMode="External"/><Relationship Id="rId77" Type="http://schemas.openxmlformats.org/officeDocument/2006/relationships/hyperlink" Target="https://drive.google.com/open?id=1Dsa2tQ1Snh-r4zUGRFxQYCCB4QXoXhVD" TargetMode="External"/><Relationship Id="rId260" Type="http://schemas.openxmlformats.org/officeDocument/2006/relationships/hyperlink" Target="https://drive.google.com/open?id=1EGPEv54gplcZHH1Y3Nr8DfNpueu5PTVN" TargetMode="External"/><Relationship Id="rId76" Type="http://schemas.openxmlformats.org/officeDocument/2006/relationships/hyperlink" Target="https://drive.google.com/open?id=1UZx222ibsk9zHzcsDK6VCCTTZCDJYoi0" TargetMode="External"/><Relationship Id="rId79" Type="http://schemas.openxmlformats.org/officeDocument/2006/relationships/hyperlink" Target="https://drive.google.com/open?id=19EwT0DyI9ymplMGneLNVBtIwc514sR_h" TargetMode="External"/><Relationship Id="rId78" Type="http://schemas.openxmlformats.org/officeDocument/2006/relationships/hyperlink" Target="https://drive.google.com/open?id=1exd5y3fNQkcvwlIi8dEq1IGQ-Jx-C0iC" TargetMode="External"/><Relationship Id="rId71" Type="http://schemas.openxmlformats.org/officeDocument/2006/relationships/hyperlink" Target="https://drive.google.com/open?id=1mwdUPbPaO99_i4UyRy4U0ctnJjbfI1wx" TargetMode="External"/><Relationship Id="rId70" Type="http://schemas.openxmlformats.org/officeDocument/2006/relationships/hyperlink" Target="https://drive.google.com/open?id=1xJj6JguZYYZ-Ag7mDWJOZAl5rU7PX0Qk" TargetMode="External"/><Relationship Id="rId139" Type="http://schemas.openxmlformats.org/officeDocument/2006/relationships/hyperlink" Target="https://drive.google.com/open?id=1FlQgY3Scj_y3_BUa8Skrlka4aRvx9rXi" TargetMode="External"/><Relationship Id="rId138" Type="http://schemas.openxmlformats.org/officeDocument/2006/relationships/hyperlink" Target="https://drive.google.com/open?id=1-d9UM3yHrHbdgzbXE3mwQ3JHXULrUIMX" TargetMode="External"/><Relationship Id="rId259" Type="http://schemas.openxmlformats.org/officeDocument/2006/relationships/hyperlink" Target="https://drive.google.com/open?id=1GIGpB-tlDRzkPCSVeWaPPwsNnFMrCLdR" TargetMode="External"/><Relationship Id="rId137" Type="http://schemas.openxmlformats.org/officeDocument/2006/relationships/hyperlink" Target="https://drive.google.com/open?id=1iMoknamzIQ9diAvGFUIaGMMJery5lbRU" TargetMode="External"/><Relationship Id="rId258" Type="http://schemas.openxmlformats.org/officeDocument/2006/relationships/hyperlink" Target="https://drive.google.com/open?id=1g5LOAHxF_ScybXMcwE2e_uMicFRl2JzV" TargetMode="External"/><Relationship Id="rId132" Type="http://schemas.openxmlformats.org/officeDocument/2006/relationships/hyperlink" Target="https://drive.google.com/open?id=1friM3Un9sYBrvVFof6J8GyRDWrPBGbVU" TargetMode="External"/><Relationship Id="rId253" Type="http://schemas.openxmlformats.org/officeDocument/2006/relationships/hyperlink" Target="https://drive.google.com/open?id=17ExJneL3SUtqC9Qf7axOqaajenbgeByB" TargetMode="External"/><Relationship Id="rId131" Type="http://schemas.openxmlformats.org/officeDocument/2006/relationships/hyperlink" Target="https://drive.google.com/open?id=11TxnwfocD6eDqSWk_1PNN0MI2jyrL5ZS" TargetMode="External"/><Relationship Id="rId252" Type="http://schemas.openxmlformats.org/officeDocument/2006/relationships/hyperlink" Target="https://drive.google.com/open?id=1f5C8dZdGLRKVJM6yCk1O-96zo49IXahL" TargetMode="External"/><Relationship Id="rId130" Type="http://schemas.openxmlformats.org/officeDocument/2006/relationships/hyperlink" Target="https://drive.google.com/open?id=1a8yvFYEqjTFWSGtX0ctxOqXemjricIEX" TargetMode="External"/><Relationship Id="rId251" Type="http://schemas.openxmlformats.org/officeDocument/2006/relationships/hyperlink" Target="https://drive.google.com/open?id=1CQbRk21X5nqkp45p_2xoY_EvlMSNqf-n" TargetMode="External"/><Relationship Id="rId250" Type="http://schemas.openxmlformats.org/officeDocument/2006/relationships/hyperlink" Target="https://drive.google.com/open?id=1l5rZmmtfg3Bm95Nn38SAfiFNS5hhXCD7" TargetMode="External"/><Relationship Id="rId136" Type="http://schemas.openxmlformats.org/officeDocument/2006/relationships/hyperlink" Target="https://drive.google.com/open?id=1IBGikWQEp1XJ6egww1BRi--KEzxk-557" TargetMode="External"/><Relationship Id="rId257" Type="http://schemas.openxmlformats.org/officeDocument/2006/relationships/hyperlink" Target="https://drive.google.com/open?id=1oMT5M4kV0RkssJ0_QzythLc9C0HuyymA" TargetMode="External"/><Relationship Id="rId135" Type="http://schemas.openxmlformats.org/officeDocument/2006/relationships/hyperlink" Target="https://drive.google.com/open?id=1XKI2Baf5gNkEr1iZrUKPaRUYFstDA3Qt" TargetMode="External"/><Relationship Id="rId256" Type="http://schemas.openxmlformats.org/officeDocument/2006/relationships/hyperlink" Target="https://drive.google.com/open?id=1z0m__2Kf-p6DA6y2VeswitaQCVWSvvAf" TargetMode="External"/><Relationship Id="rId134" Type="http://schemas.openxmlformats.org/officeDocument/2006/relationships/hyperlink" Target="https://drive.google.com/open?id=1CpvOYOqC8OXeTRFmNioCrYg3_7hSZ39Q" TargetMode="External"/><Relationship Id="rId255" Type="http://schemas.openxmlformats.org/officeDocument/2006/relationships/hyperlink" Target="https://drive.google.com/open?id=1PfkJCRRfe6_PizYazTm6-jWa8yEryYt8" TargetMode="External"/><Relationship Id="rId133" Type="http://schemas.openxmlformats.org/officeDocument/2006/relationships/hyperlink" Target="https://drive.google.com/open?id=1xoY71ouDAOV0jnsCI692BaKWbhCiZL-r" TargetMode="External"/><Relationship Id="rId254" Type="http://schemas.openxmlformats.org/officeDocument/2006/relationships/hyperlink" Target="https://drive.google.com/open?id=10CRwIMWLrQ1rlIWdSN3Q5Rc9IDxk7hD_" TargetMode="External"/><Relationship Id="rId62" Type="http://schemas.openxmlformats.org/officeDocument/2006/relationships/hyperlink" Target="https://drive.google.com/open?id=1R9esCf3eInufZvx3OTPxJzfqaYIRDdey" TargetMode="External"/><Relationship Id="rId61" Type="http://schemas.openxmlformats.org/officeDocument/2006/relationships/hyperlink" Target="https://drive.google.com/open?id=118nvVBnwe-bVAhmD0QBndxzCqasZUNzH" TargetMode="External"/><Relationship Id="rId64" Type="http://schemas.openxmlformats.org/officeDocument/2006/relationships/hyperlink" Target="https://drive.google.com/open?id=1nFQKiLGBPCvfasJiEpHSgEEyzg9EuJNV" TargetMode="External"/><Relationship Id="rId63" Type="http://schemas.openxmlformats.org/officeDocument/2006/relationships/hyperlink" Target="https://drive.google.com/open?id=1JrLI1tyO97IMOYricg8jbMsXKHw_AamJ" TargetMode="External"/><Relationship Id="rId66" Type="http://schemas.openxmlformats.org/officeDocument/2006/relationships/hyperlink" Target="https://drive.google.com/open?id=1ZWe9ogNm9xcbQhRh-OolbkFOQtiDlCO1" TargetMode="External"/><Relationship Id="rId172" Type="http://schemas.openxmlformats.org/officeDocument/2006/relationships/hyperlink" Target="https://drive.google.com/open?id=16sG-VxDCwhU-_Qbejm3nJtZOo1f2_uO5" TargetMode="External"/><Relationship Id="rId293" Type="http://schemas.openxmlformats.org/officeDocument/2006/relationships/hyperlink" Target="https://drive.google.com/open?id=18VpKBK02odLSuP_Vz9lZWXzo-g8-Ho2p" TargetMode="External"/><Relationship Id="rId65" Type="http://schemas.openxmlformats.org/officeDocument/2006/relationships/hyperlink" Target="https://drive.google.com/open?id=1IPDSKNOEeSQb-uBaVCtoCyBaEBJUVMh8" TargetMode="External"/><Relationship Id="rId171" Type="http://schemas.openxmlformats.org/officeDocument/2006/relationships/hyperlink" Target="https://drive.google.com/open?id=1hlJleNe4yhMsVtNy3uaRgEhaNrJjYvnE" TargetMode="External"/><Relationship Id="rId292" Type="http://schemas.openxmlformats.org/officeDocument/2006/relationships/hyperlink" Target="https://drive.google.com/open?id=1T6W7gCxCxiXRzLWClR30gfBGvOB7xvpI" TargetMode="External"/><Relationship Id="rId68" Type="http://schemas.openxmlformats.org/officeDocument/2006/relationships/hyperlink" Target="https://drive.google.com/open?id=1uYaBUS1pDb8zNs1myLB9Wfa06w9aEjeg" TargetMode="External"/><Relationship Id="rId170" Type="http://schemas.openxmlformats.org/officeDocument/2006/relationships/hyperlink" Target="https://drive.google.com/open?id=1oE2EZGy9gu12RvtXM-WBxqvnrUSWKilB" TargetMode="External"/><Relationship Id="rId291" Type="http://schemas.openxmlformats.org/officeDocument/2006/relationships/hyperlink" Target="https://drive.google.com/open?id=1swgdXG5ahfxdANZb31Jij9iuAiMrQ-GJ" TargetMode="External"/><Relationship Id="rId67" Type="http://schemas.openxmlformats.org/officeDocument/2006/relationships/hyperlink" Target="https://drive.google.com/open?id=1q4jtwLfwgagaoHjx9Vk-4Au0Nn89GlKY" TargetMode="External"/><Relationship Id="rId290" Type="http://schemas.openxmlformats.org/officeDocument/2006/relationships/hyperlink" Target="https://drive.google.com/open?id=1lM_Pqa4APkRd4ud8x3cCNVqZaH20aqcU" TargetMode="External"/><Relationship Id="rId60" Type="http://schemas.openxmlformats.org/officeDocument/2006/relationships/hyperlink" Target="https://drive.google.com/open?id=1vuQ6wwR_TNgQ1A7JnFzO74PzrtCIMD2-" TargetMode="External"/><Relationship Id="rId165" Type="http://schemas.openxmlformats.org/officeDocument/2006/relationships/hyperlink" Target="https://drive.google.com/open?id=1AgF_jk0KJ6Zalc4c9iPPr9IvqSwjDCXu" TargetMode="External"/><Relationship Id="rId286" Type="http://schemas.openxmlformats.org/officeDocument/2006/relationships/hyperlink" Target="https://drive.google.com/open?id=18yGlpiRX8BvHeQapF545hc1x-tS2uJog" TargetMode="External"/><Relationship Id="rId69" Type="http://schemas.openxmlformats.org/officeDocument/2006/relationships/hyperlink" Target="https://drive.google.com/open?id=1_v9ipshqTAJe0fl6j8fWr8d3eAG2WLHH" TargetMode="External"/><Relationship Id="rId164" Type="http://schemas.openxmlformats.org/officeDocument/2006/relationships/hyperlink" Target="https://drive.google.com/open?id=1aqvxPfiLCcEoD5tn2ygpiJqfn4gzD8rz" TargetMode="External"/><Relationship Id="rId285" Type="http://schemas.openxmlformats.org/officeDocument/2006/relationships/hyperlink" Target="https://drive.google.com/open?id=1pTCiAxTmh72cd1ew5dqtKt5o63zF4DVl" TargetMode="External"/><Relationship Id="rId163" Type="http://schemas.openxmlformats.org/officeDocument/2006/relationships/hyperlink" Target="https://drive.google.com/open?id=1X72wInD9AZd_FjWj8dYlC55ijAuQHYM-" TargetMode="External"/><Relationship Id="rId284" Type="http://schemas.openxmlformats.org/officeDocument/2006/relationships/hyperlink" Target="https://drive.google.com/open?id=1P_X0YDbiCrcY9oVeF1sWkeovZYgKMExE" TargetMode="External"/><Relationship Id="rId162" Type="http://schemas.openxmlformats.org/officeDocument/2006/relationships/hyperlink" Target="https://drive.google.com/open?id=1QCLWW_VGKxo-Zs6n7Q2hz-awebqEcIGe" TargetMode="External"/><Relationship Id="rId283" Type="http://schemas.openxmlformats.org/officeDocument/2006/relationships/hyperlink" Target="https://drive.google.com/open?id=1XTyHx4GbZQFlgWAkfnY_3DnqsZBqeupP" TargetMode="External"/><Relationship Id="rId169" Type="http://schemas.openxmlformats.org/officeDocument/2006/relationships/hyperlink" Target="https://drive.google.com/open?id=1OKHYOcwxo5KX9hlTtCqE_9AV5KAEvPQt" TargetMode="External"/><Relationship Id="rId168" Type="http://schemas.openxmlformats.org/officeDocument/2006/relationships/hyperlink" Target="https://drive.google.com/open?id=14RNrUN4mpkbO7eAM95HuFDkFOWUgWnaK" TargetMode="External"/><Relationship Id="rId289" Type="http://schemas.openxmlformats.org/officeDocument/2006/relationships/hyperlink" Target="https://drive.google.com/open?id=1_lO5SQB-zGnpvwJKVcDPzkTOs5OgzmxX" TargetMode="External"/><Relationship Id="rId167" Type="http://schemas.openxmlformats.org/officeDocument/2006/relationships/hyperlink" Target="https://drive.google.com/open?id=1nmE9wXF0rSvMqTuC6uREA91cFeJXAsj6" TargetMode="External"/><Relationship Id="rId288" Type="http://schemas.openxmlformats.org/officeDocument/2006/relationships/hyperlink" Target="https://drive.google.com/open?id=15g0VUuS3eWOtYa4xYiE-49HMFJkGPJ_H" TargetMode="External"/><Relationship Id="rId166" Type="http://schemas.openxmlformats.org/officeDocument/2006/relationships/hyperlink" Target="https://drive.google.com/open?id=1rbGz2tCFTemlGr2jS0AmItnim0PMvksE" TargetMode="External"/><Relationship Id="rId287" Type="http://schemas.openxmlformats.org/officeDocument/2006/relationships/hyperlink" Target="https://drive.google.com/open?id=1ff7w9oWM0zZamED4L5zGFL1ShxRfELVm" TargetMode="External"/><Relationship Id="rId51" Type="http://schemas.openxmlformats.org/officeDocument/2006/relationships/hyperlink" Target="https://drive.google.com/open?id=1tOkABRd3IDmLi4uocyutdNGXt3rhuheO" TargetMode="External"/><Relationship Id="rId50" Type="http://schemas.openxmlformats.org/officeDocument/2006/relationships/hyperlink" Target="https://drive.google.com/open?id=1asIqFYiXtPw0r4rZI-vGyuIlVhENGzDl" TargetMode="External"/><Relationship Id="rId53" Type="http://schemas.openxmlformats.org/officeDocument/2006/relationships/hyperlink" Target="https://drive.google.com/open?id=1EjeLGgPojspkadV7_8lpv9coQSV4_yLt" TargetMode="External"/><Relationship Id="rId52" Type="http://schemas.openxmlformats.org/officeDocument/2006/relationships/hyperlink" Target="https://drive.google.com/open?id=1bfJEJzu4gXqRKHMMJMBuDis_HF_aQ2JT" TargetMode="External"/><Relationship Id="rId55" Type="http://schemas.openxmlformats.org/officeDocument/2006/relationships/hyperlink" Target="https://drive.google.com/open?id=1zqLME9eCEfxh830aS4PQ0coa_B1lNzlX" TargetMode="External"/><Relationship Id="rId161" Type="http://schemas.openxmlformats.org/officeDocument/2006/relationships/hyperlink" Target="https://drive.google.com/open?id=16L9yiJ70gs6N6A6HBB9lxEFI3bmzseJn" TargetMode="External"/><Relationship Id="rId282" Type="http://schemas.openxmlformats.org/officeDocument/2006/relationships/hyperlink" Target="https://drive.google.com/open?id=1b2PmDTvfM0tx4EnfWQ5zBGcJFZ-e_yhI" TargetMode="External"/><Relationship Id="rId54" Type="http://schemas.openxmlformats.org/officeDocument/2006/relationships/hyperlink" Target="https://drive.google.com/open?id=1azhc8rxgV0Bf_si7gWdESy-jabVIz0Kh" TargetMode="External"/><Relationship Id="rId160" Type="http://schemas.openxmlformats.org/officeDocument/2006/relationships/hyperlink" Target="https://drive.google.com/open?id=1OCIzAgg3HrveRAvtpQ02ud9VHzxivlLu" TargetMode="External"/><Relationship Id="rId281" Type="http://schemas.openxmlformats.org/officeDocument/2006/relationships/hyperlink" Target="https://drive.google.com/open?id=1fxh5-Uv1aPb30bXsySbDnRVK9Y3Kg_gX" TargetMode="External"/><Relationship Id="rId57" Type="http://schemas.openxmlformats.org/officeDocument/2006/relationships/hyperlink" Target="https://drive.google.com/open?id=1b5rA_CCnxA-KTpJj49WJIbXDgG4DMwgA" TargetMode="External"/><Relationship Id="rId280" Type="http://schemas.openxmlformats.org/officeDocument/2006/relationships/hyperlink" Target="https://drive.google.com/open?id=1w5oxEG3Y_3QnTCazzcYgvScpQnlHlUCB" TargetMode="External"/><Relationship Id="rId56" Type="http://schemas.openxmlformats.org/officeDocument/2006/relationships/hyperlink" Target="https://drive.google.com/open?id=1ot7YL9hmNHcjwMPT5zRrVYmGjOzy7u-_" TargetMode="External"/><Relationship Id="rId159" Type="http://schemas.openxmlformats.org/officeDocument/2006/relationships/hyperlink" Target="https://drive.google.com/open?id=1-A24FxicSu6TlZgRzkvmjZ-h3EaKAQRB" TargetMode="External"/><Relationship Id="rId59" Type="http://schemas.openxmlformats.org/officeDocument/2006/relationships/hyperlink" Target="https://drive.google.com/open?id=1L82KSdSw_1SggAEgnc1cgro2NE9Xl-LU" TargetMode="External"/><Relationship Id="rId154" Type="http://schemas.openxmlformats.org/officeDocument/2006/relationships/hyperlink" Target="https://drive.google.com/open?id=1LJZyywE5qTyMUbYxTcxLI6sv9D4nYEcY" TargetMode="External"/><Relationship Id="rId275" Type="http://schemas.openxmlformats.org/officeDocument/2006/relationships/hyperlink" Target="https://drive.google.com/open?id=1thgAXDqCeAa3Di76_D8nIFLshDuiWyFK" TargetMode="External"/><Relationship Id="rId58" Type="http://schemas.openxmlformats.org/officeDocument/2006/relationships/hyperlink" Target="https://drive.google.com/open?id=1U5e44ln6q4wWEv95y0K5W7pbEeSipoBI" TargetMode="External"/><Relationship Id="rId153" Type="http://schemas.openxmlformats.org/officeDocument/2006/relationships/hyperlink" Target="https://drive.google.com/open?id=1unyjf6RiDAljTw9YHRi5kp76eQjCCHCi" TargetMode="External"/><Relationship Id="rId274" Type="http://schemas.openxmlformats.org/officeDocument/2006/relationships/hyperlink" Target="https://drive.google.com/open?id=17NwuQxURpwnFXAM2DiR5BSKfqwrc4IpS" TargetMode="External"/><Relationship Id="rId152" Type="http://schemas.openxmlformats.org/officeDocument/2006/relationships/hyperlink" Target="https://drive.google.com/open?id=1vF9JH8yM1J9uka48ktINb6hYBXMbWNtR" TargetMode="External"/><Relationship Id="rId273" Type="http://schemas.openxmlformats.org/officeDocument/2006/relationships/hyperlink" Target="https://drive.google.com/open?id=1nBinud0RE0f_0prwiaAI5ZZNJcp5dUd7" TargetMode="External"/><Relationship Id="rId151" Type="http://schemas.openxmlformats.org/officeDocument/2006/relationships/hyperlink" Target="https://drive.google.com/open?id=1Zx_3dSzBU78LU2mqClv3ZK2lkwJJN45c" TargetMode="External"/><Relationship Id="rId272" Type="http://schemas.openxmlformats.org/officeDocument/2006/relationships/hyperlink" Target="https://drive.google.com/open?id=18ktayzQ3enUk0YBzZUCarsxwHROZtm_i" TargetMode="External"/><Relationship Id="rId158" Type="http://schemas.openxmlformats.org/officeDocument/2006/relationships/hyperlink" Target="https://drive.google.com/open?id=1F78-nluQSO7U1kU5aNP2PTMHP2KgOGuC" TargetMode="External"/><Relationship Id="rId279" Type="http://schemas.openxmlformats.org/officeDocument/2006/relationships/hyperlink" Target="https://drive.google.com/open?id=1Bjvem_I_ilRINZh5ay3Gh2MmbqyI_ZM5" TargetMode="External"/><Relationship Id="rId157" Type="http://schemas.openxmlformats.org/officeDocument/2006/relationships/hyperlink" Target="https://drive.google.com/open?id=1BnmVrj_yUQSAjmizxR7spBxs5h8gMuFR" TargetMode="External"/><Relationship Id="rId278" Type="http://schemas.openxmlformats.org/officeDocument/2006/relationships/hyperlink" Target="https://drive.google.com/open?id=1pWB5DAklFhIBCDY88-lVSMw6USUqOUwf" TargetMode="External"/><Relationship Id="rId156" Type="http://schemas.openxmlformats.org/officeDocument/2006/relationships/hyperlink" Target="https://drive.google.com/open?id=1e2BL7xJSZKlBb_4xzFeTowydz4-G2oCj" TargetMode="External"/><Relationship Id="rId277" Type="http://schemas.openxmlformats.org/officeDocument/2006/relationships/hyperlink" Target="https://drive.google.com/open?id=1P6zVDGzkvgIb6Tdpk3ftQTaZgIxa5RHn" TargetMode="External"/><Relationship Id="rId155" Type="http://schemas.openxmlformats.org/officeDocument/2006/relationships/hyperlink" Target="https://drive.google.com/open?id=1VHgbY-v8_qHv3zYg-WSNSzSDnFfSlBRH" TargetMode="External"/><Relationship Id="rId276" Type="http://schemas.openxmlformats.org/officeDocument/2006/relationships/hyperlink" Target="https://drive.google.com/open?id=1y7cM_212CUes9lf3DFTsE1oQt_gVIrf-" TargetMode="External"/><Relationship Id="rId107" Type="http://schemas.openxmlformats.org/officeDocument/2006/relationships/hyperlink" Target="https://drive.google.com/open?id=19I6hrZOuMWLrfICQwNh3M1riywaHpy-N" TargetMode="External"/><Relationship Id="rId228" Type="http://schemas.openxmlformats.org/officeDocument/2006/relationships/hyperlink" Target="https://drive.google.com/open?id=18sG2dhPmRPBY_1avWO-Ok0VgU7YGhMMr" TargetMode="External"/><Relationship Id="rId106" Type="http://schemas.openxmlformats.org/officeDocument/2006/relationships/hyperlink" Target="https://drive.google.com/open?id=1YUuDhitGgo-CCmCX2VG3nOAvqHqlOy7Z" TargetMode="External"/><Relationship Id="rId227" Type="http://schemas.openxmlformats.org/officeDocument/2006/relationships/hyperlink" Target="https://drive.google.com/open?id=1nKfebNHsjLdXOG-kfFUb6nUXdGBLIZ90" TargetMode="External"/><Relationship Id="rId105" Type="http://schemas.openxmlformats.org/officeDocument/2006/relationships/hyperlink" Target="https://drive.google.com/open?id=1oiD-5x7tgVJalldoJDukD9pLaxJ6l2rM" TargetMode="External"/><Relationship Id="rId226" Type="http://schemas.openxmlformats.org/officeDocument/2006/relationships/hyperlink" Target="https://drive.google.com/open?id=1WUfTc0UTv4bn9f4QhA9YscJZ_gz2Dfu7" TargetMode="External"/><Relationship Id="rId104" Type="http://schemas.openxmlformats.org/officeDocument/2006/relationships/hyperlink" Target="https://drive.google.com/open?id=1g5PJZfQe2LsPmQD_nyzYI2PbSRoHhrRG" TargetMode="External"/><Relationship Id="rId225" Type="http://schemas.openxmlformats.org/officeDocument/2006/relationships/hyperlink" Target="https://drive.google.com/open?id=19LVDSS8uhFIpMrRJFs2VDpOruOFW8x7D" TargetMode="External"/><Relationship Id="rId109" Type="http://schemas.openxmlformats.org/officeDocument/2006/relationships/hyperlink" Target="https://drive.google.com/open?id=1YNlHO2Sdw2o2_z4aADxeUoJacLrk4iaY" TargetMode="External"/><Relationship Id="rId108" Type="http://schemas.openxmlformats.org/officeDocument/2006/relationships/hyperlink" Target="https://drive.google.com/open?id=1ThszkALqpabg3JKiI8FixCV8pXi-dssS" TargetMode="External"/><Relationship Id="rId229" Type="http://schemas.openxmlformats.org/officeDocument/2006/relationships/hyperlink" Target="https://drive.google.com/open?id=1xwTvH0UHuOuHTemjNyYAvkgpCvGtFFUq" TargetMode="External"/><Relationship Id="rId220" Type="http://schemas.openxmlformats.org/officeDocument/2006/relationships/hyperlink" Target="https://drive.google.com/open?id=1qRsZT9XjUPmj65nV7EWEiTNyeeUYSqZ2" TargetMode="External"/><Relationship Id="rId103" Type="http://schemas.openxmlformats.org/officeDocument/2006/relationships/hyperlink" Target="https://drive.google.com/open?id=1jy6suLzwa_dTurH5eohBevYr_ycOniMu" TargetMode="External"/><Relationship Id="rId224" Type="http://schemas.openxmlformats.org/officeDocument/2006/relationships/hyperlink" Target="https://drive.google.com/open?id=1s9Ebe8xltDlsotZ3crK3wUEUpXtRXJoA" TargetMode="External"/><Relationship Id="rId102" Type="http://schemas.openxmlformats.org/officeDocument/2006/relationships/hyperlink" Target="https://drive.google.com/open?id=15U1aWPkjU2mlNHMOjUQn8KDcDguBn5cq" TargetMode="External"/><Relationship Id="rId223" Type="http://schemas.openxmlformats.org/officeDocument/2006/relationships/hyperlink" Target="https://drive.google.com/open?id=1tJzycF8wTukxcHtvCxx2YjnVGm2tWdib" TargetMode="External"/><Relationship Id="rId101" Type="http://schemas.openxmlformats.org/officeDocument/2006/relationships/hyperlink" Target="https://drive.google.com/open?id=14IGg4zMswkm243qLG6lAuHvHj7PTfs92" TargetMode="External"/><Relationship Id="rId222" Type="http://schemas.openxmlformats.org/officeDocument/2006/relationships/hyperlink" Target="https://drive.google.com/open?id=1OkLu-ptgMZQw7pT7GsaSjllY8wXroPNL" TargetMode="External"/><Relationship Id="rId100" Type="http://schemas.openxmlformats.org/officeDocument/2006/relationships/hyperlink" Target="https://drive.google.com/open?id=1eyLJPN3lw_f1Ch7Egwvs-Ru0H_aj6dLb" TargetMode="External"/><Relationship Id="rId221" Type="http://schemas.openxmlformats.org/officeDocument/2006/relationships/hyperlink" Target="https://drive.google.com/open?id=1j_6KyPRejnXCr7eFpem9o5GnC1qR6c77" TargetMode="External"/><Relationship Id="rId217" Type="http://schemas.openxmlformats.org/officeDocument/2006/relationships/hyperlink" Target="https://drive.google.com/open?id=1VJfeqrPpNmHa7SscTL8KCgUhAQiYU0Bx" TargetMode="External"/><Relationship Id="rId216" Type="http://schemas.openxmlformats.org/officeDocument/2006/relationships/hyperlink" Target="https://drive.google.com/open?id=1LZgv0JIoYsZBwvvIYjddDlYni48T09th" TargetMode="External"/><Relationship Id="rId337" Type="http://schemas.openxmlformats.org/officeDocument/2006/relationships/drawing" Target="../drawings/drawing2.xml"/><Relationship Id="rId215" Type="http://schemas.openxmlformats.org/officeDocument/2006/relationships/hyperlink" Target="https://drive.google.com/open?id=1AEJWkIp2CdrFco8TmKGNB1wVy_07lL4i" TargetMode="External"/><Relationship Id="rId336" Type="http://schemas.openxmlformats.org/officeDocument/2006/relationships/hyperlink" Target="https://drive.google.com/open?id=1hs75SNotCZp_qyhtSsg4KkQ1TyUXiwzD" TargetMode="External"/><Relationship Id="rId214" Type="http://schemas.openxmlformats.org/officeDocument/2006/relationships/hyperlink" Target="https://drive.google.com/open?id=1vGFtlfh3GEMhuu440tPrjxHtpLkTnhSb" TargetMode="External"/><Relationship Id="rId335" Type="http://schemas.openxmlformats.org/officeDocument/2006/relationships/hyperlink" Target="https://drive.google.com/open?id=1Ve3rgelDyUKPtFnAdnGfSgKUXegGOroA" TargetMode="External"/><Relationship Id="rId219" Type="http://schemas.openxmlformats.org/officeDocument/2006/relationships/hyperlink" Target="https://drive.google.com/open?id=1VZYGH72dNxSBH5qzEkCmugohgZSlXur0" TargetMode="External"/><Relationship Id="rId218" Type="http://schemas.openxmlformats.org/officeDocument/2006/relationships/hyperlink" Target="https://drive.google.com/open?id=1ajWQ3Z9aqj-RCpDrIAOXZH9HlJ2IIePU" TargetMode="External"/><Relationship Id="rId339" Type="http://schemas.openxmlformats.org/officeDocument/2006/relationships/table" Target="../tables/table2.xml"/><Relationship Id="rId330" Type="http://schemas.openxmlformats.org/officeDocument/2006/relationships/hyperlink" Target="https://drive.google.com/open?id=1ReqtzHanLhryyFBG63TCBQgMGflMz5Pd" TargetMode="External"/><Relationship Id="rId213" Type="http://schemas.openxmlformats.org/officeDocument/2006/relationships/hyperlink" Target="https://drive.google.com/open?id=1MX9mhWJba8vTZsXTJGPr9vDlJyHZR8hZ" TargetMode="External"/><Relationship Id="rId334" Type="http://schemas.openxmlformats.org/officeDocument/2006/relationships/hyperlink" Target="https://drive.google.com/open?id=1uY7TeX8m5oAoS51y5th6r-EeTDoPFDvM" TargetMode="External"/><Relationship Id="rId212" Type="http://schemas.openxmlformats.org/officeDocument/2006/relationships/hyperlink" Target="https://drive.google.com/open?id=1ZD3z5nf0pwc96d1HX7jqSXfk-ERO4_Oe" TargetMode="External"/><Relationship Id="rId333" Type="http://schemas.openxmlformats.org/officeDocument/2006/relationships/hyperlink" Target="https://drive.google.com/open?id=1_j5e_JX1--W1J-lrq1oLNLFeWOWMawCh" TargetMode="External"/><Relationship Id="rId211" Type="http://schemas.openxmlformats.org/officeDocument/2006/relationships/hyperlink" Target="https://drive.google.com/open?id=1ayNmTeBQYcJdKiZR6EGzzcRuTQQTE9qU" TargetMode="External"/><Relationship Id="rId332" Type="http://schemas.openxmlformats.org/officeDocument/2006/relationships/hyperlink" Target="https://drive.google.com/open?id=1STTeHRjW4WNongEoGig9psCiKAfLb4Xu" TargetMode="External"/><Relationship Id="rId210" Type="http://schemas.openxmlformats.org/officeDocument/2006/relationships/hyperlink" Target="https://drive.google.com/open?id=1XJonGXteDH9udDMLlJGeP_HfJwqiofaj" TargetMode="External"/><Relationship Id="rId331" Type="http://schemas.openxmlformats.org/officeDocument/2006/relationships/hyperlink" Target="https://drive.google.com/open?id=1RfJBGbLf99R16v5n9J2VAwbNPAdqNGMh" TargetMode="External"/><Relationship Id="rId129" Type="http://schemas.openxmlformats.org/officeDocument/2006/relationships/hyperlink" Target="https://drive.google.com/open?id=1bEWCSfyhLSa7C1kgtitoPCS8bkIuBpmf" TargetMode="External"/><Relationship Id="rId128" Type="http://schemas.openxmlformats.org/officeDocument/2006/relationships/hyperlink" Target="https://drive.google.com/open?id=1BlByegnrRZoQ6dQfUCSXpHSMRgmp18KO" TargetMode="External"/><Relationship Id="rId249" Type="http://schemas.openxmlformats.org/officeDocument/2006/relationships/hyperlink" Target="https://drive.google.com/open?id=1oTJeS8X8zWGi3Pgc67CPklkSSF98dFZT" TargetMode="External"/><Relationship Id="rId127" Type="http://schemas.openxmlformats.org/officeDocument/2006/relationships/hyperlink" Target="https://drive.google.com/open?id=168MUPAft9nz3m2kjmj8i_54f5AFf1pyf" TargetMode="External"/><Relationship Id="rId248" Type="http://schemas.openxmlformats.org/officeDocument/2006/relationships/hyperlink" Target="https://drive.google.com/open?id=1TUTEY9I_2s5assnVLiXCGzIDtFy0AZ6k" TargetMode="External"/><Relationship Id="rId126" Type="http://schemas.openxmlformats.org/officeDocument/2006/relationships/hyperlink" Target="https://drive.google.com/open?id=1mq7q831Mr_qKEhpGM03-BNeH3VBL5AbI" TargetMode="External"/><Relationship Id="rId247" Type="http://schemas.openxmlformats.org/officeDocument/2006/relationships/hyperlink" Target="https://drive.google.com/open?id=1DCVm9ykzqDErz0EjbdSm9jvVk0ZLCDza" TargetMode="External"/><Relationship Id="rId121" Type="http://schemas.openxmlformats.org/officeDocument/2006/relationships/hyperlink" Target="https://drive.google.com/open?id=1A4XDVORt_CDsjhRF3DMaEsPZHR5ZnYcg" TargetMode="External"/><Relationship Id="rId242" Type="http://schemas.openxmlformats.org/officeDocument/2006/relationships/hyperlink" Target="https://drive.google.com/open?id=1E0Vszup2lQLfdpgMIBj2WugQ756uMslC" TargetMode="External"/><Relationship Id="rId120" Type="http://schemas.openxmlformats.org/officeDocument/2006/relationships/hyperlink" Target="https://drive.google.com/open?id=1sChepRzxmD6AOCZJfQ2_8-Wd-2_z2vfU" TargetMode="External"/><Relationship Id="rId241" Type="http://schemas.openxmlformats.org/officeDocument/2006/relationships/hyperlink" Target="https://drive.google.com/open?id=1ItmdZQFTymSYMMTI1_Y7PkbVoZ62MP4z" TargetMode="External"/><Relationship Id="rId240" Type="http://schemas.openxmlformats.org/officeDocument/2006/relationships/hyperlink" Target="https://drive.google.com/open?id=16QJxFRyFat2-vQbJCjTv_aoucODfuX6d" TargetMode="External"/><Relationship Id="rId125" Type="http://schemas.openxmlformats.org/officeDocument/2006/relationships/hyperlink" Target="https://drive.google.com/open?id=1Awo4tkcxz5_bkVWxO7auydndnGz_goeX" TargetMode="External"/><Relationship Id="rId246" Type="http://schemas.openxmlformats.org/officeDocument/2006/relationships/hyperlink" Target="https://drive.google.com/open?id=1IFG8feelFIXlMM6oKKg5CWGBzzIZIh4e" TargetMode="External"/><Relationship Id="rId124" Type="http://schemas.openxmlformats.org/officeDocument/2006/relationships/hyperlink" Target="https://drive.google.com/open?id=1KyaLIdCt2MgshoIA4JrddZDP2txkUFS8" TargetMode="External"/><Relationship Id="rId245" Type="http://schemas.openxmlformats.org/officeDocument/2006/relationships/hyperlink" Target="https://drive.google.com/open?id=1zwdEFcV9P321Q6Jkzx-Cv1wnMXEHxajP" TargetMode="External"/><Relationship Id="rId123" Type="http://schemas.openxmlformats.org/officeDocument/2006/relationships/hyperlink" Target="https://drive.google.com/open?id=1KQ-Xwv7YV4z_8uNWiPqxFY3is8juWUs-" TargetMode="External"/><Relationship Id="rId244" Type="http://schemas.openxmlformats.org/officeDocument/2006/relationships/hyperlink" Target="https://drive.google.com/open?id=1wrF__61hq-wpg3zhkDMrs0OSYRla9JTh" TargetMode="External"/><Relationship Id="rId122" Type="http://schemas.openxmlformats.org/officeDocument/2006/relationships/hyperlink" Target="https://drive.google.com/open?id=1-CT1lElOCOApOe8HcjXxEVMeahpqcT2L" TargetMode="External"/><Relationship Id="rId243" Type="http://schemas.openxmlformats.org/officeDocument/2006/relationships/hyperlink" Target="https://drive.google.com/open?id=1bwx5q9n2bwNAABsvPhSADC1hY7hWzzHG" TargetMode="External"/><Relationship Id="rId95" Type="http://schemas.openxmlformats.org/officeDocument/2006/relationships/hyperlink" Target="https://drive.google.com/open?id=1HU34fZM7HSXHjONRwz8ToBFkzv_qYsSW" TargetMode="External"/><Relationship Id="rId94" Type="http://schemas.openxmlformats.org/officeDocument/2006/relationships/hyperlink" Target="https://drive.google.com/open?id=1bfBdhx5yPF7amqqYEypjXEoZcqC-Ho1d" TargetMode="External"/><Relationship Id="rId97" Type="http://schemas.openxmlformats.org/officeDocument/2006/relationships/hyperlink" Target="https://drive.google.com/open?id=1R1gtCqMAhDFfdQwMWOSS1fbnQcxnNxZR" TargetMode="External"/><Relationship Id="rId96" Type="http://schemas.openxmlformats.org/officeDocument/2006/relationships/hyperlink" Target="https://drive.google.com/open?id=1hSr_jp_RTXIQ1FKAYzWqj61dcxPdJLo7" TargetMode="External"/><Relationship Id="rId99" Type="http://schemas.openxmlformats.org/officeDocument/2006/relationships/hyperlink" Target="https://drive.google.com/open?id=18xwbRuQk_4qlFl55NM7IuWdQkjK3odPm" TargetMode="External"/><Relationship Id="rId98" Type="http://schemas.openxmlformats.org/officeDocument/2006/relationships/hyperlink" Target="https://drive.google.com/open?id=1Fb6lfF9worxGAHa7aPvmrYXfqhbM3jAV" TargetMode="External"/><Relationship Id="rId91" Type="http://schemas.openxmlformats.org/officeDocument/2006/relationships/hyperlink" Target="https://drive.google.com/open?id=1NPmdqGptti8bxHVklA2TrXv8hZmjuwem" TargetMode="External"/><Relationship Id="rId90" Type="http://schemas.openxmlformats.org/officeDocument/2006/relationships/hyperlink" Target="https://drive.google.com/open?id=1jSid3nJ-FX0dAF3RNvRUcB9xyo_NyaIZ" TargetMode="External"/><Relationship Id="rId93" Type="http://schemas.openxmlformats.org/officeDocument/2006/relationships/hyperlink" Target="https://drive.google.com/open?id=1HQrbUDwE2Dr-HEe-H8jo9KfYUnZ7KBe5" TargetMode="External"/><Relationship Id="rId92" Type="http://schemas.openxmlformats.org/officeDocument/2006/relationships/hyperlink" Target="https://drive.google.com/open?id=1o9mG8dwKI62kuFvg2MOMlrGDdbpdXVJF" TargetMode="External"/><Relationship Id="rId118" Type="http://schemas.openxmlformats.org/officeDocument/2006/relationships/hyperlink" Target="https://drive.google.com/open?id=1SV6HkHqvwbebo7ozYz_e03owDQxGPPt5" TargetMode="External"/><Relationship Id="rId239" Type="http://schemas.openxmlformats.org/officeDocument/2006/relationships/hyperlink" Target="https://drive.google.com/open?id=1KztgL8OEke4hZZMua6o0pKtkGrhe4WAN" TargetMode="External"/><Relationship Id="rId117" Type="http://schemas.openxmlformats.org/officeDocument/2006/relationships/hyperlink" Target="https://drive.google.com/open?id=1_Fws1n7UzAq40kmglexanOG1kBZE5KGi" TargetMode="External"/><Relationship Id="rId238" Type="http://schemas.openxmlformats.org/officeDocument/2006/relationships/hyperlink" Target="https://drive.google.com/open?id=1PFDlujHx6D2q1D7mezqt7rCMaq5Nffsv" TargetMode="External"/><Relationship Id="rId116" Type="http://schemas.openxmlformats.org/officeDocument/2006/relationships/hyperlink" Target="https://drive.google.com/open?id=1VypwVnmo6UgJ2Qmc_15cn-26yojIIqxW" TargetMode="External"/><Relationship Id="rId237" Type="http://schemas.openxmlformats.org/officeDocument/2006/relationships/hyperlink" Target="https://drive.google.com/open?id=1HfIVNeMB_ECzHMzWa-6GJ_qgAMlIU_n0" TargetMode="External"/><Relationship Id="rId115" Type="http://schemas.openxmlformats.org/officeDocument/2006/relationships/hyperlink" Target="https://drive.google.com/open?id=1w0p1UgCZceHpl4zAHRlEDEs-mamWZRR0" TargetMode="External"/><Relationship Id="rId236" Type="http://schemas.openxmlformats.org/officeDocument/2006/relationships/hyperlink" Target="https://drive.google.com/open?id=1KSVGFNkqmgnIfvuHe2oNtxoHgQth5juD" TargetMode="External"/><Relationship Id="rId119" Type="http://schemas.openxmlformats.org/officeDocument/2006/relationships/hyperlink" Target="https://drive.google.com/open?id=1wHZS8OrWJEM90wgdYvyFydCuzRS1HMFQ" TargetMode="External"/><Relationship Id="rId110" Type="http://schemas.openxmlformats.org/officeDocument/2006/relationships/hyperlink" Target="https://drive.google.com/open?id=1th2NXqCtk6V21Xh0Lt2PNm5TT5DW0g5j" TargetMode="External"/><Relationship Id="rId231" Type="http://schemas.openxmlformats.org/officeDocument/2006/relationships/hyperlink" Target="https://drive.google.com/open?id=1hhVYne8osDPO8Bx14dmu7ItoD8rDQomg" TargetMode="External"/><Relationship Id="rId230" Type="http://schemas.openxmlformats.org/officeDocument/2006/relationships/hyperlink" Target="https://drive.google.com/open?id=1H_khFxRF9EcRpryKoyQHwFotoxkr_7f7" TargetMode="External"/><Relationship Id="rId114" Type="http://schemas.openxmlformats.org/officeDocument/2006/relationships/hyperlink" Target="https://drive.google.com/open?id=1Se8DrkIUwzWpWyzR-Igc_qlTBp5Mhxs0" TargetMode="External"/><Relationship Id="rId235" Type="http://schemas.openxmlformats.org/officeDocument/2006/relationships/hyperlink" Target="https://drive.google.com/open?id=1rAVplwsISXN9YIFzRlgWKf7L2pj15DSl" TargetMode="External"/><Relationship Id="rId113" Type="http://schemas.openxmlformats.org/officeDocument/2006/relationships/hyperlink" Target="https://drive.google.com/open?id=16SyqDdIfbnjIEjxl_lbS2zIR65AdIHHI" TargetMode="External"/><Relationship Id="rId234" Type="http://schemas.openxmlformats.org/officeDocument/2006/relationships/hyperlink" Target="https://drive.google.com/open?id=1GHxARDGpeigN3bmOaGRUMWlmc6f6V254" TargetMode="External"/><Relationship Id="rId112" Type="http://schemas.openxmlformats.org/officeDocument/2006/relationships/hyperlink" Target="https://drive.google.com/open?id=16WSpzrs0e-SrP9vdTQpzH3V6kfbIgvOP" TargetMode="External"/><Relationship Id="rId233" Type="http://schemas.openxmlformats.org/officeDocument/2006/relationships/hyperlink" Target="https://drive.google.com/open?id=1r_tAll3oKhxHO6BWB4Hy0FpJ9xy06lPP" TargetMode="External"/><Relationship Id="rId111" Type="http://schemas.openxmlformats.org/officeDocument/2006/relationships/hyperlink" Target="https://drive.google.com/open?id=1WfEEKO1GwbW3GEdHnu0Lep3QC_G034Dt" TargetMode="External"/><Relationship Id="rId232" Type="http://schemas.openxmlformats.org/officeDocument/2006/relationships/hyperlink" Target="https://drive.google.com/open?id=1OSErYJ1q5eyzKWBvZ-27mXecsNEeej7i" TargetMode="External"/><Relationship Id="rId305" Type="http://schemas.openxmlformats.org/officeDocument/2006/relationships/hyperlink" Target="https://drive.google.com/open?id=1LwqSTi2fSQe0ScwNC2r5BtXOsq_ISJ1o" TargetMode="External"/><Relationship Id="rId304" Type="http://schemas.openxmlformats.org/officeDocument/2006/relationships/hyperlink" Target="https://drive.google.com/open?id=1tb-MIGQ5GOylf6dZBWRVO2WA8GCWKCDi" TargetMode="External"/><Relationship Id="rId303" Type="http://schemas.openxmlformats.org/officeDocument/2006/relationships/hyperlink" Target="https://drive.google.com/open?id=1bo6OujeREw0L8EjGlISNIBR_OR-ZWkZg" TargetMode="External"/><Relationship Id="rId302" Type="http://schemas.openxmlformats.org/officeDocument/2006/relationships/hyperlink" Target="https://drive.google.com/open?id=1sN-R1iU5tJvTKcjxNc8GxGMrBfPDcM1S" TargetMode="External"/><Relationship Id="rId309" Type="http://schemas.openxmlformats.org/officeDocument/2006/relationships/hyperlink" Target="https://drive.google.com/open?id=1jTIq7YFhMjFF20qzi_laHszNnwT09IJ5" TargetMode="External"/><Relationship Id="rId308" Type="http://schemas.openxmlformats.org/officeDocument/2006/relationships/hyperlink" Target="https://drive.google.com/open?id=1eN3XM3FDAfnjuzltq2F02E95vygNgK8o" TargetMode="External"/><Relationship Id="rId307" Type="http://schemas.openxmlformats.org/officeDocument/2006/relationships/hyperlink" Target="https://drive.google.com/open?id=1SWuwHRxyno1L65hUqbVUCARa8kB9WwfS" TargetMode="External"/><Relationship Id="rId306" Type="http://schemas.openxmlformats.org/officeDocument/2006/relationships/hyperlink" Target="https://drive.google.com/open?id=1t8EZibcMxmHBFmMnZsEeQLKarEkZlhfi" TargetMode="External"/><Relationship Id="rId301" Type="http://schemas.openxmlformats.org/officeDocument/2006/relationships/hyperlink" Target="https://drive.google.com/open?id=12mVENRztApFqkfMj-N-EbI99DcOAnjQI" TargetMode="External"/><Relationship Id="rId300" Type="http://schemas.openxmlformats.org/officeDocument/2006/relationships/hyperlink" Target="https://drive.google.com/open?id=1kV_ewUUdJaWU4DsSMykLEI-oa4NRfwnQ" TargetMode="External"/><Relationship Id="rId206" Type="http://schemas.openxmlformats.org/officeDocument/2006/relationships/hyperlink" Target="https://drive.google.com/open?id=11SIoYQq9hiWtLLY_sLjDOh8TbZ9sutr4" TargetMode="External"/><Relationship Id="rId327" Type="http://schemas.openxmlformats.org/officeDocument/2006/relationships/hyperlink" Target="https://drive.google.com/open?id=1NCOOa_8VmPy1X5FhFx0U4oSo3SKqIgY8" TargetMode="External"/><Relationship Id="rId205" Type="http://schemas.openxmlformats.org/officeDocument/2006/relationships/hyperlink" Target="https://drive.google.com/open?id=1u8imoqsNrP_lVTtGQ21ZqWYQszN6ixOv" TargetMode="External"/><Relationship Id="rId326" Type="http://schemas.openxmlformats.org/officeDocument/2006/relationships/hyperlink" Target="https://drive.google.com/open?id=1Ri09OkjQVrb-B_-sNHrLb7K3aF2Lqv5V" TargetMode="External"/><Relationship Id="rId204" Type="http://schemas.openxmlformats.org/officeDocument/2006/relationships/hyperlink" Target="https://drive.google.com/open?id=1HpMDpGCD4c3_33yBOdQz4f5MkCXQfSgn" TargetMode="External"/><Relationship Id="rId325" Type="http://schemas.openxmlformats.org/officeDocument/2006/relationships/hyperlink" Target="https://drive.google.com/open?id=1eN9KhEi0TCm-OcRLJmS5rKVoLJwRf1mI" TargetMode="External"/><Relationship Id="rId203" Type="http://schemas.openxmlformats.org/officeDocument/2006/relationships/hyperlink" Target="https://drive.google.com/open?id=1agx6ZfcmuLblPYU7OsUM2ZwLLKrSIMl7" TargetMode="External"/><Relationship Id="rId324" Type="http://schemas.openxmlformats.org/officeDocument/2006/relationships/hyperlink" Target="https://drive.google.com/open?id=1RcZNsQ-1elCc1ADBnjl4hCbodpnOgm9-" TargetMode="External"/><Relationship Id="rId209" Type="http://schemas.openxmlformats.org/officeDocument/2006/relationships/hyperlink" Target="https://drive.google.com/open?id=17BdUijWLObfbTAKpcHr9mXHy1RK5gi2-" TargetMode="External"/><Relationship Id="rId208" Type="http://schemas.openxmlformats.org/officeDocument/2006/relationships/hyperlink" Target="https://drive.google.com/open?id=1X4JWLItu9ghafqaLSkURBJcu5eETQID-" TargetMode="External"/><Relationship Id="rId329" Type="http://schemas.openxmlformats.org/officeDocument/2006/relationships/hyperlink" Target="https://drive.google.com/open?id=1suZL-X0BxCLmYfcwzUijOzMezxZEVbSW" TargetMode="External"/><Relationship Id="rId207" Type="http://schemas.openxmlformats.org/officeDocument/2006/relationships/hyperlink" Target="https://drive.google.com/open?id=1oTU0HnOhbkuJ3RhdmOb9qEbpezYQDMQw" TargetMode="External"/><Relationship Id="rId328" Type="http://schemas.openxmlformats.org/officeDocument/2006/relationships/hyperlink" Target="https://drive.google.com/open?id=17i92BzKwyN2k5VhycQ5DI3h-7HMpDCX2" TargetMode="External"/><Relationship Id="rId202" Type="http://schemas.openxmlformats.org/officeDocument/2006/relationships/hyperlink" Target="https://drive.google.com/open?id=1O7FYjFhVrWKHFRQ9RAu1l5ijTF1IDO4C" TargetMode="External"/><Relationship Id="rId323" Type="http://schemas.openxmlformats.org/officeDocument/2006/relationships/hyperlink" Target="https://drive.google.com/open?id=1h4VpzyKvgyDNNcYVeW6ly6tOWqJOXtMs" TargetMode="External"/><Relationship Id="rId201" Type="http://schemas.openxmlformats.org/officeDocument/2006/relationships/hyperlink" Target="https://drive.google.com/open?id=152MAZpjZvThK43BIDbogZ9khRdPP5tJ0" TargetMode="External"/><Relationship Id="rId322" Type="http://schemas.openxmlformats.org/officeDocument/2006/relationships/hyperlink" Target="https://drive.google.com/open?id=1Tt51dZ7qtQV2avZFs44rQOLmeiBAiqLl" TargetMode="External"/><Relationship Id="rId200" Type="http://schemas.openxmlformats.org/officeDocument/2006/relationships/hyperlink" Target="https://drive.google.com/open?id=1Wqoq6QmYVL-NSZllrfdkNyK-hRfq1ihk" TargetMode="External"/><Relationship Id="rId321" Type="http://schemas.openxmlformats.org/officeDocument/2006/relationships/hyperlink" Target="https://drive.google.com/open?id=1YRRwubDBrdrwOYwpaBVXTz6uwcv90LO-" TargetMode="External"/><Relationship Id="rId320" Type="http://schemas.openxmlformats.org/officeDocument/2006/relationships/hyperlink" Target="https://drive.google.com/open?id=1nSrmZabl9dLEuU_jVo6OP4hFGyxYvmcW" TargetMode="External"/><Relationship Id="rId316" Type="http://schemas.openxmlformats.org/officeDocument/2006/relationships/hyperlink" Target="https://drive.google.com/open?id=1r05u7kaR07v-0XzX50YXDcEiRVbJywIM" TargetMode="External"/><Relationship Id="rId315" Type="http://schemas.openxmlformats.org/officeDocument/2006/relationships/hyperlink" Target="https://drive.google.com/open?id=1yx_mTJmpBlS7Ehjr2FkvxGn7j9Nj2wg3" TargetMode="External"/><Relationship Id="rId314" Type="http://schemas.openxmlformats.org/officeDocument/2006/relationships/hyperlink" Target="https://drive.google.com/open?id=1u_rmdsZQkqSLw89Wr3hh4895kQxU6rCH" TargetMode="External"/><Relationship Id="rId313" Type="http://schemas.openxmlformats.org/officeDocument/2006/relationships/hyperlink" Target="https://drive.google.com/open?id=1hExh2JwuT6TMN4Mg4IBFwmLaqAZa85G0" TargetMode="External"/><Relationship Id="rId319" Type="http://schemas.openxmlformats.org/officeDocument/2006/relationships/hyperlink" Target="https://drive.google.com/open?id=1PSXf2zicyWI65fLmGUfogSav7KQ6IW7Y" TargetMode="External"/><Relationship Id="rId318" Type="http://schemas.openxmlformats.org/officeDocument/2006/relationships/hyperlink" Target="https://drive.google.com/open?id=1Bt6RqjcZymSOtepnin9GtCneOooOhk1b" TargetMode="External"/><Relationship Id="rId317" Type="http://schemas.openxmlformats.org/officeDocument/2006/relationships/hyperlink" Target="https://drive.google.com/open?id=1kqkAzE1eOmrtdmrzRw8esKmszv6pTXiS" TargetMode="External"/><Relationship Id="rId312" Type="http://schemas.openxmlformats.org/officeDocument/2006/relationships/hyperlink" Target="https://drive.google.com/open?id=1UJUiJTyL0PYyi87H4TV5zhX-DzbNR0lw" TargetMode="External"/><Relationship Id="rId311" Type="http://schemas.openxmlformats.org/officeDocument/2006/relationships/hyperlink" Target="https://drive.google.com/open?id=1zTOBxVNCXt22Rwj7Pl1gpjJkQa8kWMSn" TargetMode="External"/><Relationship Id="rId310" Type="http://schemas.openxmlformats.org/officeDocument/2006/relationships/hyperlink" Target="https://drive.google.com/open?id=1jY1Pfr68oNoCTqmnwGvgYXorqJPrNTf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azhc8rxgV0Bf_si7gWdESy-jabVIz0Kh" TargetMode="External"/><Relationship Id="rId190" Type="http://schemas.openxmlformats.org/officeDocument/2006/relationships/hyperlink" Target="https://drive.google.com/open?id=1b2PmDTvfM0tx4EnfWQ5zBGcJFZ-e_yhI" TargetMode="External"/><Relationship Id="rId42" Type="http://schemas.openxmlformats.org/officeDocument/2006/relationships/hyperlink" Target="https://drive.google.com/open?id=1ot7YL9hmNHcjwMPT5zRrVYmGjOzy7u-_" TargetMode="External"/><Relationship Id="rId41" Type="http://schemas.openxmlformats.org/officeDocument/2006/relationships/hyperlink" Target="https://drive.google.com/open?id=1zqLME9eCEfxh830aS4PQ0coa_B1lNzlX" TargetMode="External"/><Relationship Id="rId44" Type="http://schemas.openxmlformats.org/officeDocument/2006/relationships/hyperlink" Target="https://drive.google.com/open?id=1U5e44ln6q4wWEv95y0K5W7pbEeSipoBI" TargetMode="External"/><Relationship Id="rId194" Type="http://schemas.openxmlformats.org/officeDocument/2006/relationships/hyperlink" Target="https://drive.google.com/open?id=18yGlpiRX8BvHeQapF545hc1x-tS2uJog" TargetMode="External"/><Relationship Id="rId43" Type="http://schemas.openxmlformats.org/officeDocument/2006/relationships/hyperlink" Target="https://drive.google.com/open?id=1b5rA_CCnxA-KTpJj49WJIbXDgG4DMwgA" TargetMode="External"/><Relationship Id="rId193" Type="http://schemas.openxmlformats.org/officeDocument/2006/relationships/hyperlink" Target="https://drive.google.com/open?id=1pTCiAxTmh72cd1ew5dqtKt5o63zF4DVl" TargetMode="External"/><Relationship Id="rId46" Type="http://schemas.openxmlformats.org/officeDocument/2006/relationships/hyperlink" Target="https://drive.google.com/open?id=1R9esCf3eInufZvx3OTPxJzfqaYIRDdey" TargetMode="External"/><Relationship Id="rId192" Type="http://schemas.openxmlformats.org/officeDocument/2006/relationships/hyperlink" Target="https://drive.google.com/open?id=1P_X0YDbiCrcY9oVeF1sWkeovZYgKMExE" TargetMode="External"/><Relationship Id="rId45" Type="http://schemas.openxmlformats.org/officeDocument/2006/relationships/hyperlink" Target="https://drive.google.com/open?id=118nvVBnwe-bVAhmD0QBndxzCqasZUNzH" TargetMode="External"/><Relationship Id="rId191" Type="http://schemas.openxmlformats.org/officeDocument/2006/relationships/hyperlink" Target="https://drive.google.com/open?id=1XTyHx4GbZQFlgWAkfnY_3DnqsZBqeupP" TargetMode="External"/><Relationship Id="rId48" Type="http://schemas.openxmlformats.org/officeDocument/2006/relationships/hyperlink" Target="https://drive.google.com/open?id=1nFQKiLGBPCvfasJiEpHSgEEyzg9EuJNV" TargetMode="External"/><Relationship Id="rId187" Type="http://schemas.openxmlformats.org/officeDocument/2006/relationships/hyperlink" Target="https://drive.google.com/open?id=1P6zVDGzkvgIb6Tdpk3ftQTaZgIxa5RHn" TargetMode="External"/><Relationship Id="rId47" Type="http://schemas.openxmlformats.org/officeDocument/2006/relationships/hyperlink" Target="https://drive.google.com/open?id=1JrLI1tyO97IMOYricg8jbMsXKHw_AamJ" TargetMode="External"/><Relationship Id="rId186" Type="http://schemas.openxmlformats.org/officeDocument/2006/relationships/hyperlink" Target="https://drive.google.com/open?id=17NwuQxURpwnFXAM2DiR5BSKfqwrc4IpS" TargetMode="External"/><Relationship Id="rId185" Type="http://schemas.openxmlformats.org/officeDocument/2006/relationships/hyperlink" Target="https://drive.google.com/open?id=1nBinud0RE0f_0prwiaAI5ZZNJcp5dUd7" TargetMode="External"/><Relationship Id="rId49" Type="http://schemas.openxmlformats.org/officeDocument/2006/relationships/hyperlink" Target="https://drive.google.com/open?id=1IPDSKNOEeSQb-uBaVCtoCyBaEBJUVMh8" TargetMode="External"/><Relationship Id="rId184" Type="http://schemas.openxmlformats.org/officeDocument/2006/relationships/hyperlink" Target="https://drive.google.com/open?id=18ktayzQ3enUk0YBzZUCarsxwHROZtm_i" TargetMode="External"/><Relationship Id="rId189" Type="http://schemas.openxmlformats.org/officeDocument/2006/relationships/hyperlink" Target="https://drive.google.com/open?id=1fxh5-Uv1aPb30bXsySbDnRVK9Y3Kg_gX" TargetMode="External"/><Relationship Id="rId188" Type="http://schemas.openxmlformats.org/officeDocument/2006/relationships/hyperlink" Target="https://drive.google.com/open?id=1pWB5DAklFhIBCDY88-lVSMw6USUqOUwf" TargetMode="External"/><Relationship Id="rId31" Type="http://schemas.openxmlformats.org/officeDocument/2006/relationships/hyperlink" Target="https://drive.google.com/open?id=1mwvfinyTu_GlNS7PFEptZd9hpZlvKQt7" TargetMode="External"/><Relationship Id="rId30" Type="http://schemas.openxmlformats.org/officeDocument/2006/relationships/hyperlink" Target="https://drive.google.com/open?id=1_RQbsyY23VX7jkJaUt516rn0AUuD56It" TargetMode="External"/><Relationship Id="rId33" Type="http://schemas.openxmlformats.org/officeDocument/2006/relationships/hyperlink" Target="https://drive.google.com/open?id=1bxSA1M8vDxdA9SRzFjtp8DsGBzonvqE0" TargetMode="External"/><Relationship Id="rId183" Type="http://schemas.openxmlformats.org/officeDocument/2006/relationships/hyperlink" Target="https://drive.google.com/open?id=1I2vyciA0tArPcdiQVStjSbGUrAuBO1gl" TargetMode="External"/><Relationship Id="rId32" Type="http://schemas.openxmlformats.org/officeDocument/2006/relationships/hyperlink" Target="https://drive.google.com/open?id=1uR5vsOrSI85HE4CPSUghFcqzikifUj7l" TargetMode="External"/><Relationship Id="rId182" Type="http://schemas.openxmlformats.org/officeDocument/2006/relationships/hyperlink" Target="https://drive.google.com/open?id=1sEgVY-mkTmcFAlq_VHH_zH8V7NRcRTZB" TargetMode="External"/><Relationship Id="rId35" Type="http://schemas.openxmlformats.org/officeDocument/2006/relationships/hyperlink" Target="https://drive.google.com/open?id=1Y1foghnEA07kwud4sQLKKV6zRzOM15n9" TargetMode="External"/><Relationship Id="rId181" Type="http://schemas.openxmlformats.org/officeDocument/2006/relationships/hyperlink" Target="https://drive.google.com/open?id=1IGN8QQZm9ZLtGrUOJzX5EeRq2LTFOeS9" TargetMode="External"/><Relationship Id="rId34" Type="http://schemas.openxmlformats.org/officeDocument/2006/relationships/hyperlink" Target="https://drive.google.com/open?id=1NDNGIUV1WswD5-HvnX6C0v1n_4ZYWLYP" TargetMode="External"/><Relationship Id="rId180" Type="http://schemas.openxmlformats.org/officeDocument/2006/relationships/hyperlink" Target="https://drive.google.com/open?id=15mg3M5L4ukDORUqgR1KRrFy6NNLA9FaA" TargetMode="External"/><Relationship Id="rId37" Type="http://schemas.openxmlformats.org/officeDocument/2006/relationships/hyperlink" Target="https://drive.google.com/open?id=1tOkABRd3IDmLi4uocyutdNGXt3rhuheO" TargetMode="External"/><Relationship Id="rId176" Type="http://schemas.openxmlformats.org/officeDocument/2006/relationships/hyperlink" Target="https://drive.google.com/open?id=10CRwIMWLrQ1rlIWdSN3Q5Rc9IDxk7hD_" TargetMode="External"/><Relationship Id="rId36" Type="http://schemas.openxmlformats.org/officeDocument/2006/relationships/hyperlink" Target="https://drive.google.com/open?id=1asIqFYiXtPw0r4rZI-vGyuIlVhENGzDl" TargetMode="External"/><Relationship Id="rId175" Type="http://schemas.openxmlformats.org/officeDocument/2006/relationships/hyperlink" Target="https://drive.google.com/open?id=17ExJneL3SUtqC9Qf7axOqaajenbgeByB" TargetMode="External"/><Relationship Id="rId39" Type="http://schemas.openxmlformats.org/officeDocument/2006/relationships/hyperlink" Target="https://drive.google.com/open?id=1EjeLGgPojspkadV7_8lpv9coQSV4_yLt" TargetMode="External"/><Relationship Id="rId174" Type="http://schemas.openxmlformats.org/officeDocument/2006/relationships/hyperlink" Target="https://drive.google.com/open?id=1TUTEY9I_2s5assnVLiXCGzIDtFy0AZ6k" TargetMode="External"/><Relationship Id="rId38" Type="http://schemas.openxmlformats.org/officeDocument/2006/relationships/hyperlink" Target="https://drive.google.com/open?id=1bfJEJzu4gXqRKHMMJMBuDis_HF_aQ2JT" TargetMode="External"/><Relationship Id="rId173" Type="http://schemas.openxmlformats.org/officeDocument/2006/relationships/hyperlink" Target="https://drive.google.com/open?id=1DCVm9ykzqDErz0EjbdSm9jvVk0ZLCDza" TargetMode="External"/><Relationship Id="rId179" Type="http://schemas.openxmlformats.org/officeDocument/2006/relationships/hyperlink" Target="https://drive.google.com/open?id=17b6bIqVkWSIkAmF68CQSxQ6jnC29-46V" TargetMode="External"/><Relationship Id="rId178" Type="http://schemas.openxmlformats.org/officeDocument/2006/relationships/hyperlink" Target="https://drive.google.com/open?id=1EGPEv54gplcZHH1Y3Nr8DfNpueu5PTVN" TargetMode="External"/><Relationship Id="rId177" Type="http://schemas.openxmlformats.org/officeDocument/2006/relationships/hyperlink" Target="https://drive.google.com/open?id=1GIGpB-tlDRzkPCSVeWaPPwsNnFMrCLdR" TargetMode="External"/><Relationship Id="rId20" Type="http://schemas.openxmlformats.org/officeDocument/2006/relationships/hyperlink" Target="https://drive.google.com/open?id=1gxavYVwvB4XMS9LExB-QV4jEsZX5sR-S" TargetMode="External"/><Relationship Id="rId22" Type="http://schemas.openxmlformats.org/officeDocument/2006/relationships/hyperlink" Target="https://drive.google.com/open?id=11dQChh1KE1x2YIy-noS9o1we8DGi7Mfv" TargetMode="External"/><Relationship Id="rId21" Type="http://schemas.openxmlformats.org/officeDocument/2006/relationships/hyperlink" Target="https://drive.google.com/open?id=1Y2dZr6oqriAc0VBw54p-NnkUfKaydew5" TargetMode="External"/><Relationship Id="rId24" Type="http://schemas.openxmlformats.org/officeDocument/2006/relationships/hyperlink" Target="https://drive.google.com/open?id=1HzBSs6YLa97rZJUyb8eoZBRTlxP_rFt8" TargetMode="External"/><Relationship Id="rId23" Type="http://schemas.openxmlformats.org/officeDocument/2006/relationships/hyperlink" Target="https://drive.google.com/open?id=1Tpl57DoaUPa_GxVxbIOx1j_egxVgcI7H" TargetMode="External"/><Relationship Id="rId26" Type="http://schemas.openxmlformats.org/officeDocument/2006/relationships/hyperlink" Target="https://drive.google.com/open?id=1w81KoCwLdyLKxJ-F8wznvKmVk_OBhZuK" TargetMode="External"/><Relationship Id="rId25" Type="http://schemas.openxmlformats.org/officeDocument/2006/relationships/hyperlink" Target="https://drive.google.com/open?id=1QgNvJRjBx2uD2u8FCp2CWvw3gahNBdsB" TargetMode="External"/><Relationship Id="rId28" Type="http://schemas.openxmlformats.org/officeDocument/2006/relationships/hyperlink" Target="https://drive.google.com/open?id=1M4hyYkBu6Cwfqdle_Jz4K-P6tWLEcVKj" TargetMode="External"/><Relationship Id="rId27" Type="http://schemas.openxmlformats.org/officeDocument/2006/relationships/hyperlink" Target="https://drive.google.com/open?id=1OboaLdslWSE_VFpgS6LQ6bbGtwL4HwVZ" TargetMode="External"/><Relationship Id="rId29" Type="http://schemas.openxmlformats.org/officeDocument/2006/relationships/hyperlink" Target="https://drive.google.com/open?id=1w-dlCL4gT0_WB-hCqveVhpyrCUzzYjUY" TargetMode="External"/><Relationship Id="rId11" Type="http://schemas.openxmlformats.org/officeDocument/2006/relationships/hyperlink" Target="https://drive.google.com/open?id=1CZRSnWf_Tvwz_LZCA7mBxfN3PmHu60v-" TargetMode="External"/><Relationship Id="rId10" Type="http://schemas.openxmlformats.org/officeDocument/2006/relationships/hyperlink" Target="https://drive.google.com/open?id=1i3I0yBWBZAUnQQN5VFngO53ZQQxoBL9S" TargetMode="External"/><Relationship Id="rId13" Type="http://schemas.openxmlformats.org/officeDocument/2006/relationships/hyperlink" Target="https://drive.google.com/open?id=11goryPOB2TYIacdjkzHvRVM6d1KfI3y1" TargetMode="External"/><Relationship Id="rId12" Type="http://schemas.openxmlformats.org/officeDocument/2006/relationships/hyperlink" Target="https://drive.google.com/open?id=1-0aJHuCjtlKlezrTUbLXkRpkdhAF4M-v" TargetMode="External"/><Relationship Id="rId15" Type="http://schemas.openxmlformats.org/officeDocument/2006/relationships/hyperlink" Target="https://drive.google.com/open?id=1yxXcQgKHp03sbWdJCsMI1uVsI9eGmgzX" TargetMode="External"/><Relationship Id="rId198" Type="http://schemas.openxmlformats.org/officeDocument/2006/relationships/hyperlink" Target="https://drive.google.com/open?id=1T6W7gCxCxiXRzLWClR30gfBGvOB7xvpI" TargetMode="External"/><Relationship Id="rId14" Type="http://schemas.openxmlformats.org/officeDocument/2006/relationships/hyperlink" Target="https://drive.google.com/open?id=1FHcUgE3Nn-ylYv8bQf9lYQNBHDDDEIGg" TargetMode="External"/><Relationship Id="rId197" Type="http://schemas.openxmlformats.org/officeDocument/2006/relationships/hyperlink" Target="https://drive.google.com/open?id=1swgdXG5ahfxdANZb31Jij9iuAiMrQ-GJ" TargetMode="External"/><Relationship Id="rId17" Type="http://schemas.openxmlformats.org/officeDocument/2006/relationships/hyperlink" Target="https://drive.google.com/open?id=1Iuo0d78nvubtjbvAZTUSrp3IIgHANyga" TargetMode="External"/><Relationship Id="rId196" Type="http://schemas.openxmlformats.org/officeDocument/2006/relationships/hyperlink" Target="https://drive.google.com/open?id=1lM_Pqa4APkRd4ud8x3cCNVqZaH20aqcU" TargetMode="External"/><Relationship Id="rId16" Type="http://schemas.openxmlformats.org/officeDocument/2006/relationships/hyperlink" Target="https://drive.google.com/open?id=1a5dDewq0XyzTJdj2lmkaQFredhPZ8oiu" TargetMode="External"/><Relationship Id="rId195" Type="http://schemas.openxmlformats.org/officeDocument/2006/relationships/hyperlink" Target="https://drive.google.com/open?id=1_lO5SQB-zGnpvwJKVcDPzkTOs5OgzmxX" TargetMode="External"/><Relationship Id="rId19" Type="http://schemas.openxmlformats.org/officeDocument/2006/relationships/hyperlink" Target="https://drive.google.com/open?id=186LcgNOSkGAlU3RLkMn2rUPaWAjK7isa" TargetMode="External"/><Relationship Id="rId18" Type="http://schemas.openxmlformats.org/officeDocument/2006/relationships/hyperlink" Target="https://drive.google.com/open?id=1YRsoLSkvFvuYI3QOjozfRsPJ7tcT5nOU" TargetMode="External"/><Relationship Id="rId199" Type="http://schemas.openxmlformats.org/officeDocument/2006/relationships/hyperlink" Target="https://drive.google.com/open?id=1ebUTdcQyNy1kHGDWLP7si5Lr08i6dGfS" TargetMode="External"/><Relationship Id="rId84" Type="http://schemas.openxmlformats.org/officeDocument/2006/relationships/hyperlink" Target="https://drive.google.com/open?id=1SV6HkHqvwbebo7ozYz_e03owDQxGPPt5" TargetMode="External"/><Relationship Id="rId83" Type="http://schemas.openxmlformats.org/officeDocument/2006/relationships/hyperlink" Target="https://drive.google.com/open?id=1_Fws1n7UzAq40kmglexanOG1kBZE5KGi" TargetMode="External"/><Relationship Id="rId86" Type="http://schemas.openxmlformats.org/officeDocument/2006/relationships/hyperlink" Target="https://drive.google.com/open?id=1sChepRzxmD6AOCZJfQ2_8-Wd-2_z2vfU" TargetMode="External"/><Relationship Id="rId85" Type="http://schemas.openxmlformats.org/officeDocument/2006/relationships/hyperlink" Target="https://drive.google.com/open?id=1wHZS8OrWJEM90wgdYvyFydCuzRS1HMFQ" TargetMode="External"/><Relationship Id="rId88" Type="http://schemas.openxmlformats.org/officeDocument/2006/relationships/hyperlink" Target="https://drive.google.com/open?id=1-CT1lElOCOApOe8HcjXxEVMeahpqcT2L" TargetMode="External"/><Relationship Id="rId150" Type="http://schemas.openxmlformats.org/officeDocument/2006/relationships/hyperlink" Target="https://drive.google.com/open?id=1HpMDpGCD4c3_33yBOdQz4f5MkCXQfSgn" TargetMode="External"/><Relationship Id="rId87" Type="http://schemas.openxmlformats.org/officeDocument/2006/relationships/hyperlink" Target="https://drive.google.com/open?id=1A4XDVORt_CDsjhRF3DMaEsPZHR5ZnYcg" TargetMode="External"/><Relationship Id="rId89" Type="http://schemas.openxmlformats.org/officeDocument/2006/relationships/hyperlink" Target="https://drive.google.com/open?id=1KQ-Xwv7YV4z_8uNWiPqxFY3is8juWUs-" TargetMode="External"/><Relationship Id="rId80" Type="http://schemas.openxmlformats.org/officeDocument/2006/relationships/hyperlink" Target="https://drive.google.com/open?id=1Se8DrkIUwzWpWyzR-Igc_qlTBp5Mhxs0" TargetMode="External"/><Relationship Id="rId82" Type="http://schemas.openxmlformats.org/officeDocument/2006/relationships/hyperlink" Target="https://drive.google.com/open?id=1VypwVnmo6UgJ2Qmc_15cn-26yojIIqxW" TargetMode="External"/><Relationship Id="rId81" Type="http://schemas.openxmlformats.org/officeDocument/2006/relationships/hyperlink" Target="https://drive.google.com/open?id=1w0p1UgCZceHpl4zAHRlEDEs-mamWZRR0" TargetMode="External"/><Relationship Id="rId1" Type="http://schemas.openxmlformats.org/officeDocument/2006/relationships/hyperlink" Target="https://drive.google.com/open?id=1wvVMWKrnUjVgP1CfYWdd_E0vchEM9pi3" TargetMode="External"/><Relationship Id="rId2" Type="http://schemas.openxmlformats.org/officeDocument/2006/relationships/hyperlink" Target="https://drive.google.com/open?id=1FD55F3mUjSvviBFvT0lmlP5qs97Jo6Rq" TargetMode="External"/><Relationship Id="rId3" Type="http://schemas.openxmlformats.org/officeDocument/2006/relationships/hyperlink" Target="https://drive.google.com/open?id=1nVM8n8zHwMihrktdkrp1SMFAISMWQPh3" TargetMode="External"/><Relationship Id="rId149" Type="http://schemas.openxmlformats.org/officeDocument/2006/relationships/hyperlink" Target="https://drive.google.com/open?id=1agx6ZfcmuLblPYU7OsUM2ZwLLKrSIMl7" TargetMode="External"/><Relationship Id="rId4" Type="http://schemas.openxmlformats.org/officeDocument/2006/relationships/hyperlink" Target="https://drive.google.com/open?id=16kxxoRKzyYMnXX9WcQjINwavwF-UhTEN" TargetMode="External"/><Relationship Id="rId148" Type="http://schemas.openxmlformats.org/officeDocument/2006/relationships/hyperlink" Target="https://drive.google.com/open?id=1Wqoq6QmYVL-NSZllrfdkNyK-hRfq1ihk" TargetMode="External"/><Relationship Id="rId9" Type="http://schemas.openxmlformats.org/officeDocument/2006/relationships/hyperlink" Target="https://drive.google.com/open?id=10xhv7vy3irtFqB4uwlalaHDfwFIwiAco" TargetMode="External"/><Relationship Id="rId143" Type="http://schemas.openxmlformats.org/officeDocument/2006/relationships/hyperlink" Target="https://drive.google.com/open?id=1Y6ZcGc2riRBA1oJVHyZfsfZ4dY3i6fjT" TargetMode="External"/><Relationship Id="rId142" Type="http://schemas.openxmlformats.org/officeDocument/2006/relationships/hyperlink" Target="https://drive.google.com/open?id=1cm90fqXv2zVDf7h9fbEs9F8ucMNpHqwB" TargetMode="External"/><Relationship Id="rId141" Type="http://schemas.openxmlformats.org/officeDocument/2006/relationships/hyperlink" Target="https://drive.google.com/open?id=1exP8iApsSJz-fQoCCg6_C_zjXxKagc7N" TargetMode="External"/><Relationship Id="rId140" Type="http://schemas.openxmlformats.org/officeDocument/2006/relationships/hyperlink" Target="https://drive.google.com/open?id=1zW8WVLi6_3sWq2Ftmyb2_GxImDfZVuTc" TargetMode="External"/><Relationship Id="rId5" Type="http://schemas.openxmlformats.org/officeDocument/2006/relationships/hyperlink" Target="https://drive.google.com/open?id=1N44T7YnTBgmkiTbItQKtEUNpjEDd0EUh" TargetMode="External"/><Relationship Id="rId147" Type="http://schemas.openxmlformats.org/officeDocument/2006/relationships/hyperlink" Target="https://drive.google.com/open?id=14KxPGkJYWPipEttIFlq04mALjst5dPU7" TargetMode="External"/><Relationship Id="rId6" Type="http://schemas.openxmlformats.org/officeDocument/2006/relationships/hyperlink" Target="https://drive.google.com/open?id=17f6tVYwvx4UzQXlhJ9Z6B_eDtJe69uqQ" TargetMode="External"/><Relationship Id="rId146" Type="http://schemas.openxmlformats.org/officeDocument/2006/relationships/hyperlink" Target="https://drive.google.com/open?id=1BZbbjvux3p2XroHfFauBl6n9_CcTVHFh" TargetMode="External"/><Relationship Id="rId7" Type="http://schemas.openxmlformats.org/officeDocument/2006/relationships/hyperlink" Target="https://drive.google.com/open?id=1M-D4W3wo5ygIcbAyfOurXfqgDnkj9rSQ" TargetMode="External"/><Relationship Id="rId145" Type="http://schemas.openxmlformats.org/officeDocument/2006/relationships/hyperlink" Target="https://drive.google.com/open?id=1FeO19y_W8VWcjEZdY_YIZLqTIsi4H8S3" TargetMode="External"/><Relationship Id="rId8" Type="http://schemas.openxmlformats.org/officeDocument/2006/relationships/hyperlink" Target="https://drive.google.com/open?id=1989rqVJ9nuAXRtx40x4Jix1B8K1W6Ps5" TargetMode="External"/><Relationship Id="rId144" Type="http://schemas.openxmlformats.org/officeDocument/2006/relationships/hyperlink" Target="https://drive.google.com/open?id=1ERvGu6dTpc99Rnh9EJjqrc6E_swukhi7" TargetMode="External"/><Relationship Id="rId73" Type="http://schemas.openxmlformats.org/officeDocument/2006/relationships/hyperlink" Target="https://drive.google.com/open?id=19I6hrZOuMWLrfICQwNh3M1riywaHpy-N" TargetMode="External"/><Relationship Id="rId72" Type="http://schemas.openxmlformats.org/officeDocument/2006/relationships/hyperlink" Target="https://drive.google.com/open?id=1YUuDhitGgo-CCmCX2VG3nOAvqHqlOy7Z" TargetMode="External"/><Relationship Id="rId75" Type="http://schemas.openxmlformats.org/officeDocument/2006/relationships/hyperlink" Target="https://drive.google.com/open?id=1YNlHO2Sdw2o2_z4aADxeUoJacLrk4iaY" TargetMode="External"/><Relationship Id="rId74" Type="http://schemas.openxmlformats.org/officeDocument/2006/relationships/hyperlink" Target="https://drive.google.com/open?id=1ThszkALqpabg3JKiI8FixCV8pXi-dssS" TargetMode="External"/><Relationship Id="rId77" Type="http://schemas.openxmlformats.org/officeDocument/2006/relationships/hyperlink" Target="https://drive.google.com/open?id=1WfEEKO1GwbW3GEdHnu0Lep3QC_G034Dt" TargetMode="External"/><Relationship Id="rId76" Type="http://schemas.openxmlformats.org/officeDocument/2006/relationships/hyperlink" Target="https://drive.google.com/open?id=1th2NXqCtk6V21Xh0Lt2PNm5TT5DW0g5j" TargetMode="External"/><Relationship Id="rId79" Type="http://schemas.openxmlformats.org/officeDocument/2006/relationships/hyperlink" Target="https://drive.google.com/open?id=16SyqDdIfbnjIEjxl_lbS2zIR65AdIHHI" TargetMode="External"/><Relationship Id="rId78" Type="http://schemas.openxmlformats.org/officeDocument/2006/relationships/hyperlink" Target="https://drive.google.com/open?id=16WSpzrs0e-SrP9vdTQpzH3V6kfbIgvOP" TargetMode="External"/><Relationship Id="rId71" Type="http://schemas.openxmlformats.org/officeDocument/2006/relationships/hyperlink" Target="https://drive.google.com/open?id=1oiD-5x7tgVJalldoJDukD9pLaxJ6l2rM" TargetMode="External"/><Relationship Id="rId70" Type="http://schemas.openxmlformats.org/officeDocument/2006/relationships/hyperlink" Target="https://drive.google.com/open?id=1g5PJZfQe2LsPmQD_nyzYI2PbSRoHhrRG" TargetMode="External"/><Relationship Id="rId139" Type="http://schemas.openxmlformats.org/officeDocument/2006/relationships/hyperlink" Target="https://drive.google.com/open?id=124crok5AAw7ikRRjYsGq6nRYmxtyzGdL" TargetMode="External"/><Relationship Id="rId138" Type="http://schemas.openxmlformats.org/officeDocument/2006/relationships/hyperlink" Target="https://drive.google.com/open?id=1oyRXm0T63v91E4r6-sJBAxNWs8edMhLB" TargetMode="External"/><Relationship Id="rId137" Type="http://schemas.openxmlformats.org/officeDocument/2006/relationships/hyperlink" Target="https://drive.google.com/open?id=1evafgOkL5bzXnMIWfeJ-3EYX21EA1I4H" TargetMode="External"/><Relationship Id="rId132" Type="http://schemas.openxmlformats.org/officeDocument/2006/relationships/hyperlink" Target="https://drive.google.com/open?id=1l89BGnA4vKTlHGE5ICKyfo8hsSc3bLO6" TargetMode="External"/><Relationship Id="rId131" Type="http://schemas.openxmlformats.org/officeDocument/2006/relationships/hyperlink" Target="https://drive.google.com/open?id=1mMFiI51tsVW_TprZtopgXmH_Nn-I9Z7g" TargetMode="External"/><Relationship Id="rId130" Type="http://schemas.openxmlformats.org/officeDocument/2006/relationships/hyperlink" Target="https://drive.google.com/open?id=1xY-xUFjpIBv770_nomBwb-6qXCT6x8t2" TargetMode="External"/><Relationship Id="rId136" Type="http://schemas.openxmlformats.org/officeDocument/2006/relationships/hyperlink" Target="https://drive.google.com/open?id=1vpUSj95DCgepZ11M33qVLLufnDIa6yfg" TargetMode="External"/><Relationship Id="rId135" Type="http://schemas.openxmlformats.org/officeDocument/2006/relationships/hyperlink" Target="https://drive.google.com/open?id=1WAR3PH2PNje3aU1_IFAB6VIupB7ExLC9" TargetMode="External"/><Relationship Id="rId134" Type="http://schemas.openxmlformats.org/officeDocument/2006/relationships/hyperlink" Target="https://drive.google.com/open?id=1vO3anu3uqZAN5tjSoc_FJhctZ6AmmyP6" TargetMode="External"/><Relationship Id="rId133" Type="http://schemas.openxmlformats.org/officeDocument/2006/relationships/hyperlink" Target="https://drive.google.com/open?id=1l-YPj1SujDEzufsgxinfewrNChZ44hmn" TargetMode="External"/><Relationship Id="rId62" Type="http://schemas.openxmlformats.org/officeDocument/2006/relationships/hyperlink" Target="https://drive.google.com/open?id=1bfBdhx5yPF7amqqYEypjXEoZcqC-Ho1d" TargetMode="External"/><Relationship Id="rId61" Type="http://schemas.openxmlformats.org/officeDocument/2006/relationships/hyperlink" Target="https://drive.google.com/open?id=1HQrbUDwE2Dr-HEe-H8jo9KfYUnZ7KBe5" TargetMode="External"/><Relationship Id="rId64" Type="http://schemas.openxmlformats.org/officeDocument/2006/relationships/hyperlink" Target="https://drive.google.com/open?id=1hSr_jp_RTXIQ1FKAYzWqj61dcxPdJLo7" TargetMode="External"/><Relationship Id="rId63" Type="http://schemas.openxmlformats.org/officeDocument/2006/relationships/hyperlink" Target="https://drive.google.com/open?id=1HU34fZM7HSXHjONRwz8ToBFkzv_qYsSW" TargetMode="External"/><Relationship Id="rId66" Type="http://schemas.openxmlformats.org/officeDocument/2006/relationships/hyperlink" Target="https://drive.google.com/open?id=1Fb6lfF9worxGAHa7aPvmrYXfqhbM3jAV" TargetMode="External"/><Relationship Id="rId172" Type="http://schemas.openxmlformats.org/officeDocument/2006/relationships/hyperlink" Target="https://drive.google.com/open?id=1IFG8feelFIXlMM6oKKg5CWGBzzIZIh4e" TargetMode="External"/><Relationship Id="rId65" Type="http://schemas.openxmlformats.org/officeDocument/2006/relationships/hyperlink" Target="https://drive.google.com/open?id=1R1gtCqMAhDFfdQwMWOSS1fbnQcxnNxZR" TargetMode="External"/><Relationship Id="rId171" Type="http://schemas.openxmlformats.org/officeDocument/2006/relationships/hyperlink" Target="https://drive.google.com/open?id=1zwdEFcV9P321Q6Jkzx-Cv1wnMXEHxajP" TargetMode="External"/><Relationship Id="rId68" Type="http://schemas.openxmlformats.org/officeDocument/2006/relationships/hyperlink" Target="https://drive.google.com/open?id=1eyLJPN3lw_f1Ch7Egwvs-Ru0H_aj6dLb" TargetMode="External"/><Relationship Id="rId170" Type="http://schemas.openxmlformats.org/officeDocument/2006/relationships/hyperlink" Target="https://drive.google.com/open?id=1E0Vszup2lQLfdpgMIBj2WugQ756uMslC" TargetMode="External"/><Relationship Id="rId67" Type="http://schemas.openxmlformats.org/officeDocument/2006/relationships/hyperlink" Target="https://drive.google.com/open?id=18xwbRuQk_4qlFl55NM7IuWdQkjK3odPm" TargetMode="External"/><Relationship Id="rId60" Type="http://schemas.openxmlformats.org/officeDocument/2006/relationships/hyperlink" Target="https://drive.google.com/open?id=1jSid3nJ-FX0dAF3RNvRUcB9xyo_NyaIZ" TargetMode="External"/><Relationship Id="rId165" Type="http://schemas.openxmlformats.org/officeDocument/2006/relationships/hyperlink" Target="https://drive.google.com/open?id=1HfIVNeMB_ECzHMzWa-6GJ_qgAMlIU_n0" TargetMode="External"/><Relationship Id="rId69" Type="http://schemas.openxmlformats.org/officeDocument/2006/relationships/hyperlink" Target="https://drive.google.com/open?id=1jy6suLzwa_dTurH5eohBevYr_ycOniMu" TargetMode="External"/><Relationship Id="rId164" Type="http://schemas.openxmlformats.org/officeDocument/2006/relationships/hyperlink" Target="https://drive.google.com/open?id=1KSVGFNkqmgnIfvuHe2oNtxoHgQth5juD" TargetMode="External"/><Relationship Id="rId163" Type="http://schemas.openxmlformats.org/officeDocument/2006/relationships/hyperlink" Target="https://drive.google.com/open?id=1rAVplwsISXN9YIFzRlgWKf7L2pj15DSl" TargetMode="External"/><Relationship Id="rId162" Type="http://schemas.openxmlformats.org/officeDocument/2006/relationships/hyperlink" Target="https://drive.google.com/open?id=1OSErYJ1q5eyzKWBvZ-27mXecsNEeej7i" TargetMode="External"/><Relationship Id="rId169" Type="http://schemas.openxmlformats.org/officeDocument/2006/relationships/hyperlink" Target="https://drive.google.com/open?id=1ItmdZQFTymSYMMTI1_Y7PkbVoZ62MP4z" TargetMode="External"/><Relationship Id="rId168" Type="http://schemas.openxmlformats.org/officeDocument/2006/relationships/hyperlink" Target="https://drive.google.com/open?id=16QJxFRyFat2-vQbJCjTv_aoucODfuX6d" TargetMode="External"/><Relationship Id="rId167" Type="http://schemas.openxmlformats.org/officeDocument/2006/relationships/hyperlink" Target="https://drive.google.com/open?id=1KztgL8OEke4hZZMua6o0pKtkGrhe4WAN" TargetMode="External"/><Relationship Id="rId166" Type="http://schemas.openxmlformats.org/officeDocument/2006/relationships/hyperlink" Target="https://drive.google.com/open?id=1PFDlujHx6D2q1D7mezqt7rCMaq5Nffsv" TargetMode="External"/><Relationship Id="rId51" Type="http://schemas.openxmlformats.org/officeDocument/2006/relationships/hyperlink" Target="https://drive.google.com/open?id=1Dsa2tQ1Snh-r4zUGRFxQYCCB4QXoXhVD" TargetMode="External"/><Relationship Id="rId50" Type="http://schemas.openxmlformats.org/officeDocument/2006/relationships/hyperlink" Target="https://drive.google.com/open?id=1ZWe9ogNm9xcbQhRh-OolbkFOQtiDlCO1" TargetMode="External"/><Relationship Id="rId53" Type="http://schemas.openxmlformats.org/officeDocument/2006/relationships/hyperlink" Target="https://drive.google.com/open?id=19EwT0DyI9ymplMGneLNVBtIwc514sR_h" TargetMode="External"/><Relationship Id="rId52" Type="http://schemas.openxmlformats.org/officeDocument/2006/relationships/hyperlink" Target="https://drive.google.com/open?id=1exd5y3fNQkcvwlIi8dEq1IGQ-Jx-C0iC" TargetMode="External"/><Relationship Id="rId55" Type="http://schemas.openxmlformats.org/officeDocument/2006/relationships/hyperlink" Target="https://drive.google.com/open?id=1ovuJzV1YJeltkjQ5ns0tq9hIDvmeEvu6" TargetMode="External"/><Relationship Id="rId161" Type="http://schemas.openxmlformats.org/officeDocument/2006/relationships/hyperlink" Target="https://drive.google.com/open?id=1hhVYne8osDPO8Bx14dmu7ItoD8rDQomg" TargetMode="External"/><Relationship Id="rId54" Type="http://schemas.openxmlformats.org/officeDocument/2006/relationships/hyperlink" Target="https://drive.google.com/open?id=16D4ecvv2U-2snIq82bZDHRLLQSpNeuZL" TargetMode="External"/><Relationship Id="rId160" Type="http://schemas.openxmlformats.org/officeDocument/2006/relationships/hyperlink" Target="https://drive.google.com/open?id=1H_khFxRF9EcRpryKoyQHwFotoxkr_7f7" TargetMode="External"/><Relationship Id="rId57" Type="http://schemas.openxmlformats.org/officeDocument/2006/relationships/hyperlink" Target="https://drive.google.com/open?id=1pkclO8SBRQ8Fkb84z4IuG_c-Fm5zLbqA" TargetMode="External"/><Relationship Id="rId56" Type="http://schemas.openxmlformats.org/officeDocument/2006/relationships/hyperlink" Target="https://drive.google.com/open?id=1ects1CDfcrcZZ_DjgDuwb7jaJ_2TyWUp" TargetMode="External"/><Relationship Id="rId159" Type="http://schemas.openxmlformats.org/officeDocument/2006/relationships/hyperlink" Target="https://drive.google.com/open?id=1xwTvH0UHuOuHTemjNyYAvkgpCvGtFFUq" TargetMode="External"/><Relationship Id="rId59" Type="http://schemas.openxmlformats.org/officeDocument/2006/relationships/hyperlink" Target="https://drive.google.com/open?id=1PIlB8a8fUozyBqhUyq_KQHq_JBJw6yY6" TargetMode="External"/><Relationship Id="rId154" Type="http://schemas.openxmlformats.org/officeDocument/2006/relationships/hyperlink" Target="https://drive.google.com/open?id=1LZgv0JIoYsZBwvvIYjddDlYni48T09th" TargetMode="External"/><Relationship Id="rId58" Type="http://schemas.openxmlformats.org/officeDocument/2006/relationships/hyperlink" Target="https://drive.google.com/open?id=1MCjRAjVQhzPZIpdpPzV6gSW3D60B3guq" TargetMode="External"/><Relationship Id="rId153" Type="http://schemas.openxmlformats.org/officeDocument/2006/relationships/hyperlink" Target="https://drive.google.com/open?id=1AEJWkIp2CdrFco8TmKGNB1wVy_07lL4i" TargetMode="External"/><Relationship Id="rId152" Type="http://schemas.openxmlformats.org/officeDocument/2006/relationships/hyperlink" Target="https://drive.google.com/open?id=11SIoYQq9hiWtLLY_sLjDOh8TbZ9sutr4" TargetMode="External"/><Relationship Id="rId151" Type="http://schemas.openxmlformats.org/officeDocument/2006/relationships/hyperlink" Target="https://drive.google.com/open?id=1u8imoqsNrP_lVTtGQ21ZqWYQszN6ixOv" TargetMode="External"/><Relationship Id="rId158" Type="http://schemas.openxmlformats.org/officeDocument/2006/relationships/hyperlink" Target="https://drive.google.com/open?id=1WUfTc0UTv4bn9f4QhA9YscJZ_gz2Dfu7" TargetMode="External"/><Relationship Id="rId157" Type="http://schemas.openxmlformats.org/officeDocument/2006/relationships/hyperlink" Target="https://drive.google.com/open?id=19LVDSS8uhFIpMrRJFs2VDpOruOFW8x7D" TargetMode="External"/><Relationship Id="rId156" Type="http://schemas.openxmlformats.org/officeDocument/2006/relationships/hyperlink" Target="https://drive.google.com/open?id=1OkLu-ptgMZQw7pT7GsaSjllY8wXroPNL" TargetMode="External"/><Relationship Id="rId155" Type="http://schemas.openxmlformats.org/officeDocument/2006/relationships/hyperlink" Target="https://drive.google.com/open?id=1j_6KyPRejnXCr7eFpem9o5GnC1qR6c77" TargetMode="External"/><Relationship Id="rId107" Type="http://schemas.openxmlformats.org/officeDocument/2006/relationships/hyperlink" Target="https://drive.google.com/open?id=1RP1xjpB3dL7gx3qTEOqfmYOhSLbYKPq4" TargetMode="External"/><Relationship Id="rId106" Type="http://schemas.openxmlformats.org/officeDocument/2006/relationships/hyperlink" Target="https://drive.google.com/open?id=1FiCM2PverwGAbEmervv-W_xjWI_HDVI4" TargetMode="External"/><Relationship Id="rId105" Type="http://schemas.openxmlformats.org/officeDocument/2006/relationships/hyperlink" Target="https://drive.google.com/open?id=1_K0EM6KuVzTOwEM7_XyD_mrOCpQYJfWQ" TargetMode="External"/><Relationship Id="rId104" Type="http://schemas.openxmlformats.org/officeDocument/2006/relationships/hyperlink" Target="https://drive.google.com/open?id=1h13cIXFRqFSwxteOs7r-i-vAcmAhm6-6" TargetMode="External"/><Relationship Id="rId109" Type="http://schemas.openxmlformats.org/officeDocument/2006/relationships/hyperlink" Target="https://drive.google.com/open?id=1Zx_3dSzBU78LU2mqClv3ZK2lkwJJN45c" TargetMode="External"/><Relationship Id="rId108" Type="http://schemas.openxmlformats.org/officeDocument/2006/relationships/hyperlink" Target="https://drive.google.com/open?id=1B3u1WKM8EwF8a4ko8op32ttXwGMfZgxO" TargetMode="External"/><Relationship Id="rId103" Type="http://schemas.openxmlformats.org/officeDocument/2006/relationships/hyperlink" Target="https://drive.google.com/open?id=1ubA8C6KPdYXJpYtv38xpnDxhKGsA9lTF" TargetMode="External"/><Relationship Id="rId102" Type="http://schemas.openxmlformats.org/officeDocument/2006/relationships/hyperlink" Target="https://drive.google.com/open?id=1nwJLxBaIq1O7GAOlDLWaU8w59li6tz1W" TargetMode="External"/><Relationship Id="rId101" Type="http://schemas.openxmlformats.org/officeDocument/2006/relationships/hyperlink" Target="https://drive.google.com/open?id=1FlQgY3Scj_y3_BUa8Skrlka4aRvx9rXi" TargetMode="External"/><Relationship Id="rId100" Type="http://schemas.openxmlformats.org/officeDocument/2006/relationships/hyperlink" Target="https://drive.google.com/open?id=1CpvOYOqC8OXeTRFmNioCrYg3_7hSZ39Q" TargetMode="External"/><Relationship Id="rId217" Type="http://schemas.openxmlformats.org/officeDocument/2006/relationships/table" Target="../tables/table3.xml"/><Relationship Id="rId215" Type="http://schemas.openxmlformats.org/officeDocument/2006/relationships/drawing" Target="../drawings/drawing4.xml"/><Relationship Id="rId214" Type="http://schemas.openxmlformats.org/officeDocument/2006/relationships/hyperlink" Target="https://drive.google.com/open?id=1STTeHRjW4WNongEoGig9psCiKAfLb4Xu" TargetMode="External"/><Relationship Id="rId213" Type="http://schemas.openxmlformats.org/officeDocument/2006/relationships/hyperlink" Target="https://drive.google.com/open?id=1RfJBGbLf99R16v5n9J2VAwbNPAdqNGMh" TargetMode="External"/><Relationship Id="rId212" Type="http://schemas.openxmlformats.org/officeDocument/2006/relationships/hyperlink" Target="https://drive.google.com/open?id=1ReqtzHanLhryyFBG63TCBQgMGflMz5Pd" TargetMode="External"/><Relationship Id="rId211" Type="http://schemas.openxmlformats.org/officeDocument/2006/relationships/hyperlink" Target="https://drive.google.com/open?id=1suZL-X0BxCLmYfcwzUijOzMezxZEVbSW" TargetMode="External"/><Relationship Id="rId210" Type="http://schemas.openxmlformats.org/officeDocument/2006/relationships/hyperlink" Target="https://drive.google.com/open?id=1Ri09OkjQVrb-B_-sNHrLb7K3aF2Lqv5V" TargetMode="External"/><Relationship Id="rId129" Type="http://schemas.openxmlformats.org/officeDocument/2006/relationships/hyperlink" Target="https://drive.google.com/open?id=1cei-PULn1wQVZbfJ-9M_omjOaQWjneMr" TargetMode="External"/><Relationship Id="rId128" Type="http://schemas.openxmlformats.org/officeDocument/2006/relationships/hyperlink" Target="https://drive.google.com/open?id=1WfJdQ7lba38kSgsUtHTA0vyCO4jFnufI" TargetMode="External"/><Relationship Id="rId127" Type="http://schemas.openxmlformats.org/officeDocument/2006/relationships/hyperlink" Target="https://drive.google.com/open?id=1EZl5dm09BGfE1LXPFGGzxMDkfjpRXEDL" TargetMode="External"/><Relationship Id="rId126" Type="http://schemas.openxmlformats.org/officeDocument/2006/relationships/hyperlink" Target="https://drive.google.com/open?id=1rYEhNu-GhsdymxAL2zGfa_aNIYGyLNnf" TargetMode="External"/><Relationship Id="rId121" Type="http://schemas.openxmlformats.org/officeDocument/2006/relationships/hyperlink" Target="https://drive.google.com/open?id=1nmE9wXF0rSvMqTuC6uREA91cFeJXAsj6" TargetMode="External"/><Relationship Id="rId120" Type="http://schemas.openxmlformats.org/officeDocument/2006/relationships/hyperlink" Target="https://drive.google.com/open?id=1rbGz2tCFTemlGr2jS0AmItnim0PMvksE" TargetMode="External"/><Relationship Id="rId125" Type="http://schemas.openxmlformats.org/officeDocument/2006/relationships/hyperlink" Target="https://drive.google.com/open?id=1I9ykYpi52o7Ds7p8J3CIOEOxydSwibFL" TargetMode="External"/><Relationship Id="rId124" Type="http://schemas.openxmlformats.org/officeDocument/2006/relationships/hyperlink" Target="https://drive.google.com/open?id=1oE2EZGy9gu12RvtXM-WBxqvnrUSWKilB" TargetMode="External"/><Relationship Id="rId123" Type="http://schemas.openxmlformats.org/officeDocument/2006/relationships/hyperlink" Target="https://drive.google.com/open?id=1OKHYOcwxo5KX9hlTtCqE_9AV5KAEvPQt" TargetMode="External"/><Relationship Id="rId122" Type="http://schemas.openxmlformats.org/officeDocument/2006/relationships/hyperlink" Target="https://drive.google.com/open?id=14RNrUN4mpkbO7eAM95HuFDkFOWUgWnaK" TargetMode="External"/><Relationship Id="rId95" Type="http://schemas.openxmlformats.org/officeDocument/2006/relationships/hyperlink" Target="https://drive.google.com/open?id=1bEWCSfyhLSa7C1kgtitoPCS8bkIuBpmf" TargetMode="External"/><Relationship Id="rId94" Type="http://schemas.openxmlformats.org/officeDocument/2006/relationships/hyperlink" Target="https://drive.google.com/open?id=1BlByegnrRZoQ6dQfUCSXpHSMRgmp18KO" TargetMode="External"/><Relationship Id="rId97" Type="http://schemas.openxmlformats.org/officeDocument/2006/relationships/hyperlink" Target="https://drive.google.com/open?id=11TxnwfocD6eDqSWk_1PNN0MI2jyrL5ZS" TargetMode="External"/><Relationship Id="rId96" Type="http://schemas.openxmlformats.org/officeDocument/2006/relationships/hyperlink" Target="https://drive.google.com/open?id=1a8yvFYEqjTFWSGtX0ctxOqXemjricIEX" TargetMode="External"/><Relationship Id="rId99" Type="http://schemas.openxmlformats.org/officeDocument/2006/relationships/hyperlink" Target="https://drive.google.com/open?id=1xoY71ouDAOV0jnsCI692BaKWbhCiZL-r" TargetMode="External"/><Relationship Id="rId98" Type="http://schemas.openxmlformats.org/officeDocument/2006/relationships/hyperlink" Target="https://drive.google.com/open?id=1friM3Un9sYBrvVFof6J8GyRDWrPBGbVU" TargetMode="External"/><Relationship Id="rId91" Type="http://schemas.openxmlformats.org/officeDocument/2006/relationships/hyperlink" Target="https://drive.google.com/open?id=1Awo4tkcxz5_bkVWxO7auydndnGz_goeX" TargetMode="External"/><Relationship Id="rId90" Type="http://schemas.openxmlformats.org/officeDocument/2006/relationships/hyperlink" Target="https://drive.google.com/open?id=1KyaLIdCt2MgshoIA4JrddZDP2txkUFS8" TargetMode="External"/><Relationship Id="rId93" Type="http://schemas.openxmlformats.org/officeDocument/2006/relationships/hyperlink" Target="https://drive.google.com/open?id=168MUPAft9nz3m2kjmj8i_54f5AFf1pyf" TargetMode="External"/><Relationship Id="rId92" Type="http://schemas.openxmlformats.org/officeDocument/2006/relationships/hyperlink" Target="https://drive.google.com/open?id=1mq7q831Mr_qKEhpGM03-BNeH3VBL5AbI" TargetMode="External"/><Relationship Id="rId118" Type="http://schemas.openxmlformats.org/officeDocument/2006/relationships/hyperlink" Target="https://drive.google.com/open?id=1aqvxPfiLCcEoD5tn2ygpiJqfn4gzD8rz" TargetMode="External"/><Relationship Id="rId117" Type="http://schemas.openxmlformats.org/officeDocument/2006/relationships/hyperlink" Target="https://drive.google.com/open?id=1X72wInD9AZd_FjWj8dYlC55ijAuQHYM-" TargetMode="External"/><Relationship Id="rId116" Type="http://schemas.openxmlformats.org/officeDocument/2006/relationships/hyperlink" Target="https://drive.google.com/open?id=1F78-nluQSO7U1kU5aNP2PTMHP2KgOGuC" TargetMode="External"/><Relationship Id="rId115" Type="http://schemas.openxmlformats.org/officeDocument/2006/relationships/hyperlink" Target="https://drive.google.com/open?id=1BnmVrj_yUQSAjmizxR7spBxs5h8gMuFR" TargetMode="External"/><Relationship Id="rId119" Type="http://schemas.openxmlformats.org/officeDocument/2006/relationships/hyperlink" Target="https://drive.google.com/open?id=1AgF_jk0KJ6Zalc4c9iPPr9IvqSwjDCXu" TargetMode="External"/><Relationship Id="rId110" Type="http://schemas.openxmlformats.org/officeDocument/2006/relationships/hyperlink" Target="https://drive.google.com/open?id=1vF9JH8yM1J9uka48ktINb6hYBXMbWNtR" TargetMode="External"/><Relationship Id="rId114" Type="http://schemas.openxmlformats.org/officeDocument/2006/relationships/hyperlink" Target="https://drive.google.com/open?id=1e2BL7xJSZKlBb_4xzFeTowydz4-G2oCj" TargetMode="External"/><Relationship Id="rId113" Type="http://schemas.openxmlformats.org/officeDocument/2006/relationships/hyperlink" Target="https://drive.google.com/open?id=1VHgbY-v8_qHv3zYg-WSNSzSDnFfSlBRH" TargetMode="External"/><Relationship Id="rId112" Type="http://schemas.openxmlformats.org/officeDocument/2006/relationships/hyperlink" Target="https://drive.google.com/open?id=1LJZyywE5qTyMUbYxTcxLI6sv9D4nYEcY" TargetMode="External"/><Relationship Id="rId111" Type="http://schemas.openxmlformats.org/officeDocument/2006/relationships/hyperlink" Target="https://drive.google.com/open?id=1unyjf6RiDAljTw9YHRi5kp76eQjCCHCi" TargetMode="External"/><Relationship Id="rId206" Type="http://schemas.openxmlformats.org/officeDocument/2006/relationships/hyperlink" Target="https://drive.google.com/open?id=1nSrmZabl9dLEuU_jVo6OP4hFGyxYvmcW" TargetMode="External"/><Relationship Id="rId205" Type="http://schemas.openxmlformats.org/officeDocument/2006/relationships/hyperlink" Target="https://drive.google.com/open?id=1PSXf2zicyWI65fLmGUfogSav7KQ6IW7Y" TargetMode="External"/><Relationship Id="rId204" Type="http://schemas.openxmlformats.org/officeDocument/2006/relationships/hyperlink" Target="https://drive.google.com/open?id=1Bt6RqjcZymSOtepnin9GtCneOooOhk1b" TargetMode="External"/><Relationship Id="rId203" Type="http://schemas.openxmlformats.org/officeDocument/2006/relationships/hyperlink" Target="https://drive.google.com/open?id=1kqkAzE1eOmrtdmrzRw8esKmszv6pTXiS" TargetMode="External"/><Relationship Id="rId209" Type="http://schemas.openxmlformats.org/officeDocument/2006/relationships/hyperlink" Target="https://drive.google.com/open?id=1eN9KhEi0TCm-OcRLJmS5rKVoLJwRf1mI" TargetMode="External"/><Relationship Id="rId208" Type="http://schemas.openxmlformats.org/officeDocument/2006/relationships/hyperlink" Target="https://drive.google.com/open?id=1RcZNsQ-1elCc1ADBnjl4hCbodpnOgm9-" TargetMode="External"/><Relationship Id="rId207" Type="http://schemas.openxmlformats.org/officeDocument/2006/relationships/hyperlink" Target="https://drive.google.com/open?id=1h4VpzyKvgyDNNcYVeW6ly6tOWqJOXtMs" TargetMode="External"/><Relationship Id="rId202" Type="http://schemas.openxmlformats.org/officeDocument/2006/relationships/hyperlink" Target="https://drive.google.com/open?id=1UJUiJTyL0PYyi87H4TV5zhX-DzbNR0lw" TargetMode="External"/><Relationship Id="rId201" Type="http://schemas.openxmlformats.org/officeDocument/2006/relationships/hyperlink" Target="https://drive.google.com/open?id=1zTOBxVNCXt22Rwj7Pl1gpjJkQa8kWMSn" TargetMode="External"/><Relationship Id="rId200" Type="http://schemas.openxmlformats.org/officeDocument/2006/relationships/hyperlink" Target="https://drive.google.com/open?id=1_LznKduDz5f4pghoIv7j-MlwomF_NOaA" TargetMode="External"/></Relationships>
</file>

<file path=xl/worksheets/_rels/sheet5.xml.rels><?xml version="1.0" encoding="UTF-8" standalone="yes"?><Relationships xmlns="http://schemas.openxmlformats.org/package/2006/relationships"><Relationship Id="rId31" Type="http://schemas.openxmlformats.org/officeDocument/2006/relationships/drawing" Target="../drawings/drawing5.xml"/><Relationship Id="rId30" Type="http://schemas.openxmlformats.org/officeDocument/2006/relationships/hyperlink" Target="https://drive.google.com/open?id=1hs75SNotCZp_qyhtSsg4KkQ1TyUXiwzD" TargetMode="External"/><Relationship Id="rId33" Type="http://schemas.openxmlformats.org/officeDocument/2006/relationships/table" Target="../tables/table4.xml"/><Relationship Id="rId20" Type="http://schemas.openxmlformats.org/officeDocument/2006/relationships/hyperlink" Target="https://drive.google.com/open?id=1y7cM_212CUes9lf3DFTsE1oQt_gVIrf-" TargetMode="External"/><Relationship Id="rId22" Type="http://schemas.openxmlformats.org/officeDocument/2006/relationships/hyperlink" Target="https://drive.google.com/open?id=1w5oxEG3Y_3QnTCazzcYgvScpQnlHlUCB" TargetMode="External"/><Relationship Id="rId21" Type="http://schemas.openxmlformats.org/officeDocument/2006/relationships/hyperlink" Target="https://drive.google.com/open?id=1Bjvem_I_ilRINZh5ay3Gh2MmbqyI_ZM5" TargetMode="External"/><Relationship Id="rId24" Type="http://schemas.openxmlformats.org/officeDocument/2006/relationships/hyperlink" Target="https://drive.google.com/open?id=1eN3XM3FDAfnjuzltq2F02E95vygNgK8o" TargetMode="External"/><Relationship Id="rId23" Type="http://schemas.openxmlformats.org/officeDocument/2006/relationships/hyperlink" Target="https://drive.google.com/open?id=1SWuwHRxyno1L65hUqbVUCARa8kB9WwfS" TargetMode="External"/><Relationship Id="rId26" Type="http://schemas.openxmlformats.org/officeDocument/2006/relationships/hyperlink" Target="https://drive.google.com/open?id=1u_rmdsZQkqSLw89Wr3hh4895kQxU6rCH" TargetMode="External"/><Relationship Id="rId25" Type="http://schemas.openxmlformats.org/officeDocument/2006/relationships/hyperlink" Target="https://drive.google.com/open?id=1hExh2JwuT6TMN4Mg4IBFwmLaqAZa85G0" TargetMode="External"/><Relationship Id="rId28" Type="http://schemas.openxmlformats.org/officeDocument/2006/relationships/hyperlink" Target="https://drive.google.com/open?id=1uY7TeX8m5oAoS51y5th6r-EeTDoPFDvM" TargetMode="External"/><Relationship Id="rId27" Type="http://schemas.openxmlformats.org/officeDocument/2006/relationships/hyperlink" Target="https://drive.google.com/open?id=1_j5e_JX1--W1J-lrq1oLNLFeWOWMawCh" TargetMode="External"/><Relationship Id="rId29" Type="http://schemas.openxmlformats.org/officeDocument/2006/relationships/hyperlink" Target="https://drive.google.com/open?id=1Ve3rgelDyUKPtFnAdnGfSgKUXegGOroA" TargetMode="External"/><Relationship Id="rId11" Type="http://schemas.openxmlformats.org/officeDocument/2006/relationships/hyperlink" Target="https://drive.google.com/open?id=1tJzycF8wTukxcHtvCxx2YjnVGm2tWdib" TargetMode="External"/><Relationship Id="rId10" Type="http://schemas.openxmlformats.org/officeDocument/2006/relationships/hyperlink" Target="https://drive.google.com/open?id=1X4JWLItu9ghafqaLSkURBJcu5eETQID-" TargetMode="External"/><Relationship Id="rId13" Type="http://schemas.openxmlformats.org/officeDocument/2006/relationships/hyperlink" Target="https://drive.google.com/open?id=1nKfebNHsjLdXOG-kfFUb6nUXdGBLIZ90" TargetMode="External"/><Relationship Id="rId12" Type="http://schemas.openxmlformats.org/officeDocument/2006/relationships/hyperlink" Target="https://drive.google.com/open?id=1s9Ebe8xltDlsotZ3crK3wUEUpXtRXJoA" TargetMode="External"/><Relationship Id="rId15" Type="http://schemas.openxmlformats.org/officeDocument/2006/relationships/hyperlink" Target="https://drive.google.com/open?id=1oTJeS8X8zWGi3Pgc67CPklkSSF98dFZT" TargetMode="External"/><Relationship Id="rId14" Type="http://schemas.openxmlformats.org/officeDocument/2006/relationships/hyperlink" Target="https://drive.google.com/open?id=18sG2dhPmRPBY_1avWO-Ok0VgU7YGhMMr" TargetMode="External"/><Relationship Id="rId17" Type="http://schemas.openxmlformats.org/officeDocument/2006/relationships/hyperlink" Target="https://drive.google.com/open?id=1CQbRk21X5nqkp45p_2xoY_EvlMSNqf-n" TargetMode="External"/><Relationship Id="rId16" Type="http://schemas.openxmlformats.org/officeDocument/2006/relationships/hyperlink" Target="https://drive.google.com/open?id=1l5rZmmtfg3Bm95Nn38SAfiFNS5hhXCD7" TargetMode="External"/><Relationship Id="rId19" Type="http://schemas.openxmlformats.org/officeDocument/2006/relationships/hyperlink" Target="https://drive.google.com/open?id=1thgAXDqCeAa3Di76_D8nIFLshDuiWyFK" TargetMode="External"/><Relationship Id="rId18" Type="http://schemas.openxmlformats.org/officeDocument/2006/relationships/hyperlink" Target="https://drive.google.com/open?id=1f5C8dZdGLRKVJM6yCk1O-96zo49IXahL" TargetMode="External"/><Relationship Id="rId1" Type="http://schemas.openxmlformats.org/officeDocument/2006/relationships/hyperlink" Target="https://drive.google.com/open?id=1mwdUPbPaO99_i4UyRy4U0ctnJjbfI1wx" TargetMode="External"/><Relationship Id="rId2" Type="http://schemas.openxmlformats.org/officeDocument/2006/relationships/hyperlink" Target="https://drive.google.com/open?id=1aEn6zynYMtTqU82pZLlLnFjsJXaMolgi" TargetMode="External"/><Relationship Id="rId3" Type="http://schemas.openxmlformats.org/officeDocument/2006/relationships/hyperlink" Target="https://drive.google.com/open?id=1NPmdqGptti8bxHVklA2TrXv8hZmjuwem" TargetMode="External"/><Relationship Id="rId4" Type="http://schemas.openxmlformats.org/officeDocument/2006/relationships/hyperlink" Target="https://drive.google.com/open?id=1o9mG8dwKI62kuFvg2MOMlrGDdbpdXVJF" TargetMode="External"/><Relationship Id="rId9" Type="http://schemas.openxmlformats.org/officeDocument/2006/relationships/hyperlink" Target="https://drive.google.com/open?id=1oTU0HnOhbkuJ3RhdmOb9qEbpezYQDMQw" TargetMode="External"/><Relationship Id="rId5" Type="http://schemas.openxmlformats.org/officeDocument/2006/relationships/hyperlink" Target="https://drive.google.com/open?id=1Pu9p4Keekv2HudOzSUaOo-jsQzRrwfRE" TargetMode="External"/><Relationship Id="rId6" Type="http://schemas.openxmlformats.org/officeDocument/2006/relationships/hyperlink" Target="https://drive.google.com/open?id=1kd5m7bXT60uYqiOWzNXqLonEbtiAAHTf" TargetMode="External"/><Relationship Id="rId7" Type="http://schemas.openxmlformats.org/officeDocument/2006/relationships/hyperlink" Target="https://drive.google.com/open?id=16L9yiJ70gs6N6A6HBB9lxEFI3bmzseJn" TargetMode="External"/><Relationship Id="rId8" Type="http://schemas.openxmlformats.org/officeDocument/2006/relationships/hyperlink" Target="https://drive.google.com/open?id=1QCLWW_VGKxo-Zs6n7Q2hz-awebqEcIGe"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qRsZT9XjUPmj65nV7EWEiTNyeeUYSqZ2" TargetMode="External"/><Relationship Id="rId42" Type="http://schemas.openxmlformats.org/officeDocument/2006/relationships/hyperlink" Target="https://drive.google.com/open?id=1wrF__61hq-wpg3zhkDMrs0OSYRla9JTh" TargetMode="External"/><Relationship Id="rId41" Type="http://schemas.openxmlformats.org/officeDocument/2006/relationships/hyperlink" Target="https://drive.google.com/open?id=1bwx5q9n2bwNAABsvPhSADC1hY7hWzzHG" TargetMode="External"/><Relationship Id="rId44" Type="http://schemas.openxmlformats.org/officeDocument/2006/relationships/hyperlink" Target="https://drive.google.com/open?id=1z0m__2Kf-p6DA6y2VeswitaQCVWSvvAf" TargetMode="External"/><Relationship Id="rId43" Type="http://schemas.openxmlformats.org/officeDocument/2006/relationships/hyperlink" Target="https://drive.google.com/open?id=1PfkJCRRfe6_PizYazTm6-jWa8yEryYt8" TargetMode="External"/><Relationship Id="rId46" Type="http://schemas.openxmlformats.org/officeDocument/2006/relationships/hyperlink" Target="https://drive.google.com/open?id=1g5LOAHxF_ScybXMcwE2e_uMicFRl2JzV" TargetMode="External"/><Relationship Id="rId45" Type="http://schemas.openxmlformats.org/officeDocument/2006/relationships/hyperlink" Target="https://drive.google.com/open?id=1oMT5M4kV0RkssJ0_QzythLc9C0HuyymA" TargetMode="External"/><Relationship Id="rId48" Type="http://schemas.openxmlformats.org/officeDocument/2006/relationships/hyperlink" Target="https://drive.google.com/open?id=1t7sh8VESGNONWELAVzkctbPURibtLjDj" TargetMode="External"/><Relationship Id="rId47" Type="http://schemas.openxmlformats.org/officeDocument/2006/relationships/hyperlink" Target="https://drive.google.com/open?id=1EQsc_fYLaTRd_kbeacLyeEIpYs-q_N7E" TargetMode="External"/><Relationship Id="rId49" Type="http://schemas.openxmlformats.org/officeDocument/2006/relationships/hyperlink" Target="https://drive.google.com/open?id=12BNG6P5xXWi32CK6CXgPf4UawJfUZFmi" TargetMode="External"/><Relationship Id="rId31" Type="http://schemas.openxmlformats.org/officeDocument/2006/relationships/hyperlink" Target="https://drive.google.com/open?id=17BdUijWLObfbTAKpcHr9mXHy1RK5gi2-" TargetMode="External"/><Relationship Id="rId30" Type="http://schemas.openxmlformats.org/officeDocument/2006/relationships/hyperlink" Target="https://drive.google.com/open?id=1C2qKVxFDxPhJY2kHo4pIgoCVLnztIcyb" TargetMode="External"/><Relationship Id="rId33" Type="http://schemas.openxmlformats.org/officeDocument/2006/relationships/hyperlink" Target="https://drive.google.com/open?id=1ayNmTeBQYcJdKiZR6EGzzcRuTQQTE9qU" TargetMode="External"/><Relationship Id="rId32" Type="http://schemas.openxmlformats.org/officeDocument/2006/relationships/hyperlink" Target="https://drive.google.com/open?id=1XJonGXteDH9udDMLlJGeP_HfJwqiofaj" TargetMode="External"/><Relationship Id="rId35" Type="http://schemas.openxmlformats.org/officeDocument/2006/relationships/hyperlink" Target="https://drive.google.com/open?id=1MX9mhWJba8vTZsXTJGPr9vDlJyHZR8hZ" TargetMode="External"/><Relationship Id="rId34" Type="http://schemas.openxmlformats.org/officeDocument/2006/relationships/hyperlink" Target="https://drive.google.com/open?id=1ZD3z5nf0pwc96d1HX7jqSXfk-ERO4_Oe" TargetMode="External"/><Relationship Id="rId37" Type="http://schemas.openxmlformats.org/officeDocument/2006/relationships/hyperlink" Target="https://drive.google.com/open?id=1VJfeqrPpNmHa7SscTL8KCgUhAQiYU0Bx" TargetMode="External"/><Relationship Id="rId36" Type="http://schemas.openxmlformats.org/officeDocument/2006/relationships/hyperlink" Target="https://drive.google.com/open?id=1vGFtlfh3GEMhuu440tPrjxHtpLkTnhSb" TargetMode="External"/><Relationship Id="rId39" Type="http://schemas.openxmlformats.org/officeDocument/2006/relationships/hyperlink" Target="https://drive.google.com/open?id=1VZYGH72dNxSBH5qzEkCmugohgZSlXur0" TargetMode="External"/><Relationship Id="rId38" Type="http://schemas.openxmlformats.org/officeDocument/2006/relationships/hyperlink" Target="https://drive.google.com/open?id=1ajWQ3Z9aqj-RCpDrIAOXZH9HlJ2IIePU" TargetMode="External"/><Relationship Id="rId20" Type="http://schemas.openxmlformats.org/officeDocument/2006/relationships/hyperlink" Target="https://drive.google.com/open?id=1-d9UM3yHrHbdgzbXE3mwQ3JHXULrUIMX" TargetMode="External"/><Relationship Id="rId22" Type="http://schemas.openxmlformats.org/officeDocument/2006/relationships/hyperlink" Target="https://drive.google.com/open?id=13To9-uDGcU_enaXCXy7MM_U0asbIeV6H" TargetMode="External"/><Relationship Id="rId21" Type="http://schemas.openxmlformats.org/officeDocument/2006/relationships/hyperlink" Target="https://drive.google.com/open?id=18qTxgoPcgHKpjZUqm_zKFQRr7h56xlqj" TargetMode="External"/><Relationship Id="rId24" Type="http://schemas.openxmlformats.org/officeDocument/2006/relationships/hyperlink" Target="https://drive.google.com/open?id=1OCIzAgg3HrveRAvtpQ02ud9VHzxivlLu" TargetMode="External"/><Relationship Id="rId23" Type="http://schemas.openxmlformats.org/officeDocument/2006/relationships/hyperlink" Target="https://drive.google.com/open?id=1-A24FxicSu6TlZgRzkvmjZ-h3EaKAQRB" TargetMode="External"/><Relationship Id="rId26" Type="http://schemas.openxmlformats.org/officeDocument/2006/relationships/hyperlink" Target="https://drive.google.com/open?id=16sG-VxDCwhU-_Qbejm3nJtZOo1f2_uO5" TargetMode="External"/><Relationship Id="rId25" Type="http://schemas.openxmlformats.org/officeDocument/2006/relationships/hyperlink" Target="https://drive.google.com/open?id=1hlJleNe4yhMsVtNy3uaRgEhaNrJjYvnE" TargetMode="External"/><Relationship Id="rId28" Type="http://schemas.openxmlformats.org/officeDocument/2006/relationships/hyperlink" Target="https://drive.google.com/open?id=1dcUHRKQlHNXEiuCu8H4WDFnT5PQ9u3Cv" TargetMode="External"/><Relationship Id="rId27" Type="http://schemas.openxmlformats.org/officeDocument/2006/relationships/hyperlink" Target="https://drive.google.com/open?id=14_7dNgH2jKaUTkEsmAia11nMGYHPwMPK" TargetMode="External"/><Relationship Id="rId29" Type="http://schemas.openxmlformats.org/officeDocument/2006/relationships/hyperlink" Target="https://drive.google.com/open?id=15o0a3fzy5LjwThrVuwlxE9rBOP_qlfuK" TargetMode="External"/><Relationship Id="rId11" Type="http://schemas.openxmlformats.org/officeDocument/2006/relationships/hyperlink" Target="https://drive.google.com/open?id=1jg--PfomRC8U5u4fxaR52oQRHrvm3LhQ" TargetMode="External"/><Relationship Id="rId10" Type="http://schemas.openxmlformats.org/officeDocument/2006/relationships/hyperlink" Target="https://drive.google.com/open?id=1idiuvmOFbXcY0TIpPj8RQpAiwxjxYWvp" TargetMode="External"/><Relationship Id="rId13" Type="http://schemas.openxmlformats.org/officeDocument/2006/relationships/hyperlink" Target="https://drive.google.com/open?id=1LhzzXJs-UnohE681HgwaOAw45n28JXz3" TargetMode="External"/><Relationship Id="rId12" Type="http://schemas.openxmlformats.org/officeDocument/2006/relationships/hyperlink" Target="https://drive.google.com/open?id=15DqgMzqxVTeyVlE8ii224-5hgM0RqaHD" TargetMode="External"/><Relationship Id="rId15" Type="http://schemas.openxmlformats.org/officeDocument/2006/relationships/hyperlink" Target="https://drive.google.com/open?id=14IGg4zMswkm243qLG6lAuHvHj7PTfs92" TargetMode="External"/><Relationship Id="rId14" Type="http://schemas.openxmlformats.org/officeDocument/2006/relationships/hyperlink" Target="https://drive.google.com/open?id=1UZx222ibsk9zHzcsDK6VCCTTZCDJYoi0" TargetMode="External"/><Relationship Id="rId17" Type="http://schemas.openxmlformats.org/officeDocument/2006/relationships/hyperlink" Target="https://drive.google.com/open?id=1XKI2Baf5gNkEr1iZrUKPaRUYFstDA3Qt" TargetMode="External"/><Relationship Id="rId16" Type="http://schemas.openxmlformats.org/officeDocument/2006/relationships/hyperlink" Target="https://drive.google.com/open?id=15U1aWPkjU2mlNHMOjUQn8KDcDguBn5cq" TargetMode="External"/><Relationship Id="rId19" Type="http://schemas.openxmlformats.org/officeDocument/2006/relationships/hyperlink" Target="https://drive.google.com/open?id=1iMoknamzIQ9diAvGFUIaGMMJery5lbRU" TargetMode="External"/><Relationship Id="rId18" Type="http://schemas.openxmlformats.org/officeDocument/2006/relationships/hyperlink" Target="https://drive.google.com/open?id=1IBGikWQEp1XJ6egww1BRi--KEzxk-557" TargetMode="External"/><Relationship Id="rId1" Type="http://schemas.openxmlformats.org/officeDocument/2006/relationships/hyperlink" Target="https://drive.google.com/open?id=14Mpb3mx408Fe669jtBDA3eVsM3JQv8Ei" TargetMode="External"/><Relationship Id="rId2" Type="http://schemas.openxmlformats.org/officeDocument/2006/relationships/hyperlink" Target="https://drive.google.com/open?id=1ZXw5JDk3nfR9UiFRHkn90J-K9uCKlxRP" TargetMode="External"/><Relationship Id="rId3" Type="http://schemas.openxmlformats.org/officeDocument/2006/relationships/hyperlink" Target="https://drive.google.com/open?id=1HVrHS_D5ahC18Hz1pfvs1DxJc9iE3i90" TargetMode="External"/><Relationship Id="rId4" Type="http://schemas.openxmlformats.org/officeDocument/2006/relationships/hyperlink" Target="https://drive.google.com/open?id=1sVVHIaGT7Z-sRVXgXVs4t5l8lNrSP3Pe" TargetMode="External"/><Relationship Id="rId9" Type="http://schemas.openxmlformats.org/officeDocument/2006/relationships/hyperlink" Target="https://drive.google.com/open?id=1PrxEnyumEcEKeHNEIieeKLWD7GBxKFFZ" TargetMode="External"/><Relationship Id="rId5" Type="http://schemas.openxmlformats.org/officeDocument/2006/relationships/hyperlink" Target="https://drive.google.com/open?id=14ns53xW0g5r7rsAieCJaIPrfcLHXNG38" TargetMode="External"/><Relationship Id="rId6" Type="http://schemas.openxmlformats.org/officeDocument/2006/relationships/hyperlink" Target="https://drive.google.com/open?id=1gI65Z8yykq8K_GRtHkP7n8FulaboQPE-" TargetMode="External"/><Relationship Id="rId7" Type="http://schemas.openxmlformats.org/officeDocument/2006/relationships/hyperlink" Target="https://drive.google.com/open?id=1q7vxH_QYaEU34MHppSGzd3NaWZVy8P2T" TargetMode="External"/><Relationship Id="rId8" Type="http://schemas.openxmlformats.org/officeDocument/2006/relationships/hyperlink" Target="https://drive.google.com/open?id=1X-UOXjb8Wn9jTSc3KAMcoMLGo_4sEAiO" TargetMode="External"/><Relationship Id="rId73" Type="http://schemas.openxmlformats.org/officeDocument/2006/relationships/hyperlink" Target="https://drive.google.com/open?id=1NCOOa_8VmPy1X5FhFx0U4oSo3SKqIgY8" TargetMode="External"/><Relationship Id="rId72" Type="http://schemas.openxmlformats.org/officeDocument/2006/relationships/hyperlink" Target="https://drive.google.com/open?id=1Tt51dZ7qtQV2avZFs44rQOLmeiBAiqLl" TargetMode="External"/><Relationship Id="rId75" Type="http://schemas.openxmlformats.org/officeDocument/2006/relationships/drawing" Target="../drawings/drawing6.xml"/><Relationship Id="rId74" Type="http://schemas.openxmlformats.org/officeDocument/2006/relationships/hyperlink" Target="https://drive.google.com/open?id=17i92BzKwyN2k5VhycQ5DI3h-7HMpDCX2" TargetMode="External"/><Relationship Id="rId77" Type="http://schemas.openxmlformats.org/officeDocument/2006/relationships/table" Target="../tables/table5.xml"/><Relationship Id="rId71" Type="http://schemas.openxmlformats.org/officeDocument/2006/relationships/hyperlink" Target="https://drive.google.com/open?id=1YRRwubDBrdrwOYwpaBVXTz6uwcv90LO-" TargetMode="External"/><Relationship Id="rId70" Type="http://schemas.openxmlformats.org/officeDocument/2006/relationships/hyperlink" Target="https://drive.google.com/open?id=1r05u7kaR07v-0XzX50YXDcEiRVbJywIM" TargetMode="External"/><Relationship Id="rId62" Type="http://schemas.openxmlformats.org/officeDocument/2006/relationships/hyperlink" Target="https://drive.google.com/open?id=1sN-R1iU5tJvTKcjxNc8GxGMrBfPDcM1S" TargetMode="External"/><Relationship Id="rId61" Type="http://schemas.openxmlformats.org/officeDocument/2006/relationships/hyperlink" Target="https://drive.google.com/open?id=12mVENRztApFqkfMj-N-EbI99DcOAnjQI" TargetMode="External"/><Relationship Id="rId64" Type="http://schemas.openxmlformats.org/officeDocument/2006/relationships/hyperlink" Target="https://drive.google.com/open?id=1tb-MIGQ5GOylf6dZBWRVO2WA8GCWKCDi" TargetMode="External"/><Relationship Id="rId63" Type="http://schemas.openxmlformats.org/officeDocument/2006/relationships/hyperlink" Target="https://drive.google.com/open?id=1bo6OujeREw0L8EjGlISNIBR_OR-ZWkZg" TargetMode="External"/><Relationship Id="rId66" Type="http://schemas.openxmlformats.org/officeDocument/2006/relationships/hyperlink" Target="https://drive.google.com/open?id=1t8EZibcMxmHBFmMnZsEeQLKarEkZlhfi" TargetMode="External"/><Relationship Id="rId65" Type="http://schemas.openxmlformats.org/officeDocument/2006/relationships/hyperlink" Target="https://drive.google.com/open?id=1LwqSTi2fSQe0ScwNC2r5BtXOsq_ISJ1o" TargetMode="External"/><Relationship Id="rId68" Type="http://schemas.openxmlformats.org/officeDocument/2006/relationships/hyperlink" Target="https://drive.google.com/open?id=1jY1Pfr68oNoCTqmnwGvgYXorqJPrNTfD" TargetMode="External"/><Relationship Id="rId67" Type="http://schemas.openxmlformats.org/officeDocument/2006/relationships/hyperlink" Target="https://drive.google.com/open?id=1jTIq7YFhMjFF20qzi_laHszNnwT09IJ5" TargetMode="External"/><Relationship Id="rId60" Type="http://schemas.openxmlformats.org/officeDocument/2006/relationships/hyperlink" Target="https://drive.google.com/open?id=1kV_ewUUdJaWU4DsSMykLEI-oa4NRfwnQ" TargetMode="External"/><Relationship Id="rId69" Type="http://schemas.openxmlformats.org/officeDocument/2006/relationships/hyperlink" Target="https://drive.google.com/open?id=1yx_mTJmpBlS7Ehjr2FkvxGn7j9Nj2wg3" TargetMode="External"/><Relationship Id="rId51" Type="http://schemas.openxmlformats.org/officeDocument/2006/relationships/hyperlink" Target="https://drive.google.com/open?id=1ndP96MZXOCBl_KkpL18Kdf8jW7Rmw5yY" TargetMode="External"/><Relationship Id="rId50" Type="http://schemas.openxmlformats.org/officeDocument/2006/relationships/hyperlink" Target="https://drive.google.com/open?id=1YVDOVy1dIyuZ3_6xtT8zIma4Kr9-z6Ab" TargetMode="External"/><Relationship Id="rId53" Type="http://schemas.openxmlformats.org/officeDocument/2006/relationships/hyperlink" Target="https://drive.google.com/open?id=1ff7w9oWM0zZamED4L5zGFL1ShxRfELVm" TargetMode="External"/><Relationship Id="rId52" Type="http://schemas.openxmlformats.org/officeDocument/2006/relationships/hyperlink" Target="https://drive.google.com/open?id=1Nw6P4AOw8_4vSJ2OdAQZZ2qgMF3T045K" TargetMode="External"/><Relationship Id="rId55" Type="http://schemas.openxmlformats.org/officeDocument/2006/relationships/hyperlink" Target="https://drive.google.com/open?id=18VpKBK02odLSuP_Vz9lZWXzo-g8-Ho2p" TargetMode="External"/><Relationship Id="rId54" Type="http://schemas.openxmlformats.org/officeDocument/2006/relationships/hyperlink" Target="https://drive.google.com/open?id=15g0VUuS3eWOtYa4xYiE-49HMFJkGPJ_H" TargetMode="External"/><Relationship Id="rId57" Type="http://schemas.openxmlformats.org/officeDocument/2006/relationships/hyperlink" Target="https://drive.google.com/open?id=1in8EqddpfEgt0T8H8C9u4-s47ybeLQym" TargetMode="External"/><Relationship Id="rId56" Type="http://schemas.openxmlformats.org/officeDocument/2006/relationships/hyperlink" Target="https://drive.google.com/open?id=15YmVzTzAigXyrk6ABa9nTOXGTUBg4ydd" TargetMode="External"/><Relationship Id="rId59" Type="http://schemas.openxmlformats.org/officeDocument/2006/relationships/hyperlink" Target="https://drive.google.com/open?id=15VzPSTgmPpWXI6z2gRrbuOfp-S0xeTX8" TargetMode="External"/><Relationship Id="rId58" Type="http://schemas.openxmlformats.org/officeDocument/2006/relationships/hyperlink" Target="https://drive.google.com/open?id=1PfFNHgJaZ24VQtrXvxJkCNPtDZdprTPV"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open?id=1gqmOrHyFZXcDOqIR7maxpa8fwYcVR7Uh" TargetMode="External"/><Relationship Id="rId10" Type="http://schemas.openxmlformats.org/officeDocument/2006/relationships/hyperlink" Target="https://drive.google.com/open?id=16h2scTZqNLLt3RgCz7rwNOyIhgmbsPB4" TargetMode="External"/><Relationship Id="rId13" Type="http://schemas.openxmlformats.org/officeDocument/2006/relationships/hyperlink" Target="https://drive.google.com/open?id=152MAZpjZvThK43BIDbogZ9khRdPP5tJ0" TargetMode="External"/><Relationship Id="rId12" Type="http://schemas.openxmlformats.org/officeDocument/2006/relationships/hyperlink" Target="https://drive.google.com/open?id=1Yqm9uF_uYQXIlcX04aA_qY57iVI5TGhG" TargetMode="External"/><Relationship Id="rId15" Type="http://schemas.openxmlformats.org/officeDocument/2006/relationships/hyperlink" Target="https://drive.google.com/open?id=1r_tAll3oKhxHO6BWB4Hy0FpJ9xy06lPP" TargetMode="External"/><Relationship Id="rId14" Type="http://schemas.openxmlformats.org/officeDocument/2006/relationships/hyperlink" Target="https://drive.google.com/open?id=1O7FYjFhVrWKHFRQ9RAu1l5ijTF1IDO4C" TargetMode="External"/><Relationship Id="rId17" Type="http://schemas.openxmlformats.org/officeDocument/2006/relationships/drawing" Target="../drawings/drawing7.xml"/><Relationship Id="rId16" Type="http://schemas.openxmlformats.org/officeDocument/2006/relationships/hyperlink" Target="https://drive.google.com/open?id=1GHxARDGpeigN3bmOaGRUMWlmc6f6V254" TargetMode="External"/><Relationship Id="rId19" Type="http://schemas.openxmlformats.org/officeDocument/2006/relationships/table" Target="../tables/table6.xml"/><Relationship Id="rId1" Type="http://schemas.openxmlformats.org/officeDocument/2006/relationships/hyperlink" Target="https://drive.google.com/open?id=19Ufj63siWdyY2o1IyYqcc7TOHpr4iSYv" TargetMode="External"/><Relationship Id="rId2" Type="http://schemas.openxmlformats.org/officeDocument/2006/relationships/hyperlink" Target="https://drive.google.com/open?id=1F5T_c4pLztvxFFHJnUrj7TdNSkk4EBJR" TargetMode="External"/><Relationship Id="rId3" Type="http://schemas.openxmlformats.org/officeDocument/2006/relationships/hyperlink" Target="https://drive.google.com/open?id=1L82KSdSw_1SggAEgnc1cgro2NE9Xl-LU" TargetMode="External"/><Relationship Id="rId4" Type="http://schemas.openxmlformats.org/officeDocument/2006/relationships/hyperlink" Target="https://drive.google.com/open?id=1vuQ6wwR_TNgQ1A7JnFzO74PzrtCIMD2-" TargetMode="External"/><Relationship Id="rId9" Type="http://schemas.openxmlformats.org/officeDocument/2006/relationships/hyperlink" Target="https://drive.google.com/open?id=1X5yvInn0LKKltmkmiQUxZtNUQus4M7YM" TargetMode="External"/><Relationship Id="rId5" Type="http://schemas.openxmlformats.org/officeDocument/2006/relationships/hyperlink" Target="https://drive.google.com/open?id=1q4jtwLfwgagaoHjx9Vk-4Au0Nn89GlKY" TargetMode="External"/><Relationship Id="rId6" Type="http://schemas.openxmlformats.org/officeDocument/2006/relationships/hyperlink" Target="https://drive.google.com/open?id=1uYaBUS1pDb8zNs1myLB9Wfa06w9aEjeg" TargetMode="External"/><Relationship Id="rId7" Type="http://schemas.openxmlformats.org/officeDocument/2006/relationships/hyperlink" Target="https://drive.google.com/open?id=1_v9ipshqTAJe0fl6j8fWr8d3eAG2WLHH" TargetMode="External"/><Relationship Id="rId8" Type="http://schemas.openxmlformats.org/officeDocument/2006/relationships/hyperlink" Target="https://drive.google.com/open?id=1xJj6JguZYYZ-Ag7mDWJOZAl5rU7PX0Q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6" width="18.88"/>
  </cols>
  <sheetData>
    <row r="1" ht="22.5" customHeight="1">
      <c r="A1" s="12" t="s">
        <v>12</v>
      </c>
      <c r="B1" s="12" t="s">
        <v>13</v>
      </c>
      <c r="C1" s="13" t="s">
        <v>14</v>
      </c>
      <c r="D1" s="13" t="s">
        <v>15</v>
      </c>
      <c r="E1" s="12" t="s">
        <v>16</v>
      </c>
      <c r="F1" s="13" t="s">
        <v>17</v>
      </c>
      <c r="G1" s="13" t="s">
        <v>18</v>
      </c>
      <c r="H1" s="13" t="s">
        <v>19</v>
      </c>
      <c r="I1" s="13" t="s">
        <v>20</v>
      </c>
      <c r="J1" s="13" t="s">
        <v>21</v>
      </c>
      <c r="K1" s="13" t="s">
        <v>22</v>
      </c>
      <c r="L1" s="13" t="s">
        <v>23</v>
      </c>
      <c r="M1" s="13" t="s">
        <v>24</v>
      </c>
      <c r="N1" s="13" t="s">
        <v>25</v>
      </c>
      <c r="O1" s="13" t="s">
        <v>26</v>
      </c>
      <c r="P1" s="13" t="s">
        <v>27</v>
      </c>
      <c r="Q1" s="13" t="s">
        <v>28</v>
      </c>
      <c r="R1" s="13" t="s">
        <v>29</v>
      </c>
      <c r="S1" s="12" t="s">
        <v>32</v>
      </c>
      <c r="T1" s="12" t="s">
        <v>34</v>
      </c>
      <c r="U1" s="12" t="s">
        <v>36</v>
      </c>
      <c r="V1" s="13" t="s">
        <v>35</v>
      </c>
      <c r="W1" s="13" t="s">
        <v>37</v>
      </c>
      <c r="X1" s="13" t="s">
        <v>39</v>
      </c>
      <c r="Y1" s="13" t="s">
        <v>41</v>
      </c>
      <c r="Z1" s="13" t="s">
        <v>42</v>
      </c>
      <c r="AA1" s="13" t="s">
        <v>44</v>
      </c>
      <c r="AB1" s="13" t="s">
        <v>45</v>
      </c>
      <c r="AC1" s="13" t="s">
        <v>46</v>
      </c>
      <c r="AD1" s="12" t="s">
        <v>47</v>
      </c>
      <c r="AE1" s="12" t="s">
        <v>48</v>
      </c>
    </row>
    <row r="2" ht="22.5" customHeight="1">
      <c r="A2" s="14">
        <v>46258.7576296412</v>
      </c>
      <c r="B2" s="15" t="s">
        <v>49</v>
      </c>
      <c r="C2" s="15" t="s">
        <v>50</v>
      </c>
      <c r="D2" s="15">
        <v>2.0230317E7</v>
      </c>
      <c r="E2" s="15" t="s">
        <v>4</v>
      </c>
      <c r="F2" s="15">
        <v>8.547621028E9</v>
      </c>
      <c r="G2" s="15" t="s">
        <v>51</v>
      </c>
      <c r="H2" s="15" t="s">
        <v>52</v>
      </c>
      <c r="I2" s="16"/>
      <c r="J2" s="16"/>
      <c r="K2" s="15" t="s">
        <v>53</v>
      </c>
      <c r="L2" s="17" t="s">
        <v>54</v>
      </c>
      <c r="M2" s="17" t="s">
        <v>55</v>
      </c>
      <c r="N2" s="15" t="s">
        <v>56</v>
      </c>
      <c r="O2" s="15" t="s">
        <v>57</v>
      </c>
      <c r="P2" s="15" t="s">
        <v>58</v>
      </c>
      <c r="Q2" s="15">
        <v>8.078178289E9</v>
      </c>
      <c r="R2" s="15" t="s">
        <v>59</v>
      </c>
      <c r="S2" s="15" t="s">
        <v>60</v>
      </c>
      <c r="T2" s="15" t="s">
        <v>58</v>
      </c>
      <c r="U2" s="15">
        <v>9.497639529E9</v>
      </c>
      <c r="V2" s="15">
        <v>2.0</v>
      </c>
      <c r="W2" s="15" t="s">
        <v>61</v>
      </c>
      <c r="X2" s="15" t="s">
        <v>62</v>
      </c>
      <c r="Y2" s="15" t="s">
        <v>63</v>
      </c>
      <c r="Z2" s="15" t="s">
        <v>64</v>
      </c>
      <c r="AA2" s="15" t="s">
        <v>65</v>
      </c>
      <c r="AB2" s="15" t="s">
        <v>65</v>
      </c>
      <c r="AC2" s="15" t="s">
        <v>65</v>
      </c>
      <c r="AD2" s="15" t="s">
        <v>66</v>
      </c>
      <c r="AE2" s="15">
        <v>0.0</v>
      </c>
    </row>
    <row r="3" ht="22.5" customHeight="1">
      <c r="A3" s="18">
        <v>46258.78752990741</v>
      </c>
      <c r="B3" s="19" t="s">
        <v>67</v>
      </c>
      <c r="C3" s="19" t="s">
        <v>68</v>
      </c>
      <c r="D3" s="19">
        <v>2023032.0</v>
      </c>
      <c r="E3" s="19" t="s">
        <v>4</v>
      </c>
      <c r="F3" s="19">
        <v>9.051909471E9</v>
      </c>
      <c r="G3" s="19" t="s">
        <v>67</v>
      </c>
      <c r="H3" s="19" t="s">
        <v>52</v>
      </c>
      <c r="I3" s="19" t="s">
        <v>69</v>
      </c>
      <c r="J3" s="19" t="s">
        <v>70</v>
      </c>
      <c r="K3" s="19" t="s">
        <v>71</v>
      </c>
      <c r="L3" s="20" t="s">
        <v>72</v>
      </c>
      <c r="M3" s="20" t="s">
        <v>73</v>
      </c>
      <c r="N3" s="19" t="s">
        <v>74</v>
      </c>
      <c r="O3" s="19" t="s">
        <v>75</v>
      </c>
      <c r="P3" s="19" t="s">
        <v>76</v>
      </c>
      <c r="Q3" s="19">
        <v>9.830298198E9</v>
      </c>
      <c r="R3" s="19" t="s">
        <v>77</v>
      </c>
      <c r="S3" s="19" t="s">
        <v>78</v>
      </c>
      <c r="T3" s="19" t="s">
        <v>76</v>
      </c>
      <c r="U3" s="19">
        <v>9.830108655E9</v>
      </c>
      <c r="V3" s="19">
        <v>2.0</v>
      </c>
      <c r="W3" s="19" t="s">
        <v>74</v>
      </c>
      <c r="X3" s="19" t="s">
        <v>79</v>
      </c>
      <c r="Y3" s="19" t="s">
        <v>77</v>
      </c>
      <c r="Z3" s="19" t="s">
        <v>80</v>
      </c>
      <c r="AA3" s="19" t="s">
        <v>65</v>
      </c>
      <c r="AB3" s="19" t="s">
        <v>65</v>
      </c>
      <c r="AC3" s="19" t="s">
        <v>65</v>
      </c>
      <c r="AD3" s="19" t="s">
        <v>66</v>
      </c>
      <c r="AE3" s="19">
        <v>0.0</v>
      </c>
    </row>
    <row r="4" ht="22.5" customHeight="1">
      <c r="A4" s="18">
        <v>46258.78965519676</v>
      </c>
      <c r="B4" s="19" t="s">
        <v>81</v>
      </c>
      <c r="C4" s="19" t="s">
        <v>82</v>
      </c>
      <c r="D4" s="19">
        <v>2.02001142E8</v>
      </c>
      <c r="E4" s="19" t="s">
        <v>3</v>
      </c>
      <c r="F4" s="19">
        <v>9.199180555E9</v>
      </c>
      <c r="G4" s="19" t="s">
        <v>81</v>
      </c>
      <c r="H4" s="19" t="s">
        <v>52</v>
      </c>
      <c r="I4" s="19" t="s">
        <v>83</v>
      </c>
      <c r="K4" s="19" t="s">
        <v>84</v>
      </c>
      <c r="L4" s="20" t="s">
        <v>85</v>
      </c>
      <c r="M4" s="20" t="s">
        <v>86</v>
      </c>
      <c r="N4" s="19" t="s">
        <v>87</v>
      </c>
      <c r="O4" s="19" t="s">
        <v>88</v>
      </c>
      <c r="P4" s="19" t="s">
        <v>84</v>
      </c>
      <c r="Q4" s="19">
        <v>9.93480208E9</v>
      </c>
      <c r="R4" s="19" t="s">
        <v>89</v>
      </c>
      <c r="S4" s="19" t="s">
        <v>90</v>
      </c>
      <c r="T4" s="19" t="s">
        <v>84</v>
      </c>
      <c r="U4" s="19">
        <v>7.857869034E9</v>
      </c>
      <c r="V4" s="19">
        <v>2.0</v>
      </c>
      <c r="W4" s="19" t="s">
        <v>87</v>
      </c>
      <c r="X4" s="19" t="s">
        <v>91</v>
      </c>
      <c r="Y4" s="19" t="s">
        <v>92</v>
      </c>
      <c r="Z4" s="19" t="s">
        <v>93</v>
      </c>
      <c r="AA4" s="19" t="s">
        <v>94</v>
      </c>
      <c r="AB4" s="19" t="s">
        <v>94</v>
      </c>
      <c r="AC4" s="19" t="s">
        <v>94</v>
      </c>
      <c r="AD4" s="19" t="s">
        <v>66</v>
      </c>
      <c r="AE4" s="19">
        <v>0.0</v>
      </c>
    </row>
    <row r="5" ht="22.5" customHeight="1">
      <c r="A5" s="18">
        <v>46258.79097945602</v>
      </c>
      <c r="B5" s="19" t="s">
        <v>95</v>
      </c>
      <c r="C5" s="19" t="s">
        <v>96</v>
      </c>
      <c r="D5" s="19">
        <v>2.0200161E7</v>
      </c>
      <c r="E5" s="19" t="s">
        <v>3</v>
      </c>
      <c r="F5" s="19">
        <v>8.63735731E9</v>
      </c>
      <c r="G5" s="19" t="s">
        <v>95</v>
      </c>
      <c r="H5" s="19" t="s">
        <v>52</v>
      </c>
      <c r="I5" s="19" t="s">
        <v>97</v>
      </c>
      <c r="J5" s="19" t="s">
        <v>98</v>
      </c>
      <c r="K5" s="19" t="s">
        <v>99</v>
      </c>
      <c r="L5" s="20" t="s">
        <v>100</v>
      </c>
      <c r="M5" s="20" t="s">
        <v>101</v>
      </c>
      <c r="N5" s="19" t="s">
        <v>102</v>
      </c>
      <c r="O5" s="19" t="s">
        <v>103</v>
      </c>
      <c r="P5" s="19" t="s">
        <v>104</v>
      </c>
      <c r="Q5" s="19">
        <v>9.852206837E9</v>
      </c>
      <c r="R5" s="19" t="s">
        <v>105</v>
      </c>
      <c r="S5" s="19" t="s">
        <v>106</v>
      </c>
      <c r="T5" s="19" t="s">
        <v>107</v>
      </c>
      <c r="U5" s="19">
        <v>9.431815713E9</v>
      </c>
      <c r="V5" s="19">
        <v>2.0</v>
      </c>
      <c r="W5" s="19" t="s">
        <v>102</v>
      </c>
      <c r="X5" s="19" t="s">
        <v>91</v>
      </c>
      <c r="Y5" s="19" t="s">
        <v>105</v>
      </c>
      <c r="Z5" s="19" t="s">
        <v>93</v>
      </c>
      <c r="AA5" s="19" t="s">
        <v>65</v>
      </c>
      <c r="AB5" s="19" t="s">
        <v>65</v>
      </c>
      <c r="AC5" s="19" t="s">
        <v>65</v>
      </c>
      <c r="AD5" s="19" t="s">
        <v>10</v>
      </c>
      <c r="AE5" s="19">
        <v>3.0</v>
      </c>
    </row>
    <row r="6" ht="22.5" customHeight="1">
      <c r="A6" s="18">
        <v>46258.79251377315</v>
      </c>
      <c r="B6" s="19" t="s">
        <v>108</v>
      </c>
      <c r="C6" s="19" t="s">
        <v>109</v>
      </c>
      <c r="D6" s="19">
        <v>2.0210256E7</v>
      </c>
      <c r="E6" s="19" t="s">
        <v>5</v>
      </c>
      <c r="F6" s="19">
        <v>9.735901944E9</v>
      </c>
      <c r="G6" s="19" t="s">
        <v>108</v>
      </c>
      <c r="H6" s="19" t="s">
        <v>52</v>
      </c>
      <c r="I6" s="19" t="s">
        <v>110</v>
      </c>
      <c r="J6" s="19" t="s">
        <v>111</v>
      </c>
      <c r="K6" s="19" t="s">
        <v>112</v>
      </c>
      <c r="L6" s="20" t="s">
        <v>113</v>
      </c>
      <c r="M6" s="20" t="s">
        <v>114</v>
      </c>
      <c r="N6" s="19" t="s">
        <v>115</v>
      </c>
      <c r="O6" s="19" t="s">
        <v>116</v>
      </c>
      <c r="P6" s="19" t="s">
        <v>112</v>
      </c>
      <c r="Q6" s="19">
        <v>9.477330097E9</v>
      </c>
      <c r="R6" s="19" t="s">
        <v>117</v>
      </c>
      <c r="S6" s="19" t="s">
        <v>118</v>
      </c>
      <c r="T6" s="19" t="s">
        <v>119</v>
      </c>
      <c r="U6" s="19">
        <v>9.77552981E9</v>
      </c>
      <c r="V6" s="19">
        <v>2.0</v>
      </c>
      <c r="W6" s="19" t="s">
        <v>117</v>
      </c>
      <c r="X6" s="19" t="s">
        <v>93</v>
      </c>
      <c r="Y6" s="19" t="s">
        <v>115</v>
      </c>
      <c r="Z6" s="19" t="s">
        <v>91</v>
      </c>
      <c r="AA6" s="19" t="s">
        <v>65</v>
      </c>
      <c r="AB6" s="19" t="s">
        <v>65</v>
      </c>
      <c r="AC6" s="19" t="s">
        <v>65</v>
      </c>
      <c r="AD6" s="19" t="s">
        <v>66</v>
      </c>
      <c r="AE6" s="19">
        <v>0.0</v>
      </c>
    </row>
    <row r="7" ht="22.5" customHeight="1">
      <c r="A7" s="18">
        <v>46258.79589826389</v>
      </c>
      <c r="B7" s="19" t="s">
        <v>120</v>
      </c>
      <c r="C7" s="19" t="s">
        <v>121</v>
      </c>
      <c r="D7" s="19">
        <v>2.02001133E8</v>
      </c>
      <c r="E7" s="19" t="s">
        <v>3</v>
      </c>
      <c r="F7" s="19">
        <v>7.205409551E9</v>
      </c>
      <c r="G7" s="19" t="s">
        <v>120</v>
      </c>
      <c r="H7" s="19" t="s">
        <v>52</v>
      </c>
      <c r="I7" s="19" t="s">
        <v>122</v>
      </c>
      <c r="J7" s="19" t="s">
        <v>123</v>
      </c>
      <c r="K7" s="19" t="s">
        <v>124</v>
      </c>
      <c r="L7" s="20" t="s">
        <v>125</v>
      </c>
      <c r="M7" s="20" t="s">
        <v>126</v>
      </c>
      <c r="N7" s="19" t="s">
        <v>127</v>
      </c>
      <c r="O7" s="19" t="s">
        <v>128</v>
      </c>
      <c r="P7" s="19" t="s">
        <v>124</v>
      </c>
      <c r="Q7" s="19">
        <v>9.438602542E9</v>
      </c>
      <c r="R7" s="19" t="s">
        <v>129</v>
      </c>
      <c r="S7" s="19" t="s">
        <v>130</v>
      </c>
      <c r="T7" s="19" t="s">
        <v>124</v>
      </c>
      <c r="U7" s="19">
        <v>9.692630419E9</v>
      </c>
      <c r="V7" s="19">
        <v>2.0</v>
      </c>
      <c r="W7" s="19" t="s">
        <v>131</v>
      </c>
      <c r="X7" s="19" t="s">
        <v>91</v>
      </c>
      <c r="Y7" s="19" t="s">
        <v>132</v>
      </c>
      <c r="Z7" s="19" t="s">
        <v>133</v>
      </c>
      <c r="AA7" s="19" t="s">
        <v>65</v>
      </c>
      <c r="AB7" s="19" t="s">
        <v>65</v>
      </c>
      <c r="AC7" s="19" t="s">
        <v>65</v>
      </c>
      <c r="AD7" s="19" t="s">
        <v>10</v>
      </c>
      <c r="AE7" s="19">
        <v>3.0</v>
      </c>
    </row>
    <row r="8" ht="22.5" customHeight="1">
      <c r="A8" s="18">
        <v>46258.80148621528</v>
      </c>
      <c r="B8" s="19" t="s">
        <v>134</v>
      </c>
      <c r="C8" s="19" t="s">
        <v>135</v>
      </c>
      <c r="D8" s="19" t="s">
        <v>136</v>
      </c>
      <c r="E8" s="19" t="s">
        <v>3</v>
      </c>
      <c r="F8" s="19">
        <v>8.328165594E9</v>
      </c>
      <c r="G8" s="19" t="s">
        <v>134</v>
      </c>
      <c r="H8" s="19" t="s">
        <v>52</v>
      </c>
      <c r="K8" s="19" t="s">
        <v>137</v>
      </c>
      <c r="L8" s="20" t="s">
        <v>138</v>
      </c>
      <c r="M8" s="20" t="s">
        <v>139</v>
      </c>
      <c r="N8" s="19" t="s">
        <v>140</v>
      </c>
      <c r="O8" s="19" t="s">
        <v>141</v>
      </c>
      <c r="P8" s="19" t="s">
        <v>142</v>
      </c>
      <c r="Q8" s="19">
        <v>9.441666885E9</v>
      </c>
      <c r="R8" s="19" t="s">
        <v>143</v>
      </c>
      <c r="S8" s="19" t="s">
        <v>144</v>
      </c>
      <c r="T8" s="19" t="s">
        <v>142</v>
      </c>
      <c r="U8" s="19">
        <v>9.246348343E9</v>
      </c>
      <c r="V8" s="19">
        <v>2.0</v>
      </c>
      <c r="W8" s="19" t="s">
        <v>140</v>
      </c>
      <c r="X8" s="19" t="s">
        <v>145</v>
      </c>
      <c r="Y8" s="19" t="s">
        <v>143</v>
      </c>
      <c r="Z8" s="19" t="s">
        <v>93</v>
      </c>
      <c r="AA8" s="19" t="s">
        <v>65</v>
      </c>
      <c r="AB8" s="19" t="s">
        <v>65</v>
      </c>
      <c r="AC8" s="19" t="s">
        <v>65</v>
      </c>
      <c r="AD8" s="19" t="s">
        <v>66</v>
      </c>
    </row>
    <row r="9" ht="22.5" customHeight="1">
      <c r="A9" s="18">
        <v>46258.80540452546</v>
      </c>
      <c r="B9" s="19" t="s">
        <v>146</v>
      </c>
      <c r="C9" s="19" t="s">
        <v>147</v>
      </c>
      <c r="D9" s="19">
        <v>2.0210238E7</v>
      </c>
      <c r="E9" s="19" t="s">
        <v>5</v>
      </c>
      <c r="F9" s="19">
        <v>8.777026833E9</v>
      </c>
      <c r="G9" s="19" t="s">
        <v>148</v>
      </c>
      <c r="H9" s="19" t="s">
        <v>52</v>
      </c>
      <c r="I9" s="19" t="s">
        <v>149</v>
      </c>
      <c r="J9" s="19" t="s">
        <v>150</v>
      </c>
      <c r="K9" s="19" t="s">
        <v>71</v>
      </c>
      <c r="L9" s="20" t="s">
        <v>151</v>
      </c>
      <c r="M9" s="20" t="s">
        <v>152</v>
      </c>
      <c r="N9" s="19" t="s">
        <v>153</v>
      </c>
      <c r="O9" s="19" t="s">
        <v>154</v>
      </c>
      <c r="P9" s="19" t="s">
        <v>71</v>
      </c>
      <c r="Q9" s="19">
        <v>9.830349736E9</v>
      </c>
      <c r="R9" s="19" t="s">
        <v>155</v>
      </c>
      <c r="S9" s="19" t="s">
        <v>156</v>
      </c>
      <c r="T9" s="19" t="s">
        <v>157</v>
      </c>
      <c r="U9" s="19">
        <v>9.051166452E9</v>
      </c>
      <c r="V9" s="19">
        <v>2.0</v>
      </c>
      <c r="W9" s="19" t="s">
        <v>153</v>
      </c>
      <c r="X9" s="19" t="s">
        <v>91</v>
      </c>
      <c r="Y9" s="19" t="s">
        <v>155</v>
      </c>
      <c r="Z9" s="19" t="s">
        <v>93</v>
      </c>
      <c r="AA9" s="19" t="s">
        <v>65</v>
      </c>
      <c r="AB9" s="19" t="s">
        <v>65</v>
      </c>
      <c r="AC9" s="19" t="s">
        <v>65</v>
      </c>
      <c r="AD9" s="19" t="s">
        <v>66</v>
      </c>
      <c r="AE9" s="19">
        <v>0.0</v>
      </c>
    </row>
    <row r="10" ht="22.5" customHeight="1">
      <c r="A10" s="18">
        <v>46258.87418944444</v>
      </c>
      <c r="B10" s="19" t="s">
        <v>158</v>
      </c>
      <c r="C10" s="19" t="s">
        <v>159</v>
      </c>
      <c r="D10" s="19" t="s">
        <v>160</v>
      </c>
      <c r="E10" s="19" t="s">
        <v>3</v>
      </c>
      <c r="F10" s="19">
        <v>9.464906137E9</v>
      </c>
      <c r="G10" s="19" t="s">
        <v>158</v>
      </c>
      <c r="H10" s="19" t="s">
        <v>52</v>
      </c>
      <c r="I10" s="19" t="s">
        <v>161</v>
      </c>
      <c r="J10" s="19" t="s">
        <v>162</v>
      </c>
      <c r="K10" s="19" t="s">
        <v>163</v>
      </c>
      <c r="L10" s="20" t="s">
        <v>164</v>
      </c>
      <c r="M10" s="20" t="s">
        <v>165</v>
      </c>
      <c r="N10" s="19" t="s">
        <v>166</v>
      </c>
      <c r="O10" s="19" t="s">
        <v>167</v>
      </c>
      <c r="P10" s="19" t="s">
        <v>163</v>
      </c>
      <c r="Q10" s="19">
        <v>7.087009871E9</v>
      </c>
      <c r="R10" s="19" t="s">
        <v>168</v>
      </c>
      <c r="S10" s="19" t="s">
        <v>169</v>
      </c>
      <c r="T10" s="19" t="s">
        <v>163</v>
      </c>
      <c r="U10" s="19">
        <v>7.087008223E9</v>
      </c>
      <c r="V10" s="19">
        <v>2.0</v>
      </c>
      <c r="W10" s="19" t="s">
        <v>166</v>
      </c>
      <c r="X10" s="19" t="s">
        <v>91</v>
      </c>
      <c r="Y10" s="19" t="s">
        <v>168</v>
      </c>
      <c r="Z10" s="19" t="s">
        <v>93</v>
      </c>
      <c r="AA10" s="19" t="s">
        <v>65</v>
      </c>
      <c r="AB10" s="19" t="s">
        <v>94</v>
      </c>
      <c r="AC10" s="19" t="s">
        <v>94</v>
      </c>
      <c r="AD10" s="19" t="s">
        <v>11</v>
      </c>
      <c r="AE10" s="19">
        <v>3.0</v>
      </c>
    </row>
    <row r="11" ht="22.5" customHeight="1">
      <c r="A11" s="18">
        <v>46258.87459798611</v>
      </c>
      <c r="B11" s="19" t="s">
        <v>170</v>
      </c>
      <c r="C11" s="19" t="s">
        <v>171</v>
      </c>
      <c r="D11" s="19">
        <v>2.02001132E8</v>
      </c>
      <c r="E11" s="19" t="s">
        <v>3</v>
      </c>
      <c r="F11" s="19">
        <v>9.142602801E9</v>
      </c>
      <c r="G11" s="19" t="s">
        <v>170</v>
      </c>
      <c r="H11" s="19" t="s">
        <v>52</v>
      </c>
      <c r="I11" s="19" t="s">
        <v>172</v>
      </c>
      <c r="J11" s="19" t="s">
        <v>174</v>
      </c>
      <c r="K11" s="19" t="s">
        <v>176</v>
      </c>
      <c r="L11" s="20" t="s">
        <v>177</v>
      </c>
      <c r="M11" s="20" t="s">
        <v>179</v>
      </c>
      <c r="N11" s="19" t="s">
        <v>180</v>
      </c>
      <c r="O11" s="19" t="s">
        <v>181</v>
      </c>
      <c r="P11" s="19" t="s">
        <v>176</v>
      </c>
      <c r="Q11" s="19">
        <v>8.427188157E9</v>
      </c>
      <c r="R11" s="19" t="s">
        <v>182</v>
      </c>
      <c r="S11" s="19" t="s">
        <v>183</v>
      </c>
      <c r="T11" s="19" t="s">
        <v>176</v>
      </c>
      <c r="U11" s="19">
        <v>9.572285253E9</v>
      </c>
      <c r="V11" s="19">
        <v>2.0</v>
      </c>
      <c r="W11" s="19" t="s">
        <v>184</v>
      </c>
      <c r="X11" s="19" t="s">
        <v>91</v>
      </c>
      <c r="Y11" s="19" t="s">
        <v>185</v>
      </c>
      <c r="Z11" s="19" t="s">
        <v>93</v>
      </c>
      <c r="AA11" s="19" t="s">
        <v>65</v>
      </c>
      <c r="AB11" s="19" t="s">
        <v>94</v>
      </c>
      <c r="AC11" s="19" t="s">
        <v>94</v>
      </c>
      <c r="AD11" s="19" t="s">
        <v>66</v>
      </c>
    </row>
    <row r="12" ht="22.5" customHeight="1">
      <c r="A12" s="18">
        <v>46258.88292387732</v>
      </c>
      <c r="B12" s="19" t="s">
        <v>186</v>
      </c>
      <c r="C12" s="19" t="s">
        <v>187</v>
      </c>
      <c r="D12" s="19">
        <v>2.0210221E7</v>
      </c>
      <c r="E12" s="19" t="s">
        <v>5</v>
      </c>
      <c r="F12" s="19">
        <v>9.593286407E9</v>
      </c>
      <c r="G12" s="19" t="s">
        <v>188</v>
      </c>
      <c r="H12" s="19" t="s">
        <v>52</v>
      </c>
      <c r="I12" s="19" t="s">
        <v>189</v>
      </c>
      <c r="J12" s="19" t="s">
        <v>190</v>
      </c>
      <c r="K12" s="19" t="s">
        <v>191</v>
      </c>
      <c r="L12" s="20" t="s">
        <v>192</v>
      </c>
      <c r="M12" s="20" t="s">
        <v>193</v>
      </c>
      <c r="N12" s="19" t="s">
        <v>194</v>
      </c>
      <c r="O12" s="19" t="s">
        <v>195</v>
      </c>
      <c r="P12" s="19" t="s">
        <v>191</v>
      </c>
      <c r="Q12" s="19">
        <v>9.434804867E9</v>
      </c>
      <c r="R12" s="19" t="s">
        <v>196</v>
      </c>
      <c r="S12" s="19" t="s">
        <v>190</v>
      </c>
      <c r="T12" s="19" t="s">
        <v>190</v>
      </c>
      <c r="U12" s="19">
        <v>9.434129205E9</v>
      </c>
      <c r="V12" s="19">
        <v>2.0</v>
      </c>
      <c r="W12" s="19" t="s">
        <v>197</v>
      </c>
      <c r="X12" s="19" t="s">
        <v>198</v>
      </c>
      <c r="Y12" s="19" t="s">
        <v>199</v>
      </c>
      <c r="Z12" s="19" t="s">
        <v>64</v>
      </c>
      <c r="AA12" s="19" t="s">
        <v>65</v>
      </c>
      <c r="AB12" s="19" t="s">
        <v>65</v>
      </c>
      <c r="AC12" s="19" t="s">
        <v>65</v>
      </c>
      <c r="AD12" s="19" t="s">
        <v>66</v>
      </c>
      <c r="AE12" s="19">
        <v>0.0</v>
      </c>
    </row>
    <row r="13" ht="22.5" customHeight="1">
      <c r="A13" s="18">
        <v>46258.88340895833</v>
      </c>
      <c r="B13" s="19" t="s">
        <v>200</v>
      </c>
      <c r="C13" s="19" t="s">
        <v>201</v>
      </c>
      <c r="D13" s="19">
        <v>2.0210202E7</v>
      </c>
      <c r="E13" s="19" t="s">
        <v>5</v>
      </c>
      <c r="F13" s="19">
        <v>9.382419184E9</v>
      </c>
      <c r="G13" s="19" t="s">
        <v>200</v>
      </c>
      <c r="H13" s="19" t="s">
        <v>52</v>
      </c>
      <c r="I13" s="19" t="s">
        <v>189</v>
      </c>
      <c r="K13" s="19" t="s">
        <v>202</v>
      </c>
      <c r="L13" s="20" t="s">
        <v>203</v>
      </c>
      <c r="M13" s="20" t="s">
        <v>204</v>
      </c>
      <c r="N13" s="19" t="s">
        <v>205</v>
      </c>
      <c r="O13" s="19" t="s">
        <v>206</v>
      </c>
      <c r="P13" s="19" t="s">
        <v>202</v>
      </c>
      <c r="Q13" s="19">
        <v>7.595081828E9</v>
      </c>
      <c r="R13" s="19" t="s">
        <v>207</v>
      </c>
      <c r="S13" s="19" t="s">
        <v>208</v>
      </c>
      <c r="T13" s="19" t="s">
        <v>209</v>
      </c>
      <c r="U13" s="19">
        <v>9.434139015E9</v>
      </c>
      <c r="V13" s="19">
        <v>2.0</v>
      </c>
      <c r="W13" s="19" t="s">
        <v>205</v>
      </c>
      <c r="X13" s="19" t="s">
        <v>91</v>
      </c>
      <c r="Y13" s="19" t="s">
        <v>207</v>
      </c>
      <c r="Z13" s="19" t="s">
        <v>93</v>
      </c>
      <c r="AA13" s="19" t="s">
        <v>65</v>
      </c>
      <c r="AB13" s="19" t="s">
        <v>94</v>
      </c>
      <c r="AC13" s="19" t="s">
        <v>65</v>
      </c>
      <c r="AD13" s="19" t="s">
        <v>66</v>
      </c>
      <c r="AE13" s="19">
        <v>0.0</v>
      </c>
    </row>
    <row r="14" ht="22.5" customHeight="1">
      <c r="A14" s="18">
        <v>46258.8841737037</v>
      </c>
      <c r="B14" s="19" t="s">
        <v>210</v>
      </c>
      <c r="C14" s="19" t="s">
        <v>211</v>
      </c>
      <c r="D14" s="19">
        <v>2.0230315E7</v>
      </c>
      <c r="E14" s="19" t="s">
        <v>4</v>
      </c>
      <c r="F14" s="19">
        <v>8.017164337E9</v>
      </c>
      <c r="G14" s="19" t="s">
        <v>212</v>
      </c>
      <c r="H14" s="19" t="s">
        <v>52</v>
      </c>
      <c r="I14" s="19" t="s">
        <v>213</v>
      </c>
      <c r="J14" s="19" t="s">
        <v>190</v>
      </c>
      <c r="K14" s="19" t="s">
        <v>71</v>
      </c>
      <c r="L14" s="20" t="s">
        <v>214</v>
      </c>
      <c r="M14" s="20" t="s">
        <v>215</v>
      </c>
      <c r="N14" s="19" t="s">
        <v>216</v>
      </c>
      <c r="O14" s="19" t="s">
        <v>217</v>
      </c>
      <c r="P14" s="19" t="s">
        <v>71</v>
      </c>
      <c r="Q14" s="19">
        <v>9.433879722E9</v>
      </c>
      <c r="R14" s="19" t="s">
        <v>218</v>
      </c>
      <c r="S14" s="19" t="s">
        <v>219</v>
      </c>
      <c r="T14" s="19" t="s">
        <v>71</v>
      </c>
      <c r="U14" s="19">
        <v>9.433336318E9</v>
      </c>
      <c r="V14" s="19">
        <v>2.0</v>
      </c>
      <c r="W14" s="19" t="s">
        <v>220</v>
      </c>
      <c r="X14" s="19" t="s">
        <v>91</v>
      </c>
      <c r="Y14" s="19" t="s">
        <v>221</v>
      </c>
      <c r="Z14" s="19" t="s">
        <v>133</v>
      </c>
      <c r="AA14" s="19" t="s">
        <v>65</v>
      </c>
      <c r="AB14" s="19" t="s">
        <v>94</v>
      </c>
      <c r="AC14" s="19" t="s">
        <v>65</v>
      </c>
      <c r="AD14" s="19" t="s">
        <v>11</v>
      </c>
      <c r="AE14" s="19">
        <v>3.0</v>
      </c>
    </row>
    <row r="15" ht="22.5" customHeight="1">
      <c r="A15" s="18">
        <v>46258.88864873843</v>
      </c>
      <c r="B15" s="19" t="s">
        <v>222</v>
      </c>
      <c r="C15" s="19" t="s">
        <v>223</v>
      </c>
      <c r="D15" s="19">
        <v>2.02001148E8</v>
      </c>
      <c r="E15" s="19" t="s">
        <v>3</v>
      </c>
      <c r="F15" s="19">
        <v>7.735479962E9</v>
      </c>
      <c r="G15" s="19" t="s">
        <v>224</v>
      </c>
      <c r="H15" s="19" t="s">
        <v>52</v>
      </c>
      <c r="K15" s="19" t="s">
        <v>225</v>
      </c>
      <c r="L15" s="20" t="s">
        <v>226</v>
      </c>
      <c r="M15" s="20" t="s">
        <v>227</v>
      </c>
      <c r="N15" s="19" t="s">
        <v>228</v>
      </c>
      <c r="O15" s="19" t="s">
        <v>229</v>
      </c>
      <c r="P15" s="19" t="s">
        <v>230</v>
      </c>
      <c r="Q15" s="19">
        <v>7.008620644E9</v>
      </c>
      <c r="R15" s="19" t="s">
        <v>231</v>
      </c>
      <c r="S15" s="19" t="s">
        <v>232</v>
      </c>
      <c r="T15" s="19" t="s">
        <v>230</v>
      </c>
      <c r="U15" s="19">
        <v>7.008072294E9</v>
      </c>
      <c r="V15" s="19">
        <v>2.0</v>
      </c>
      <c r="W15" s="19" t="s">
        <v>233</v>
      </c>
      <c r="X15" s="19" t="s">
        <v>234</v>
      </c>
      <c r="Y15" s="19" t="s">
        <v>228</v>
      </c>
      <c r="Z15" s="19" t="s">
        <v>145</v>
      </c>
      <c r="AA15" s="19" t="s">
        <v>94</v>
      </c>
      <c r="AB15" s="19" t="s">
        <v>94</v>
      </c>
      <c r="AC15" s="19" t="s">
        <v>94</v>
      </c>
      <c r="AD15" s="19" t="s">
        <v>11</v>
      </c>
      <c r="AE15" s="19">
        <v>3.0</v>
      </c>
    </row>
    <row r="16" ht="22.5" customHeight="1">
      <c r="A16" s="18">
        <v>46258.93468578704</v>
      </c>
      <c r="B16" s="19" t="s">
        <v>235</v>
      </c>
      <c r="C16" s="19" t="s">
        <v>236</v>
      </c>
      <c r="D16" s="19">
        <v>2.0210201E7</v>
      </c>
      <c r="E16" s="19" t="s">
        <v>5</v>
      </c>
      <c r="F16" s="19">
        <v>7.584874474E9</v>
      </c>
      <c r="G16" s="19" t="s">
        <v>237</v>
      </c>
      <c r="H16" s="19" t="s">
        <v>52</v>
      </c>
      <c r="I16" s="19" t="s">
        <v>238</v>
      </c>
      <c r="K16" s="19" t="s">
        <v>239</v>
      </c>
      <c r="L16" s="20" t="s">
        <v>240</v>
      </c>
      <c r="M16" s="20" t="s">
        <v>241</v>
      </c>
      <c r="N16" s="19" t="s">
        <v>242</v>
      </c>
      <c r="O16" s="19" t="s">
        <v>243</v>
      </c>
      <c r="P16" s="19" t="s">
        <v>244</v>
      </c>
      <c r="Q16" s="19">
        <v>7.47751796E9</v>
      </c>
      <c r="R16" s="19" t="s">
        <v>245</v>
      </c>
      <c r="S16" s="19" t="s">
        <v>130</v>
      </c>
      <c r="T16" s="19" t="s">
        <v>244</v>
      </c>
      <c r="U16" s="19">
        <v>9.732142457E9</v>
      </c>
      <c r="V16" s="19">
        <v>2.0</v>
      </c>
      <c r="W16" s="19" t="s">
        <v>242</v>
      </c>
      <c r="X16" s="19" t="s">
        <v>91</v>
      </c>
      <c r="Y16" s="19" t="s">
        <v>245</v>
      </c>
      <c r="Z16" s="19" t="s">
        <v>133</v>
      </c>
      <c r="AA16" s="19" t="s">
        <v>65</v>
      </c>
      <c r="AB16" s="19" t="s">
        <v>65</v>
      </c>
      <c r="AC16" s="19" t="s">
        <v>65</v>
      </c>
      <c r="AD16" s="19" t="s">
        <v>66</v>
      </c>
      <c r="AE16" s="19">
        <v>0.0</v>
      </c>
    </row>
    <row r="17" ht="22.5" customHeight="1">
      <c r="A17" s="18">
        <v>46258.97708182871</v>
      </c>
      <c r="B17" s="19" t="s">
        <v>246</v>
      </c>
      <c r="C17" s="19" t="s">
        <v>247</v>
      </c>
      <c r="D17" s="19">
        <v>2.023032E7</v>
      </c>
      <c r="E17" s="19" t="s">
        <v>4</v>
      </c>
      <c r="F17" s="19">
        <v>9.476084509E9</v>
      </c>
      <c r="G17" s="19" t="s">
        <v>248</v>
      </c>
      <c r="H17" s="19" t="s">
        <v>52</v>
      </c>
      <c r="I17" s="19" t="s">
        <v>249</v>
      </c>
      <c r="J17" s="19" t="s">
        <v>250</v>
      </c>
      <c r="K17" s="19" t="s">
        <v>251</v>
      </c>
      <c r="L17" s="20" t="s">
        <v>252</v>
      </c>
      <c r="M17" s="20" t="s">
        <v>253</v>
      </c>
      <c r="N17" s="19" t="s">
        <v>254</v>
      </c>
      <c r="O17" s="19" t="s">
        <v>255</v>
      </c>
      <c r="P17" s="19" t="s">
        <v>251</v>
      </c>
      <c r="Q17" s="19">
        <v>9.434264702E9</v>
      </c>
      <c r="R17" s="19" t="s">
        <v>256</v>
      </c>
      <c r="S17" s="19" t="s">
        <v>257</v>
      </c>
      <c r="T17" s="19" t="s">
        <v>251</v>
      </c>
      <c r="U17" s="19">
        <v>9.474231697E9</v>
      </c>
      <c r="V17" s="19">
        <v>2.0</v>
      </c>
      <c r="W17" s="19" t="s">
        <v>254</v>
      </c>
      <c r="X17" s="19" t="s">
        <v>79</v>
      </c>
      <c r="Y17" s="19" t="s">
        <v>256</v>
      </c>
      <c r="Z17" s="19" t="s">
        <v>80</v>
      </c>
      <c r="AA17" s="19" t="s">
        <v>65</v>
      </c>
      <c r="AB17" s="19" t="s">
        <v>65</v>
      </c>
      <c r="AC17" s="19" t="s">
        <v>65</v>
      </c>
      <c r="AD17" s="19" t="s">
        <v>66</v>
      </c>
      <c r="AE17" s="19">
        <v>0.0</v>
      </c>
    </row>
    <row r="18" ht="22.5" customHeight="1">
      <c r="A18" s="18">
        <v>46259.02942266203</v>
      </c>
      <c r="B18" s="19" t="s">
        <v>258</v>
      </c>
      <c r="C18" s="19" t="s">
        <v>259</v>
      </c>
      <c r="D18" s="19">
        <v>2.021021E7</v>
      </c>
      <c r="E18" s="19" t="s">
        <v>5</v>
      </c>
      <c r="F18" s="19">
        <v>9.830079476E9</v>
      </c>
      <c r="G18" s="19" t="s">
        <v>260</v>
      </c>
      <c r="H18" s="19" t="s">
        <v>52</v>
      </c>
      <c r="I18" s="19" t="s">
        <v>261</v>
      </c>
      <c r="J18" s="19" t="s">
        <v>262</v>
      </c>
      <c r="K18" s="19" t="s">
        <v>263</v>
      </c>
      <c r="L18" s="20" t="s">
        <v>264</v>
      </c>
      <c r="M18" s="20" t="s">
        <v>265</v>
      </c>
      <c r="N18" s="19" t="s">
        <v>266</v>
      </c>
      <c r="O18" s="19" t="s">
        <v>267</v>
      </c>
      <c r="P18" s="19" t="s">
        <v>263</v>
      </c>
      <c r="Q18" s="19">
        <v>9.830035498E9</v>
      </c>
      <c r="R18" s="19" t="s">
        <v>268</v>
      </c>
      <c r="S18" s="19" t="s">
        <v>269</v>
      </c>
      <c r="T18" s="19" t="s">
        <v>263</v>
      </c>
      <c r="U18" s="19">
        <v>7.980652856E9</v>
      </c>
      <c r="V18" s="19">
        <v>2.0</v>
      </c>
      <c r="W18" s="19" t="s">
        <v>270</v>
      </c>
      <c r="X18" s="19" t="s">
        <v>133</v>
      </c>
      <c r="Y18" s="19" t="s">
        <v>271</v>
      </c>
      <c r="Z18" s="19" t="s">
        <v>272</v>
      </c>
      <c r="AA18" s="19" t="s">
        <v>65</v>
      </c>
      <c r="AB18" s="19" t="s">
        <v>65</v>
      </c>
      <c r="AC18" s="19" t="s">
        <v>65</v>
      </c>
      <c r="AD18" s="19" t="s">
        <v>10</v>
      </c>
      <c r="AE18" s="19">
        <v>3.0</v>
      </c>
    </row>
    <row r="19" ht="22.5" customHeight="1">
      <c r="A19" s="18">
        <v>46259.385169236106</v>
      </c>
      <c r="B19" s="19" t="s">
        <v>273</v>
      </c>
      <c r="C19" s="19" t="s">
        <v>274</v>
      </c>
      <c r="D19" s="19">
        <v>2.0210248E7</v>
      </c>
      <c r="E19" s="19" t="s">
        <v>5</v>
      </c>
      <c r="F19" s="19">
        <v>6.297820802E9</v>
      </c>
      <c r="G19" s="19" t="s">
        <v>275</v>
      </c>
      <c r="H19" s="19" t="s">
        <v>52</v>
      </c>
      <c r="I19" s="19" t="s">
        <v>276</v>
      </c>
      <c r="J19" s="19" t="s">
        <v>277</v>
      </c>
      <c r="K19" s="19" t="s">
        <v>278</v>
      </c>
      <c r="L19" s="20" t="s">
        <v>279</v>
      </c>
      <c r="M19" s="20" t="s">
        <v>280</v>
      </c>
      <c r="N19" s="19" t="s">
        <v>281</v>
      </c>
      <c r="O19" s="19" t="s">
        <v>282</v>
      </c>
      <c r="P19" s="19" t="s">
        <v>278</v>
      </c>
      <c r="Q19" s="19">
        <v>9.474314028E9</v>
      </c>
      <c r="R19" s="19" t="s">
        <v>283</v>
      </c>
      <c r="S19" s="19" t="s">
        <v>284</v>
      </c>
      <c r="T19" s="19" t="s">
        <v>278</v>
      </c>
      <c r="U19" s="19">
        <v>9.564131918E9</v>
      </c>
      <c r="V19" s="19">
        <v>2.0</v>
      </c>
      <c r="W19" s="19" t="s">
        <v>281</v>
      </c>
      <c r="X19" s="19" t="s">
        <v>91</v>
      </c>
      <c r="Y19" s="19" t="s">
        <v>283</v>
      </c>
      <c r="Z19" s="19" t="s">
        <v>93</v>
      </c>
      <c r="AA19" s="19" t="s">
        <v>65</v>
      </c>
      <c r="AB19" s="19" t="s">
        <v>65</v>
      </c>
      <c r="AC19" s="19" t="s">
        <v>65</v>
      </c>
      <c r="AD19" s="19" t="s">
        <v>66</v>
      </c>
      <c r="AE19" s="19">
        <v>0.0</v>
      </c>
    </row>
    <row r="20" ht="22.5" customHeight="1">
      <c r="A20" s="18">
        <v>46259.424150844905</v>
      </c>
      <c r="B20" s="19" t="s">
        <v>285</v>
      </c>
      <c r="C20" s="19" t="s">
        <v>286</v>
      </c>
      <c r="D20" s="19">
        <v>2.0210205E7</v>
      </c>
      <c r="E20" s="19" t="s">
        <v>5</v>
      </c>
      <c r="F20" s="19">
        <v>7.550811864E9</v>
      </c>
      <c r="G20" s="19" t="s">
        <v>285</v>
      </c>
      <c r="H20" s="19" t="s">
        <v>52</v>
      </c>
      <c r="I20" s="19" t="s">
        <v>189</v>
      </c>
      <c r="J20" s="19" t="s">
        <v>190</v>
      </c>
      <c r="K20" s="19" t="s">
        <v>287</v>
      </c>
      <c r="L20" s="20" t="s">
        <v>288</v>
      </c>
      <c r="M20" s="20" t="s">
        <v>289</v>
      </c>
      <c r="N20" s="19" t="s">
        <v>290</v>
      </c>
      <c r="O20" s="19" t="s">
        <v>291</v>
      </c>
      <c r="P20" s="19" t="s">
        <v>287</v>
      </c>
      <c r="Q20" s="19">
        <v>9.732648905E9</v>
      </c>
      <c r="R20" s="19" t="s">
        <v>292</v>
      </c>
      <c r="S20" s="19" t="s">
        <v>293</v>
      </c>
      <c r="T20" s="19" t="s">
        <v>287</v>
      </c>
      <c r="U20" s="19">
        <v>8.509374801E9</v>
      </c>
      <c r="V20" s="19">
        <v>2.0</v>
      </c>
      <c r="W20" s="19" t="s">
        <v>290</v>
      </c>
      <c r="X20" s="19" t="s">
        <v>145</v>
      </c>
      <c r="Y20" s="19" t="s">
        <v>292</v>
      </c>
      <c r="Z20" s="19" t="s">
        <v>133</v>
      </c>
      <c r="AA20" s="19" t="s">
        <v>65</v>
      </c>
      <c r="AB20" s="19" t="s">
        <v>65</v>
      </c>
      <c r="AC20" s="19" t="s">
        <v>65</v>
      </c>
      <c r="AD20" s="19" t="s">
        <v>66</v>
      </c>
      <c r="AE20" s="19">
        <v>0.0</v>
      </c>
    </row>
    <row r="21" ht="22.5" customHeight="1">
      <c r="A21" s="18">
        <v>46259.42438589121</v>
      </c>
      <c r="B21" s="19" t="s">
        <v>294</v>
      </c>
      <c r="C21" s="19" t="s">
        <v>295</v>
      </c>
      <c r="D21" s="19">
        <v>2.021026E7</v>
      </c>
      <c r="E21" s="19" t="s">
        <v>5</v>
      </c>
      <c r="F21" s="19">
        <v>6.297209181E9</v>
      </c>
      <c r="G21" s="19" t="s">
        <v>294</v>
      </c>
      <c r="H21" s="19" t="s">
        <v>52</v>
      </c>
      <c r="I21" s="19" t="s">
        <v>296</v>
      </c>
      <c r="J21" s="19" t="s">
        <v>297</v>
      </c>
      <c r="K21" s="19" t="s">
        <v>298</v>
      </c>
      <c r="L21" s="20" t="s">
        <v>299</v>
      </c>
      <c r="M21" s="20" t="s">
        <v>300</v>
      </c>
      <c r="N21" s="19" t="s">
        <v>301</v>
      </c>
      <c r="O21" s="19" t="s">
        <v>302</v>
      </c>
      <c r="P21" s="19" t="s">
        <v>303</v>
      </c>
      <c r="Q21" s="19">
        <v>9.474179653E9</v>
      </c>
      <c r="R21" s="19" t="s">
        <v>304</v>
      </c>
      <c r="S21" s="19" t="s">
        <v>118</v>
      </c>
      <c r="T21" s="19" t="s">
        <v>303</v>
      </c>
      <c r="U21" s="19">
        <v>7.001010315E9</v>
      </c>
      <c r="V21" s="19">
        <v>2.0</v>
      </c>
      <c r="W21" s="19" t="s">
        <v>305</v>
      </c>
      <c r="X21" s="19" t="s">
        <v>91</v>
      </c>
      <c r="Y21" s="19" t="s">
        <v>304</v>
      </c>
      <c r="Z21" s="19" t="s">
        <v>133</v>
      </c>
      <c r="AA21" s="19" t="s">
        <v>65</v>
      </c>
      <c r="AB21" s="19" t="s">
        <v>65</v>
      </c>
      <c r="AC21" s="19" t="s">
        <v>65</v>
      </c>
      <c r="AD21" s="19" t="s">
        <v>66</v>
      </c>
      <c r="AE21" s="19">
        <v>0.0</v>
      </c>
    </row>
    <row r="22" ht="22.5" customHeight="1">
      <c r="A22" s="18">
        <v>46259.43515655093</v>
      </c>
      <c r="B22" s="19" t="s">
        <v>306</v>
      </c>
      <c r="C22" s="19" t="s">
        <v>307</v>
      </c>
      <c r="D22" s="19">
        <v>2.0210252E7</v>
      </c>
      <c r="E22" s="19" t="s">
        <v>5</v>
      </c>
      <c r="F22" s="19">
        <v>8.167823201E9</v>
      </c>
      <c r="G22" s="19" t="s">
        <v>306</v>
      </c>
      <c r="H22" s="19" t="s">
        <v>52</v>
      </c>
      <c r="I22" s="19" t="s">
        <v>83</v>
      </c>
      <c r="J22" s="19" t="s">
        <v>308</v>
      </c>
      <c r="K22" s="19" t="s">
        <v>309</v>
      </c>
      <c r="L22" s="20" t="s">
        <v>310</v>
      </c>
      <c r="M22" s="20" t="s">
        <v>311</v>
      </c>
      <c r="N22" s="19" t="s">
        <v>312</v>
      </c>
      <c r="O22" s="19" t="s">
        <v>313</v>
      </c>
      <c r="P22" s="19" t="s">
        <v>309</v>
      </c>
      <c r="Q22" s="19">
        <v>8.101896944E9</v>
      </c>
      <c r="R22" s="19" t="s">
        <v>314</v>
      </c>
      <c r="S22" s="19" t="s">
        <v>293</v>
      </c>
      <c r="T22" s="19" t="s">
        <v>309</v>
      </c>
      <c r="U22" s="19">
        <v>7.029022292E9</v>
      </c>
      <c r="V22" s="19">
        <v>2.0</v>
      </c>
      <c r="W22" s="19" t="s">
        <v>312</v>
      </c>
      <c r="X22" s="19" t="s">
        <v>91</v>
      </c>
      <c r="Y22" s="19" t="s">
        <v>314</v>
      </c>
      <c r="Z22" s="19" t="s">
        <v>133</v>
      </c>
      <c r="AA22" s="19" t="s">
        <v>65</v>
      </c>
      <c r="AB22" s="19" t="s">
        <v>65</v>
      </c>
      <c r="AC22" s="19" t="s">
        <v>65</v>
      </c>
      <c r="AD22" s="19" t="s">
        <v>10</v>
      </c>
      <c r="AE22" s="19">
        <v>3.0</v>
      </c>
    </row>
    <row r="23" ht="22.5" customHeight="1">
      <c r="A23" s="18">
        <v>46259.43666690972</v>
      </c>
      <c r="B23" s="19" t="s">
        <v>315</v>
      </c>
      <c r="C23" s="19" t="s">
        <v>316</v>
      </c>
      <c r="D23" s="19">
        <v>2.0200163E7</v>
      </c>
      <c r="E23" s="19" t="s">
        <v>3</v>
      </c>
      <c r="F23" s="19">
        <v>7.48402736E9</v>
      </c>
      <c r="G23" s="19" t="s">
        <v>317</v>
      </c>
      <c r="H23" s="19" t="s">
        <v>52</v>
      </c>
      <c r="I23" s="19" t="s">
        <v>318</v>
      </c>
      <c r="K23" s="19" t="s">
        <v>319</v>
      </c>
      <c r="L23" s="20" t="s">
        <v>320</v>
      </c>
      <c r="M23" s="20" t="s">
        <v>321</v>
      </c>
      <c r="N23" s="19" t="s">
        <v>322</v>
      </c>
      <c r="O23" s="19" t="s">
        <v>323</v>
      </c>
      <c r="P23" s="19" t="s">
        <v>324</v>
      </c>
      <c r="Q23" s="19">
        <v>8.002729788E9</v>
      </c>
      <c r="R23" s="19" t="s">
        <v>325</v>
      </c>
      <c r="S23" s="19" t="s">
        <v>326</v>
      </c>
      <c r="T23" s="19" t="s">
        <v>324</v>
      </c>
      <c r="U23" s="19">
        <v>8.002729788E9</v>
      </c>
      <c r="V23" s="19">
        <v>2.0</v>
      </c>
      <c r="W23" s="19" t="s">
        <v>327</v>
      </c>
      <c r="X23" s="19" t="s">
        <v>328</v>
      </c>
      <c r="Y23" s="19" t="s">
        <v>329</v>
      </c>
      <c r="Z23" s="19" t="s">
        <v>330</v>
      </c>
      <c r="AA23" s="19" t="s">
        <v>65</v>
      </c>
      <c r="AB23" s="19" t="s">
        <v>94</v>
      </c>
      <c r="AC23" s="19" t="s">
        <v>94</v>
      </c>
      <c r="AD23" s="19" t="s">
        <v>66</v>
      </c>
      <c r="AE23" s="19">
        <v>0.0</v>
      </c>
    </row>
    <row r="24" ht="22.5" customHeight="1">
      <c r="A24" s="18">
        <v>46259.461452476855</v>
      </c>
      <c r="B24" s="19" t="s">
        <v>331</v>
      </c>
      <c r="C24" s="19" t="s">
        <v>332</v>
      </c>
      <c r="D24" s="19">
        <v>2.0210254E7</v>
      </c>
      <c r="E24" s="19" t="s">
        <v>5</v>
      </c>
      <c r="F24" s="19">
        <v>8.967823183E9</v>
      </c>
      <c r="G24" s="19" t="s">
        <v>331</v>
      </c>
      <c r="H24" s="19" t="s">
        <v>52</v>
      </c>
      <c r="I24" s="19" t="s">
        <v>333</v>
      </c>
      <c r="K24" s="19" t="s">
        <v>334</v>
      </c>
      <c r="L24" s="20" t="s">
        <v>335</v>
      </c>
      <c r="M24" s="20" t="s">
        <v>336</v>
      </c>
      <c r="N24" s="19" t="s">
        <v>337</v>
      </c>
      <c r="O24" s="19" t="s">
        <v>338</v>
      </c>
      <c r="P24" s="19" t="s">
        <v>339</v>
      </c>
      <c r="Q24" s="19">
        <v>9.051225778E9</v>
      </c>
      <c r="R24" s="19" t="s">
        <v>340</v>
      </c>
      <c r="S24" s="19" t="s">
        <v>341</v>
      </c>
      <c r="T24" s="19" t="s">
        <v>339</v>
      </c>
      <c r="U24" s="19">
        <v>9.083248006E9</v>
      </c>
      <c r="V24" s="19">
        <v>2.0</v>
      </c>
      <c r="W24" s="19" t="s">
        <v>342</v>
      </c>
      <c r="X24" s="19" t="s">
        <v>91</v>
      </c>
      <c r="Y24" s="19" t="s">
        <v>343</v>
      </c>
      <c r="Z24" s="19" t="s">
        <v>344</v>
      </c>
      <c r="AA24" s="19" t="s">
        <v>65</v>
      </c>
      <c r="AB24" s="19" t="s">
        <v>65</v>
      </c>
      <c r="AC24" s="19" t="s">
        <v>65</v>
      </c>
      <c r="AD24" s="19" t="s">
        <v>66</v>
      </c>
      <c r="AE24" s="19">
        <v>0.0</v>
      </c>
    </row>
    <row r="25" ht="22.5" customHeight="1">
      <c r="A25" s="18">
        <v>46259.4680224537</v>
      </c>
      <c r="B25" s="19" t="s">
        <v>345</v>
      </c>
      <c r="C25" s="19" t="s">
        <v>346</v>
      </c>
      <c r="D25" s="19" t="s">
        <v>347</v>
      </c>
      <c r="E25" s="19" t="s">
        <v>3</v>
      </c>
      <c r="F25" s="19">
        <v>8.918275082E9</v>
      </c>
      <c r="G25" s="19" t="s">
        <v>345</v>
      </c>
      <c r="H25" s="19" t="s">
        <v>52</v>
      </c>
      <c r="I25" s="19" t="s">
        <v>348</v>
      </c>
      <c r="K25" s="19" t="s">
        <v>349</v>
      </c>
      <c r="L25" s="20" t="s">
        <v>350</v>
      </c>
      <c r="M25" s="20" t="s">
        <v>351</v>
      </c>
      <c r="N25" s="19" t="s">
        <v>352</v>
      </c>
      <c r="O25" s="19" t="s">
        <v>353</v>
      </c>
      <c r="P25" s="19" t="s">
        <v>354</v>
      </c>
      <c r="Q25" s="19">
        <v>9.434200996E9</v>
      </c>
      <c r="R25" s="19" t="s">
        <v>355</v>
      </c>
      <c r="S25" s="19" t="s">
        <v>106</v>
      </c>
      <c r="T25" s="19" t="s">
        <v>356</v>
      </c>
      <c r="U25" s="19">
        <v>9.339372714E9</v>
      </c>
      <c r="V25" s="19">
        <v>2.0</v>
      </c>
      <c r="W25" s="19" t="s">
        <v>352</v>
      </c>
      <c r="X25" s="19" t="s">
        <v>91</v>
      </c>
      <c r="Y25" s="19" t="s">
        <v>357</v>
      </c>
      <c r="Z25" s="19" t="s">
        <v>93</v>
      </c>
      <c r="AA25" s="19" t="s">
        <v>94</v>
      </c>
      <c r="AB25" s="19" t="s">
        <v>94</v>
      </c>
      <c r="AC25" s="19" t="s">
        <v>94</v>
      </c>
      <c r="AD25" s="19" t="s">
        <v>66</v>
      </c>
      <c r="AE25" s="19">
        <v>0.0</v>
      </c>
    </row>
    <row r="26" ht="22.5" customHeight="1">
      <c r="A26" s="18">
        <v>46259.730784907406</v>
      </c>
      <c r="B26" s="19" t="s">
        <v>358</v>
      </c>
      <c r="C26" s="19" t="s">
        <v>359</v>
      </c>
      <c r="D26" s="19">
        <v>24.0</v>
      </c>
      <c r="E26" s="19" t="s">
        <v>3</v>
      </c>
      <c r="F26" s="19">
        <v>7.339814841E9</v>
      </c>
      <c r="G26" s="19" t="s">
        <v>360</v>
      </c>
      <c r="H26" s="19" t="s">
        <v>52</v>
      </c>
      <c r="K26" s="19" t="s">
        <v>361</v>
      </c>
      <c r="L26" s="20" t="s">
        <v>362</v>
      </c>
      <c r="M26" s="20" t="s">
        <v>363</v>
      </c>
      <c r="N26" s="19" t="s">
        <v>364</v>
      </c>
      <c r="O26" s="19" t="s">
        <v>365</v>
      </c>
      <c r="P26" s="19" t="s">
        <v>361</v>
      </c>
      <c r="Q26" s="19">
        <v>8.017553865E9</v>
      </c>
      <c r="R26" s="19" t="s">
        <v>366</v>
      </c>
      <c r="S26" s="19" t="s">
        <v>118</v>
      </c>
      <c r="T26" s="19" t="s">
        <v>367</v>
      </c>
      <c r="U26" s="19">
        <v>6.289116611E9</v>
      </c>
      <c r="V26" s="19">
        <v>2.0</v>
      </c>
      <c r="W26" s="19" t="s">
        <v>368</v>
      </c>
      <c r="X26" s="19" t="s">
        <v>93</v>
      </c>
      <c r="Y26" s="19" t="s">
        <v>369</v>
      </c>
      <c r="Z26" s="19" t="s">
        <v>91</v>
      </c>
      <c r="AA26" s="19" t="s">
        <v>65</v>
      </c>
      <c r="AB26" s="19" t="s">
        <v>65</v>
      </c>
      <c r="AC26" s="19" t="s">
        <v>65</v>
      </c>
      <c r="AE26" s="19">
        <v>0.0</v>
      </c>
    </row>
    <row r="27" ht="22.5" customHeight="1">
      <c r="A27" s="18">
        <v>46259.73850690972</v>
      </c>
      <c r="B27" s="19" t="s">
        <v>370</v>
      </c>
      <c r="C27" s="19" t="s">
        <v>371</v>
      </c>
      <c r="D27" s="19">
        <v>2.0210243E7</v>
      </c>
      <c r="E27" s="19" t="s">
        <v>5</v>
      </c>
      <c r="F27" s="19">
        <v>8.52946088E9</v>
      </c>
      <c r="G27" s="19" t="s">
        <v>372</v>
      </c>
      <c r="H27" s="19" t="s">
        <v>52</v>
      </c>
      <c r="I27" s="19" t="s">
        <v>373</v>
      </c>
      <c r="J27" s="19" t="s">
        <v>190</v>
      </c>
      <c r="K27" s="19" t="s">
        <v>374</v>
      </c>
      <c r="L27" s="20" t="s">
        <v>375</v>
      </c>
      <c r="M27" s="20" t="s">
        <v>376</v>
      </c>
      <c r="N27" s="19" t="s">
        <v>377</v>
      </c>
      <c r="O27" s="19" t="s">
        <v>378</v>
      </c>
      <c r="P27" s="19" t="s">
        <v>379</v>
      </c>
      <c r="Q27" s="19">
        <v>8.777838566E9</v>
      </c>
      <c r="R27" s="19" t="s">
        <v>380</v>
      </c>
      <c r="S27" s="19" t="s">
        <v>130</v>
      </c>
      <c r="T27" s="19" t="s">
        <v>374</v>
      </c>
      <c r="U27" s="19">
        <v>9.679153471E9</v>
      </c>
      <c r="V27" s="19">
        <v>1.0</v>
      </c>
      <c r="W27" s="19" t="s">
        <v>381</v>
      </c>
      <c r="X27" s="19" t="s">
        <v>145</v>
      </c>
      <c r="Y27" s="19" t="s">
        <v>190</v>
      </c>
      <c r="Z27" s="19" t="s">
        <v>190</v>
      </c>
      <c r="AA27" s="19" t="s">
        <v>65</v>
      </c>
      <c r="AB27" s="19" t="s">
        <v>65</v>
      </c>
      <c r="AD27" s="19" t="s">
        <v>66</v>
      </c>
      <c r="AE27" s="19">
        <v>0.0</v>
      </c>
    </row>
    <row r="28" ht="22.5" customHeight="1">
      <c r="A28" s="18">
        <v>46259.76016326388</v>
      </c>
      <c r="B28" s="19" t="s">
        <v>382</v>
      </c>
      <c r="C28" s="19" t="s">
        <v>383</v>
      </c>
      <c r="D28" s="19">
        <v>2023037.0</v>
      </c>
      <c r="E28" s="19" t="s">
        <v>4</v>
      </c>
      <c r="F28" s="19">
        <v>8.20720767E9</v>
      </c>
      <c r="G28" s="19" t="s">
        <v>382</v>
      </c>
      <c r="H28" s="19" t="s">
        <v>52</v>
      </c>
      <c r="K28" s="19" t="s">
        <v>384</v>
      </c>
      <c r="L28" s="20" t="s">
        <v>385</v>
      </c>
      <c r="M28" s="20" t="s">
        <v>386</v>
      </c>
      <c r="N28" s="19" t="s">
        <v>387</v>
      </c>
      <c r="O28" s="19" t="s">
        <v>388</v>
      </c>
      <c r="P28" s="19" t="s">
        <v>389</v>
      </c>
      <c r="Q28" s="19">
        <v>9.801120313E9</v>
      </c>
      <c r="R28" s="19" t="s">
        <v>390</v>
      </c>
      <c r="S28" s="19" t="s">
        <v>391</v>
      </c>
      <c r="T28" s="19" t="s">
        <v>392</v>
      </c>
      <c r="U28" s="19">
        <v>9.199013095E9</v>
      </c>
      <c r="V28" s="19">
        <v>2.0</v>
      </c>
      <c r="W28" s="19" t="s">
        <v>393</v>
      </c>
      <c r="X28" s="19" t="s">
        <v>91</v>
      </c>
      <c r="Y28" s="19" t="s">
        <v>394</v>
      </c>
      <c r="Z28" s="19" t="s">
        <v>62</v>
      </c>
      <c r="AA28" s="19" t="s">
        <v>94</v>
      </c>
      <c r="AB28" s="19" t="s">
        <v>94</v>
      </c>
      <c r="AC28" s="19" t="s">
        <v>65</v>
      </c>
      <c r="AD28" s="19" t="s">
        <v>66</v>
      </c>
      <c r="AE28" s="19">
        <v>0.0</v>
      </c>
    </row>
    <row r="29" ht="22.5" customHeight="1">
      <c r="A29" s="18">
        <v>46259.89947233796</v>
      </c>
      <c r="B29" s="19" t="s">
        <v>395</v>
      </c>
      <c r="C29" s="19" t="s">
        <v>396</v>
      </c>
      <c r="D29" s="19" t="s">
        <v>397</v>
      </c>
      <c r="E29" s="19" t="s">
        <v>3</v>
      </c>
      <c r="F29" s="19">
        <v>8.98415561E9</v>
      </c>
      <c r="G29" s="19" t="s">
        <v>395</v>
      </c>
      <c r="H29" s="19" t="s">
        <v>52</v>
      </c>
      <c r="I29" s="19" t="s">
        <v>398</v>
      </c>
      <c r="K29" s="19" t="s">
        <v>399</v>
      </c>
      <c r="L29" s="20" t="s">
        <v>400</v>
      </c>
      <c r="M29" s="20" t="s">
        <v>401</v>
      </c>
      <c r="N29" s="19" t="s">
        <v>402</v>
      </c>
      <c r="O29" s="19" t="s">
        <v>403</v>
      </c>
      <c r="P29" s="19" t="s">
        <v>399</v>
      </c>
      <c r="Q29" s="19">
        <v>8.598018028E9</v>
      </c>
      <c r="R29" s="19" t="s">
        <v>404</v>
      </c>
      <c r="S29" s="19" t="s">
        <v>130</v>
      </c>
      <c r="T29" s="19" t="s">
        <v>399</v>
      </c>
      <c r="U29" s="19">
        <v>8.598018028E9</v>
      </c>
      <c r="V29" s="19">
        <v>2.0</v>
      </c>
      <c r="W29" s="19" t="s">
        <v>405</v>
      </c>
      <c r="X29" s="19" t="s">
        <v>234</v>
      </c>
      <c r="Y29" s="19" t="s">
        <v>406</v>
      </c>
      <c r="Z29" s="19" t="s">
        <v>64</v>
      </c>
      <c r="AA29" s="19" t="s">
        <v>65</v>
      </c>
      <c r="AB29" s="19" t="s">
        <v>94</v>
      </c>
      <c r="AC29" s="19" t="s">
        <v>65</v>
      </c>
      <c r="AD29" s="19" t="s">
        <v>66</v>
      </c>
      <c r="AE29" s="19">
        <v>0.0</v>
      </c>
    </row>
    <row r="30" ht="22.5" customHeight="1">
      <c r="A30" s="18">
        <v>46260.065360127315</v>
      </c>
      <c r="B30" s="19" t="s">
        <v>407</v>
      </c>
      <c r="C30" s="19" t="s">
        <v>408</v>
      </c>
      <c r="D30" s="19" t="s">
        <v>409</v>
      </c>
      <c r="E30" s="19" t="s">
        <v>3</v>
      </c>
      <c r="F30" s="19">
        <v>9.11016785E9</v>
      </c>
      <c r="G30" s="19" t="s">
        <v>410</v>
      </c>
      <c r="H30" s="19" t="s">
        <v>52</v>
      </c>
      <c r="I30" s="19" t="s">
        <v>411</v>
      </c>
      <c r="J30" s="19" t="s">
        <v>412</v>
      </c>
      <c r="K30" s="19" t="s">
        <v>413</v>
      </c>
      <c r="L30" s="20" t="s">
        <v>414</v>
      </c>
      <c r="M30" s="20" t="s">
        <v>415</v>
      </c>
      <c r="N30" s="19" t="s">
        <v>416</v>
      </c>
      <c r="O30" s="19" t="s">
        <v>417</v>
      </c>
      <c r="P30" s="19" t="s">
        <v>413</v>
      </c>
      <c r="Q30" s="19">
        <v>7.488610832E9</v>
      </c>
      <c r="R30" s="19" t="s">
        <v>418</v>
      </c>
      <c r="S30" s="19" t="s">
        <v>232</v>
      </c>
      <c r="T30" s="19" t="s">
        <v>413</v>
      </c>
      <c r="U30" s="19">
        <v>9.11090467E9</v>
      </c>
      <c r="V30" s="19">
        <v>2.0</v>
      </c>
      <c r="W30" s="19" t="s">
        <v>419</v>
      </c>
      <c r="X30" s="19" t="s">
        <v>91</v>
      </c>
      <c r="Y30" s="19" t="s">
        <v>418</v>
      </c>
      <c r="Z30" s="19" t="s">
        <v>93</v>
      </c>
      <c r="AA30" s="19" t="s">
        <v>65</v>
      </c>
      <c r="AB30" s="19" t="s">
        <v>65</v>
      </c>
      <c r="AC30" s="19" t="s">
        <v>65</v>
      </c>
      <c r="AD30" s="19" t="s">
        <v>66</v>
      </c>
      <c r="AE30" s="19">
        <v>0.0</v>
      </c>
    </row>
    <row r="31" ht="22.5" customHeight="1">
      <c r="A31" s="18">
        <v>46260.10906511574</v>
      </c>
      <c r="B31" s="19" t="s">
        <v>420</v>
      </c>
      <c r="C31" s="19" t="s">
        <v>421</v>
      </c>
      <c r="D31" s="19">
        <v>2.02001127E8</v>
      </c>
      <c r="E31" s="19" t="s">
        <v>3</v>
      </c>
      <c r="F31" s="19">
        <v>8.606774642E9</v>
      </c>
      <c r="G31" s="19" t="s">
        <v>420</v>
      </c>
      <c r="H31" s="19" t="s">
        <v>52</v>
      </c>
      <c r="I31" s="19" t="s">
        <v>422</v>
      </c>
      <c r="J31" s="19" t="s">
        <v>423</v>
      </c>
      <c r="K31" s="19" t="s">
        <v>424</v>
      </c>
      <c r="L31" s="20" t="s">
        <v>425</v>
      </c>
      <c r="M31" s="20" t="s">
        <v>426</v>
      </c>
      <c r="N31" s="19" t="s">
        <v>427</v>
      </c>
      <c r="O31" s="19" t="s">
        <v>428</v>
      </c>
      <c r="P31" s="19" t="s">
        <v>429</v>
      </c>
      <c r="Q31" s="19">
        <v>9.447277746E9</v>
      </c>
      <c r="R31" s="19" t="s">
        <v>430</v>
      </c>
      <c r="S31" s="19" t="s">
        <v>431</v>
      </c>
      <c r="T31" s="19" t="s">
        <v>432</v>
      </c>
      <c r="U31" s="19">
        <v>9.895637636E9</v>
      </c>
      <c r="V31" s="19">
        <v>2.0</v>
      </c>
      <c r="W31" s="19" t="s">
        <v>427</v>
      </c>
      <c r="X31" s="19" t="s">
        <v>91</v>
      </c>
      <c r="Y31" s="19" t="s">
        <v>430</v>
      </c>
      <c r="Z31" s="19" t="s">
        <v>133</v>
      </c>
      <c r="AA31" s="19" t="s">
        <v>65</v>
      </c>
      <c r="AB31" s="19" t="s">
        <v>65</v>
      </c>
      <c r="AC31" s="19" t="s">
        <v>65</v>
      </c>
      <c r="AD31" s="19" t="s">
        <v>66</v>
      </c>
    </row>
    <row r="32" ht="22.5" customHeight="1">
      <c r="A32" s="18">
        <v>46260.35893052083</v>
      </c>
      <c r="B32" s="19" t="s">
        <v>433</v>
      </c>
      <c r="C32" s="19" t="s">
        <v>434</v>
      </c>
      <c r="D32" s="19">
        <v>2.0230319E7</v>
      </c>
      <c r="E32" s="19" t="s">
        <v>4</v>
      </c>
      <c r="F32" s="19">
        <v>9.531754461E9</v>
      </c>
      <c r="G32" s="19" t="s">
        <v>433</v>
      </c>
      <c r="H32" s="19" t="s">
        <v>52</v>
      </c>
      <c r="I32" s="19" t="s">
        <v>435</v>
      </c>
      <c r="K32" s="19" t="s">
        <v>436</v>
      </c>
      <c r="L32" s="20" t="s">
        <v>437</v>
      </c>
      <c r="M32" s="20" t="s">
        <v>438</v>
      </c>
      <c r="N32" s="19" t="s">
        <v>439</v>
      </c>
      <c r="O32" s="19" t="s">
        <v>440</v>
      </c>
      <c r="P32" s="19" t="s">
        <v>441</v>
      </c>
      <c r="Q32" s="19">
        <v>9.474185735E9</v>
      </c>
      <c r="R32" s="19" t="s">
        <v>442</v>
      </c>
      <c r="S32" s="19" t="s">
        <v>443</v>
      </c>
      <c r="T32" s="19" t="s">
        <v>441</v>
      </c>
      <c r="U32" s="19">
        <v>9.475346936E9</v>
      </c>
      <c r="V32" s="19">
        <v>2.0</v>
      </c>
      <c r="W32" s="19" t="s">
        <v>439</v>
      </c>
      <c r="X32" s="19" t="s">
        <v>79</v>
      </c>
      <c r="Y32" s="19" t="s">
        <v>442</v>
      </c>
      <c r="Z32" s="19" t="s">
        <v>80</v>
      </c>
      <c r="AA32" s="19" t="s">
        <v>65</v>
      </c>
      <c r="AB32" s="19" t="s">
        <v>65</v>
      </c>
      <c r="AC32" s="19" t="s">
        <v>65</v>
      </c>
      <c r="AD32" s="19" t="s">
        <v>66</v>
      </c>
    </row>
    <row r="33" ht="22.5" customHeight="1">
      <c r="A33" s="18">
        <v>46260.49529096065</v>
      </c>
      <c r="B33" s="19" t="s">
        <v>444</v>
      </c>
      <c r="C33" s="19" t="s">
        <v>445</v>
      </c>
      <c r="D33" s="19">
        <v>2.021024E7</v>
      </c>
      <c r="E33" s="19" t="s">
        <v>5</v>
      </c>
      <c r="F33" s="19">
        <v>9.5214734E9</v>
      </c>
      <c r="G33" s="19" t="s">
        <v>446</v>
      </c>
      <c r="H33" s="19" t="s">
        <v>447</v>
      </c>
    </row>
    <row r="34" ht="22.5" customHeight="1">
      <c r="A34" s="18">
        <v>46260.55812368056</v>
      </c>
      <c r="B34" s="19" t="s">
        <v>448</v>
      </c>
      <c r="C34" s="19" t="s">
        <v>449</v>
      </c>
      <c r="D34" s="19" t="s">
        <v>450</v>
      </c>
      <c r="E34" s="19" t="s">
        <v>3</v>
      </c>
      <c r="F34" s="19">
        <v>9.679602964E9</v>
      </c>
      <c r="G34" s="19" t="s">
        <v>448</v>
      </c>
      <c r="H34" s="19" t="s">
        <v>52</v>
      </c>
      <c r="I34" s="19" t="s">
        <v>451</v>
      </c>
      <c r="J34" s="19" t="s">
        <v>452</v>
      </c>
      <c r="K34" s="19" t="s">
        <v>453</v>
      </c>
      <c r="L34" s="20" t="s">
        <v>454</v>
      </c>
      <c r="M34" s="20" t="s">
        <v>455</v>
      </c>
      <c r="N34" s="19" t="s">
        <v>456</v>
      </c>
      <c r="O34" s="19" t="s">
        <v>457</v>
      </c>
      <c r="P34" s="19" t="s">
        <v>453</v>
      </c>
      <c r="Q34" s="19">
        <v>7.365841536E9</v>
      </c>
      <c r="R34" s="19" t="s">
        <v>458</v>
      </c>
      <c r="S34" s="19" t="s">
        <v>391</v>
      </c>
      <c r="T34" s="19" t="s">
        <v>453</v>
      </c>
      <c r="U34" s="19">
        <v>9.832715653E9</v>
      </c>
      <c r="V34" s="19">
        <v>2.0</v>
      </c>
      <c r="W34" s="19" t="s">
        <v>456</v>
      </c>
      <c r="X34" s="19" t="s">
        <v>145</v>
      </c>
      <c r="Y34" s="19" t="s">
        <v>458</v>
      </c>
      <c r="Z34" s="19" t="s">
        <v>93</v>
      </c>
      <c r="AA34" s="19" t="s">
        <v>65</v>
      </c>
      <c r="AB34" s="19" t="s">
        <v>65</v>
      </c>
      <c r="AC34" s="19" t="s">
        <v>65</v>
      </c>
      <c r="AD34" s="19" t="s">
        <v>66</v>
      </c>
      <c r="AE34" s="19">
        <v>0.0</v>
      </c>
    </row>
    <row r="35" ht="22.5" customHeight="1">
      <c r="A35" s="18">
        <v>46260.61750736111</v>
      </c>
      <c r="B35" s="19" t="s">
        <v>459</v>
      </c>
      <c r="C35" s="19" t="s">
        <v>460</v>
      </c>
      <c r="D35" s="19">
        <v>2.0230313E7</v>
      </c>
      <c r="E35" s="19" t="s">
        <v>4</v>
      </c>
      <c r="F35" s="19">
        <v>9.789409492E9</v>
      </c>
      <c r="G35" s="19" t="s">
        <v>459</v>
      </c>
      <c r="H35" s="19" t="s">
        <v>52</v>
      </c>
      <c r="K35" s="19" t="s">
        <v>461</v>
      </c>
      <c r="L35" s="20" t="s">
        <v>462</v>
      </c>
      <c r="M35" s="20" t="s">
        <v>463</v>
      </c>
      <c r="N35" s="19" t="s">
        <v>464</v>
      </c>
      <c r="O35" s="19" t="s">
        <v>465</v>
      </c>
      <c r="P35" s="19" t="s">
        <v>465</v>
      </c>
      <c r="Q35" s="19">
        <v>9.566607472E9</v>
      </c>
      <c r="R35" s="19" t="s">
        <v>466</v>
      </c>
      <c r="S35" s="19" t="s">
        <v>467</v>
      </c>
      <c r="T35" s="19" t="s">
        <v>461</v>
      </c>
      <c r="U35" s="19">
        <v>9.566607472E9</v>
      </c>
      <c r="V35" s="19">
        <v>0.0</v>
      </c>
      <c r="AA35" s="19" t="s">
        <v>94</v>
      </c>
      <c r="AD35" s="19" t="s">
        <v>66</v>
      </c>
      <c r="AE35" s="19">
        <v>0.0</v>
      </c>
    </row>
    <row r="36" ht="22.5" customHeight="1">
      <c r="A36" s="18">
        <v>46260.674663819445</v>
      </c>
      <c r="B36" s="19" t="s">
        <v>468</v>
      </c>
      <c r="C36" s="19" t="s">
        <v>469</v>
      </c>
      <c r="D36" s="19">
        <v>2.02001112E8</v>
      </c>
      <c r="E36" s="19" t="s">
        <v>3</v>
      </c>
      <c r="F36" s="19">
        <v>9.518596484E9</v>
      </c>
      <c r="G36" s="19" t="s">
        <v>470</v>
      </c>
      <c r="H36" s="19" t="s">
        <v>52</v>
      </c>
      <c r="I36" s="19" t="s">
        <v>471</v>
      </c>
      <c r="K36" s="19" t="s">
        <v>472</v>
      </c>
      <c r="L36" s="20" t="s">
        <v>473</v>
      </c>
      <c r="M36" s="20" t="s">
        <v>474</v>
      </c>
      <c r="N36" s="19" t="s">
        <v>475</v>
      </c>
      <c r="O36" s="19" t="s">
        <v>476</v>
      </c>
      <c r="P36" s="19" t="s">
        <v>477</v>
      </c>
      <c r="Q36" s="19">
        <v>9.975994611E9</v>
      </c>
      <c r="R36" s="19" t="s">
        <v>478</v>
      </c>
      <c r="S36" s="19" t="s">
        <v>118</v>
      </c>
      <c r="T36" s="19" t="s">
        <v>479</v>
      </c>
      <c r="U36" s="19">
        <v>9.421192706E9</v>
      </c>
      <c r="V36" s="19">
        <v>2.0</v>
      </c>
      <c r="W36" s="19" t="s">
        <v>475</v>
      </c>
      <c r="X36" s="19" t="s">
        <v>91</v>
      </c>
      <c r="Y36" s="19" t="s">
        <v>480</v>
      </c>
      <c r="Z36" s="19" t="s">
        <v>481</v>
      </c>
      <c r="AA36" s="19" t="s">
        <v>94</v>
      </c>
      <c r="AB36" s="19" t="s">
        <v>94</v>
      </c>
      <c r="AC36" s="19" t="s">
        <v>65</v>
      </c>
      <c r="AD36" s="19" t="s">
        <v>66</v>
      </c>
      <c r="AE36" s="19">
        <v>0.0</v>
      </c>
    </row>
    <row r="37" ht="22.5" customHeight="1">
      <c r="A37" s="18">
        <v>46260.694607997684</v>
      </c>
      <c r="B37" s="19" t="s">
        <v>482</v>
      </c>
      <c r="C37" s="19" t="s">
        <v>483</v>
      </c>
      <c r="D37" s="19">
        <v>2.02001168E8</v>
      </c>
      <c r="E37" s="19" t="s">
        <v>3</v>
      </c>
      <c r="F37" s="19">
        <v>8.824714602E9</v>
      </c>
      <c r="G37" s="19" t="s">
        <v>482</v>
      </c>
      <c r="H37" s="19" t="s">
        <v>52</v>
      </c>
      <c r="I37" s="19" t="s">
        <v>484</v>
      </c>
      <c r="K37" s="19" t="s">
        <v>485</v>
      </c>
      <c r="L37" s="20" t="s">
        <v>486</v>
      </c>
      <c r="M37" s="20" t="s">
        <v>487</v>
      </c>
      <c r="N37" s="19" t="s">
        <v>488</v>
      </c>
      <c r="O37" s="19" t="s">
        <v>489</v>
      </c>
      <c r="P37" s="19" t="s">
        <v>490</v>
      </c>
      <c r="Q37" s="19">
        <v>9.829045528E9</v>
      </c>
      <c r="R37" s="19" t="s">
        <v>491</v>
      </c>
      <c r="S37" s="19" t="s">
        <v>492</v>
      </c>
      <c r="T37" s="19" t="s">
        <v>490</v>
      </c>
      <c r="U37" s="19">
        <v>9.799096666E9</v>
      </c>
      <c r="V37" s="19">
        <v>2.0</v>
      </c>
      <c r="W37" s="19" t="s">
        <v>491</v>
      </c>
      <c r="X37" s="19" t="s">
        <v>93</v>
      </c>
      <c r="Y37" s="19" t="s">
        <v>488</v>
      </c>
      <c r="Z37" s="19" t="s">
        <v>91</v>
      </c>
      <c r="AA37" s="19" t="s">
        <v>94</v>
      </c>
      <c r="AB37" s="19" t="s">
        <v>94</v>
      </c>
      <c r="AC37" s="19" t="s">
        <v>94</v>
      </c>
      <c r="AD37" s="19" t="s">
        <v>66</v>
      </c>
      <c r="AE37" s="19">
        <v>0.0</v>
      </c>
    </row>
    <row r="38" ht="22.5" customHeight="1">
      <c r="A38" s="18">
        <v>46260.719568726854</v>
      </c>
      <c r="B38" s="19" t="s">
        <v>493</v>
      </c>
      <c r="C38" s="19" t="s">
        <v>494</v>
      </c>
      <c r="D38" s="19" t="s">
        <v>495</v>
      </c>
      <c r="E38" s="19" t="s">
        <v>3</v>
      </c>
      <c r="F38" s="19">
        <v>8.319646271E9</v>
      </c>
      <c r="G38" s="19" t="s">
        <v>493</v>
      </c>
      <c r="H38" s="19" t="s">
        <v>52</v>
      </c>
      <c r="I38" s="19" t="s">
        <v>496</v>
      </c>
      <c r="K38" s="19" t="s">
        <v>497</v>
      </c>
      <c r="L38" s="20" t="s">
        <v>498</v>
      </c>
      <c r="M38" s="20" t="s">
        <v>499</v>
      </c>
      <c r="N38" s="19" t="s">
        <v>500</v>
      </c>
      <c r="O38" s="19" t="s">
        <v>501</v>
      </c>
      <c r="P38" s="19" t="s">
        <v>497</v>
      </c>
      <c r="Q38" s="19">
        <v>9.42422039E9</v>
      </c>
      <c r="R38" s="19" t="s">
        <v>502</v>
      </c>
      <c r="S38" s="19" t="s">
        <v>219</v>
      </c>
      <c r="T38" s="19" t="s">
        <v>497</v>
      </c>
      <c r="U38" s="19">
        <v>9.40637396E9</v>
      </c>
      <c r="V38" s="19">
        <v>1.0</v>
      </c>
      <c r="W38" s="19" t="s">
        <v>502</v>
      </c>
      <c r="X38" s="19" t="s">
        <v>93</v>
      </c>
      <c r="AA38" s="19" t="s">
        <v>65</v>
      </c>
      <c r="AB38" s="19" t="s">
        <v>65</v>
      </c>
      <c r="AD38" s="19" t="s">
        <v>66</v>
      </c>
      <c r="AE38" s="19">
        <v>0.0</v>
      </c>
    </row>
    <row r="39" ht="22.5" customHeight="1">
      <c r="A39" s="18">
        <v>46260.72056540509</v>
      </c>
      <c r="B39" s="19" t="s">
        <v>503</v>
      </c>
      <c r="C39" s="19" t="s">
        <v>504</v>
      </c>
      <c r="D39" s="19">
        <v>2.0200164E7</v>
      </c>
      <c r="E39" s="19" t="s">
        <v>3</v>
      </c>
      <c r="F39" s="19">
        <v>9.078841355E9</v>
      </c>
      <c r="G39" s="19" t="s">
        <v>505</v>
      </c>
      <c r="H39" s="19" t="s">
        <v>52</v>
      </c>
      <c r="I39" s="19" t="s">
        <v>506</v>
      </c>
      <c r="J39" s="19" t="s">
        <v>507</v>
      </c>
      <c r="K39" s="19" t="s">
        <v>124</v>
      </c>
      <c r="L39" s="20" t="s">
        <v>508</v>
      </c>
      <c r="M39" s="20" t="s">
        <v>509</v>
      </c>
      <c r="N39" s="19" t="s">
        <v>510</v>
      </c>
      <c r="O39" s="19" t="s">
        <v>511</v>
      </c>
      <c r="P39" s="19" t="s">
        <v>124</v>
      </c>
      <c r="Q39" s="19">
        <v>9.937014472E9</v>
      </c>
      <c r="R39" s="19" t="s">
        <v>512</v>
      </c>
      <c r="S39" s="19" t="s">
        <v>106</v>
      </c>
      <c r="T39" s="19" t="s">
        <v>124</v>
      </c>
      <c r="U39" s="19">
        <v>9.937732588E9</v>
      </c>
      <c r="V39" s="19">
        <v>2.0</v>
      </c>
      <c r="W39" s="19" t="s">
        <v>513</v>
      </c>
      <c r="X39" s="19" t="s">
        <v>91</v>
      </c>
      <c r="Y39" s="19" t="s">
        <v>514</v>
      </c>
      <c r="Z39" s="19" t="s">
        <v>93</v>
      </c>
      <c r="AA39" s="19" t="s">
        <v>94</v>
      </c>
      <c r="AB39" s="19" t="s">
        <v>94</v>
      </c>
      <c r="AC39" s="19" t="s">
        <v>94</v>
      </c>
      <c r="AD39" s="19" t="s">
        <v>66</v>
      </c>
      <c r="AE39" s="19">
        <v>0.0</v>
      </c>
    </row>
    <row r="40" ht="22.5" customHeight="1">
      <c r="A40" s="18">
        <v>46260.83502195602</v>
      </c>
      <c r="B40" s="19" t="s">
        <v>515</v>
      </c>
      <c r="C40" s="19" t="s">
        <v>516</v>
      </c>
      <c r="D40" s="19">
        <v>2.0210234E7</v>
      </c>
      <c r="E40" s="19" t="s">
        <v>5</v>
      </c>
      <c r="F40" s="19">
        <v>6.28970433E9</v>
      </c>
      <c r="G40" s="19" t="s">
        <v>515</v>
      </c>
      <c r="H40" s="19" t="s">
        <v>52</v>
      </c>
      <c r="I40" s="19" t="s">
        <v>517</v>
      </c>
      <c r="J40" s="19" t="s">
        <v>518</v>
      </c>
      <c r="K40" s="19" t="s">
        <v>519</v>
      </c>
      <c r="L40" s="20" t="s">
        <v>520</v>
      </c>
      <c r="M40" s="20" t="s">
        <v>521</v>
      </c>
      <c r="N40" s="19" t="s">
        <v>522</v>
      </c>
      <c r="O40" s="19" t="s">
        <v>523</v>
      </c>
      <c r="P40" s="19" t="s">
        <v>519</v>
      </c>
      <c r="Q40" s="19">
        <v>9.836179253E9</v>
      </c>
      <c r="R40" s="19" t="s">
        <v>524</v>
      </c>
      <c r="S40" s="19" t="s">
        <v>525</v>
      </c>
      <c r="T40" s="19" t="s">
        <v>519</v>
      </c>
      <c r="U40" s="19">
        <v>8.013378159E9</v>
      </c>
      <c r="V40" s="19">
        <v>2.0</v>
      </c>
      <c r="W40" s="19" t="s">
        <v>522</v>
      </c>
      <c r="X40" s="19" t="s">
        <v>145</v>
      </c>
      <c r="Y40" s="19" t="s">
        <v>524</v>
      </c>
      <c r="Z40" s="19" t="s">
        <v>133</v>
      </c>
      <c r="AA40" s="19" t="s">
        <v>65</v>
      </c>
      <c r="AB40" s="19" t="s">
        <v>65</v>
      </c>
      <c r="AC40" s="19" t="s">
        <v>65</v>
      </c>
      <c r="AD40" s="19" t="s">
        <v>66</v>
      </c>
    </row>
    <row r="41" ht="22.5" customHeight="1">
      <c r="A41" s="18">
        <v>46260.85055664352</v>
      </c>
      <c r="B41" s="19" t="s">
        <v>526</v>
      </c>
      <c r="C41" s="19" t="s">
        <v>527</v>
      </c>
      <c r="D41" s="19">
        <v>2.0210242E7</v>
      </c>
      <c r="E41" s="19" t="s">
        <v>5</v>
      </c>
      <c r="F41" s="19">
        <v>7.001892495E9</v>
      </c>
      <c r="G41" s="19" t="s">
        <v>526</v>
      </c>
      <c r="H41" s="19" t="s">
        <v>52</v>
      </c>
      <c r="I41" s="19" t="s">
        <v>528</v>
      </c>
      <c r="J41" s="19" t="s">
        <v>529</v>
      </c>
      <c r="K41" s="19" t="s">
        <v>530</v>
      </c>
      <c r="L41" s="20" t="s">
        <v>531</v>
      </c>
      <c r="M41" s="20" t="s">
        <v>532</v>
      </c>
      <c r="N41" s="19" t="s">
        <v>533</v>
      </c>
      <c r="O41" s="19" t="s">
        <v>534</v>
      </c>
      <c r="P41" s="19" t="s">
        <v>535</v>
      </c>
      <c r="Q41" s="19">
        <v>8.967152595E9</v>
      </c>
      <c r="R41" s="19" t="s">
        <v>536</v>
      </c>
      <c r="S41" s="19" t="s">
        <v>106</v>
      </c>
      <c r="T41" s="19" t="s">
        <v>535</v>
      </c>
      <c r="U41" s="19">
        <v>7.001663505E9</v>
      </c>
      <c r="V41" s="19">
        <v>2.0</v>
      </c>
      <c r="W41" s="19" t="s">
        <v>536</v>
      </c>
      <c r="X41" s="19" t="s">
        <v>93</v>
      </c>
      <c r="Y41" s="19" t="s">
        <v>533</v>
      </c>
      <c r="Z41" s="19" t="s">
        <v>91</v>
      </c>
      <c r="AA41" s="19" t="s">
        <v>65</v>
      </c>
      <c r="AB41" s="19" t="s">
        <v>65</v>
      </c>
      <c r="AC41" s="19" t="s">
        <v>65</v>
      </c>
      <c r="AD41" s="19" t="s">
        <v>10</v>
      </c>
      <c r="AE41" s="19">
        <v>3.0</v>
      </c>
    </row>
    <row r="42" ht="22.5" customHeight="1">
      <c r="A42" s="18">
        <v>46261.44070140047</v>
      </c>
      <c r="B42" s="19" t="s">
        <v>537</v>
      </c>
      <c r="C42" s="19" t="s">
        <v>538</v>
      </c>
      <c r="D42" s="19">
        <v>2.0210239E7</v>
      </c>
      <c r="E42" s="19" t="s">
        <v>5</v>
      </c>
      <c r="F42" s="19">
        <v>6.002985622E9</v>
      </c>
      <c r="G42" s="19" t="s">
        <v>539</v>
      </c>
      <c r="H42" s="19" t="s">
        <v>447</v>
      </c>
    </row>
    <row r="43" ht="22.5" customHeight="1">
      <c r="A43" s="18">
        <v>46261.4555771875</v>
      </c>
      <c r="B43" s="19" t="s">
        <v>540</v>
      </c>
      <c r="C43" s="19" t="s">
        <v>541</v>
      </c>
      <c r="D43" s="19">
        <v>2.0210232E7</v>
      </c>
      <c r="E43" s="19" t="s">
        <v>5</v>
      </c>
      <c r="F43" s="19">
        <v>7.00565542E9</v>
      </c>
      <c r="G43" s="19" t="s">
        <v>540</v>
      </c>
      <c r="H43" s="19" t="s">
        <v>447</v>
      </c>
    </row>
    <row r="44" ht="22.5" customHeight="1">
      <c r="A44" s="18">
        <v>46261.46549931713</v>
      </c>
      <c r="B44" s="19" t="s">
        <v>542</v>
      </c>
      <c r="C44" s="19" t="s">
        <v>543</v>
      </c>
      <c r="D44" s="19">
        <v>2.0210218E7</v>
      </c>
      <c r="E44" s="19" t="s">
        <v>5</v>
      </c>
      <c r="F44" s="19">
        <v>8.017475967E9</v>
      </c>
      <c r="G44" s="19" t="s">
        <v>542</v>
      </c>
      <c r="H44" s="19" t="s">
        <v>52</v>
      </c>
      <c r="I44" s="19" t="s">
        <v>544</v>
      </c>
      <c r="K44" s="19" t="s">
        <v>545</v>
      </c>
      <c r="L44" s="20" t="s">
        <v>546</v>
      </c>
      <c r="M44" s="20" t="s">
        <v>547</v>
      </c>
      <c r="N44" s="19" t="s">
        <v>548</v>
      </c>
      <c r="O44" s="19" t="s">
        <v>549</v>
      </c>
      <c r="P44" s="19" t="s">
        <v>157</v>
      </c>
      <c r="Q44" s="19">
        <v>9.339610211E9</v>
      </c>
      <c r="R44" s="19" t="s">
        <v>550</v>
      </c>
      <c r="S44" s="19" t="s">
        <v>525</v>
      </c>
      <c r="T44" s="19" t="s">
        <v>71</v>
      </c>
      <c r="U44" s="19">
        <v>9.339980074E9</v>
      </c>
      <c r="V44" s="19">
        <v>2.0</v>
      </c>
      <c r="W44" s="19" t="s">
        <v>551</v>
      </c>
      <c r="X44" s="19" t="s">
        <v>93</v>
      </c>
      <c r="Y44" s="19" t="s">
        <v>548</v>
      </c>
      <c r="Z44" s="19" t="s">
        <v>91</v>
      </c>
      <c r="AA44" s="19" t="s">
        <v>94</v>
      </c>
      <c r="AB44" s="19" t="s">
        <v>94</v>
      </c>
      <c r="AC44" s="19" t="s">
        <v>65</v>
      </c>
      <c r="AD44" s="19" t="s">
        <v>66</v>
      </c>
      <c r="AE44" s="19">
        <v>0.0</v>
      </c>
    </row>
    <row r="45" ht="22.5" customHeight="1">
      <c r="A45" s="18">
        <v>46261.47949528936</v>
      </c>
      <c r="B45" s="19" t="s">
        <v>552</v>
      </c>
      <c r="C45" s="19" t="s">
        <v>553</v>
      </c>
      <c r="D45" s="19">
        <v>2.02001109E8</v>
      </c>
      <c r="E45" s="19" t="s">
        <v>3</v>
      </c>
      <c r="F45" s="19">
        <v>6.294794461E9</v>
      </c>
      <c r="G45" s="19" t="s">
        <v>554</v>
      </c>
      <c r="H45" s="19" t="s">
        <v>52</v>
      </c>
      <c r="I45" s="19" t="s">
        <v>555</v>
      </c>
      <c r="K45" s="19" t="s">
        <v>556</v>
      </c>
      <c r="L45" s="20" t="s">
        <v>557</v>
      </c>
      <c r="M45" s="20" t="s">
        <v>558</v>
      </c>
      <c r="N45" s="19" t="s">
        <v>559</v>
      </c>
      <c r="O45" s="19" t="s">
        <v>219</v>
      </c>
      <c r="P45" s="19" t="s">
        <v>560</v>
      </c>
      <c r="Q45" s="19">
        <v>9.732084464E9</v>
      </c>
      <c r="R45" s="19" t="s">
        <v>561</v>
      </c>
      <c r="S45" s="19" t="s">
        <v>562</v>
      </c>
      <c r="T45" s="19" t="s">
        <v>560</v>
      </c>
      <c r="U45" s="19">
        <v>8.001666664E9</v>
      </c>
      <c r="V45" s="19">
        <v>2.0</v>
      </c>
      <c r="W45" s="19" t="s">
        <v>559</v>
      </c>
      <c r="X45" s="19" t="s">
        <v>91</v>
      </c>
      <c r="Y45" s="19" t="s">
        <v>561</v>
      </c>
      <c r="Z45" s="19" t="s">
        <v>93</v>
      </c>
      <c r="AA45" s="19" t="s">
        <v>65</v>
      </c>
      <c r="AB45" s="19" t="s">
        <v>65</v>
      </c>
      <c r="AC45" s="19" t="s">
        <v>65</v>
      </c>
      <c r="AD45" s="19" t="s">
        <v>66</v>
      </c>
      <c r="AE45" s="19">
        <v>0.0</v>
      </c>
    </row>
    <row r="46" ht="22.5" customHeight="1">
      <c r="A46" s="18">
        <v>46261.53005865741</v>
      </c>
      <c r="B46" s="19" t="s">
        <v>200</v>
      </c>
      <c r="C46" s="19" t="s">
        <v>201</v>
      </c>
      <c r="D46" s="19">
        <v>2.0210202E7</v>
      </c>
      <c r="E46" s="19" t="s">
        <v>5</v>
      </c>
      <c r="F46" s="19">
        <v>9.382419184E9</v>
      </c>
      <c r="G46" s="19" t="s">
        <v>200</v>
      </c>
      <c r="H46" s="19" t="s">
        <v>52</v>
      </c>
      <c r="I46" s="19" t="s">
        <v>189</v>
      </c>
      <c r="J46" s="19" t="s">
        <v>563</v>
      </c>
      <c r="K46" s="19" t="s">
        <v>209</v>
      </c>
      <c r="L46" s="20" t="s">
        <v>564</v>
      </c>
      <c r="M46" s="20" t="s">
        <v>565</v>
      </c>
      <c r="N46" s="19" t="s">
        <v>205</v>
      </c>
      <c r="O46" s="19" t="s">
        <v>566</v>
      </c>
      <c r="P46" s="19" t="s">
        <v>209</v>
      </c>
      <c r="Q46" s="19">
        <v>7.595081828E9</v>
      </c>
      <c r="R46" s="19" t="s">
        <v>207</v>
      </c>
      <c r="S46" s="19" t="s">
        <v>130</v>
      </c>
      <c r="T46" s="19" t="s">
        <v>209</v>
      </c>
      <c r="U46" s="19">
        <v>9.434139015E9</v>
      </c>
      <c r="V46" s="19">
        <v>2.0</v>
      </c>
      <c r="W46" s="19" t="s">
        <v>205</v>
      </c>
      <c r="X46" s="19" t="s">
        <v>145</v>
      </c>
      <c r="Y46" s="19" t="s">
        <v>207</v>
      </c>
      <c r="Z46" s="19" t="s">
        <v>93</v>
      </c>
      <c r="AA46" s="19" t="s">
        <v>65</v>
      </c>
      <c r="AB46" s="19" t="s">
        <v>94</v>
      </c>
      <c r="AC46" s="19" t="s">
        <v>65</v>
      </c>
      <c r="AD46" s="19" t="s">
        <v>66</v>
      </c>
      <c r="AE46" s="19">
        <v>0.0</v>
      </c>
    </row>
    <row r="47" ht="22.5" customHeight="1">
      <c r="A47" s="18">
        <v>46261.65007753472</v>
      </c>
      <c r="B47" s="19" t="s">
        <v>567</v>
      </c>
      <c r="C47" s="19" t="s">
        <v>568</v>
      </c>
      <c r="D47" s="19">
        <v>2.0210259E7</v>
      </c>
      <c r="E47" s="19" t="s">
        <v>5</v>
      </c>
      <c r="F47" s="19">
        <v>9.16311452E9</v>
      </c>
      <c r="G47" s="19" t="s">
        <v>570</v>
      </c>
      <c r="H47" s="19" t="s">
        <v>52</v>
      </c>
      <c r="I47" s="19" t="s">
        <v>484</v>
      </c>
      <c r="J47" s="19" t="s">
        <v>572</v>
      </c>
      <c r="K47" s="19" t="s">
        <v>574</v>
      </c>
      <c r="L47" s="20" t="s">
        <v>575</v>
      </c>
      <c r="M47" s="20" t="s">
        <v>576</v>
      </c>
      <c r="N47" s="19" t="s">
        <v>577</v>
      </c>
      <c r="O47" s="19" t="s">
        <v>578</v>
      </c>
      <c r="P47" s="19" t="s">
        <v>574</v>
      </c>
      <c r="Q47" s="19">
        <v>9.143568373E9</v>
      </c>
      <c r="R47" s="19" t="s">
        <v>579</v>
      </c>
      <c r="S47" s="19" t="s">
        <v>219</v>
      </c>
      <c r="T47" s="19" t="s">
        <v>574</v>
      </c>
      <c r="U47" s="19">
        <v>9.836581215E9</v>
      </c>
      <c r="V47" s="19">
        <v>2.0</v>
      </c>
      <c r="W47" s="19" t="s">
        <v>577</v>
      </c>
      <c r="X47" s="19" t="s">
        <v>145</v>
      </c>
      <c r="Y47" s="19" t="s">
        <v>580</v>
      </c>
      <c r="Z47" s="19" t="s">
        <v>93</v>
      </c>
      <c r="AA47" s="19" t="s">
        <v>65</v>
      </c>
      <c r="AB47" s="19" t="s">
        <v>65</v>
      </c>
      <c r="AC47" s="19" t="s">
        <v>65</v>
      </c>
      <c r="AD47" s="19" t="s">
        <v>11</v>
      </c>
      <c r="AE47" s="19">
        <v>3.0</v>
      </c>
    </row>
    <row r="48" ht="22.5" customHeight="1">
      <c r="A48" s="18">
        <v>46261.69396665509</v>
      </c>
      <c r="B48" s="19" t="s">
        <v>581</v>
      </c>
      <c r="C48" s="19" t="s">
        <v>582</v>
      </c>
      <c r="D48" s="19" t="s">
        <v>583</v>
      </c>
      <c r="E48" s="19" t="s">
        <v>3</v>
      </c>
      <c r="F48" s="19">
        <v>7.848081502E9</v>
      </c>
      <c r="G48" s="19" t="s">
        <v>581</v>
      </c>
      <c r="H48" s="19" t="s">
        <v>52</v>
      </c>
      <c r="I48" s="19" t="s">
        <v>584</v>
      </c>
      <c r="K48" s="19" t="s">
        <v>585</v>
      </c>
      <c r="L48" s="20" t="s">
        <v>586</v>
      </c>
      <c r="M48" s="20" t="s">
        <v>587</v>
      </c>
      <c r="N48" s="19" t="s">
        <v>588</v>
      </c>
      <c r="O48" s="19" t="s">
        <v>589</v>
      </c>
      <c r="P48" s="19" t="s">
        <v>590</v>
      </c>
      <c r="Q48" s="19">
        <v>6.370124355E9</v>
      </c>
      <c r="R48" s="19" t="s">
        <v>591</v>
      </c>
      <c r="S48" s="19" t="s">
        <v>232</v>
      </c>
      <c r="T48" s="19" t="s">
        <v>592</v>
      </c>
      <c r="U48" s="19">
        <v>6.372837323E9</v>
      </c>
      <c r="V48" s="19">
        <v>2.0</v>
      </c>
      <c r="W48" s="19" t="s">
        <v>593</v>
      </c>
      <c r="X48" s="19" t="s">
        <v>91</v>
      </c>
      <c r="Y48" s="19" t="s">
        <v>594</v>
      </c>
      <c r="Z48" s="19" t="s">
        <v>93</v>
      </c>
      <c r="AA48" s="19" t="s">
        <v>94</v>
      </c>
      <c r="AB48" s="19" t="s">
        <v>94</v>
      </c>
      <c r="AC48" s="19" t="s">
        <v>94</v>
      </c>
      <c r="AD48" s="19" t="s">
        <v>66</v>
      </c>
    </row>
    <row r="49" ht="22.5" customHeight="1">
      <c r="A49" s="18">
        <v>46261.70895784722</v>
      </c>
      <c r="B49" s="19" t="s">
        <v>595</v>
      </c>
      <c r="C49" s="19" t="s">
        <v>596</v>
      </c>
      <c r="D49" s="19">
        <v>2.0210209E7</v>
      </c>
      <c r="E49" s="19" t="s">
        <v>5</v>
      </c>
      <c r="F49" s="19">
        <v>9.142488342E9</v>
      </c>
      <c r="G49" s="19" t="s">
        <v>595</v>
      </c>
      <c r="H49" s="19" t="s">
        <v>447</v>
      </c>
    </row>
    <row r="50" ht="22.5" customHeight="1">
      <c r="A50" s="18">
        <v>46261.72505703704</v>
      </c>
      <c r="B50" s="19" t="s">
        <v>597</v>
      </c>
      <c r="C50" s="19" t="s">
        <v>598</v>
      </c>
      <c r="D50" s="19">
        <v>2.0230316E7</v>
      </c>
      <c r="E50" s="19" t="s">
        <v>4</v>
      </c>
      <c r="F50" s="19">
        <v>7.686943337E9</v>
      </c>
      <c r="G50" s="19" t="s">
        <v>599</v>
      </c>
      <c r="H50" s="19" t="s">
        <v>52</v>
      </c>
      <c r="K50" s="19" t="s">
        <v>71</v>
      </c>
      <c r="L50" s="20" t="s">
        <v>600</v>
      </c>
      <c r="M50" s="20" t="s">
        <v>601</v>
      </c>
      <c r="N50" s="19" t="s">
        <v>602</v>
      </c>
      <c r="O50" s="19" t="s">
        <v>603</v>
      </c>
      <c r="P50" s="19" t="s">
        <v>71</v>
      </c>
      <c r="Q50" s="19">
        <v>9.430010033E9</v>
      </c>
      <c r="R50" s="19" t="s">
        <v>604</v>
      </c>
      <c r="S50" s="19" t="s">
        <v>467</v>
      </c>
      <c r="T50" s="19" t="s">
        <v>367</v>
      </c>
      <c r="U50" s="19">
        <v>7.258843968E9</v>
      </c>
      <c r="V50" s="19">
        <v>2.0</v>
      </c>
      <c r="W50" s="19" t="s">
        <v>602</v>
      </c>
      <c r="X50" s="19" t="s">
        <v>91</v>
      </c>
      <c r="Y50" s="19" t="s">
        <v>604</v>
      </c>
      <c r="Z50" s="19" t="s">
        <v>93</v>
      </c>
      <c r="AA50" s="19" t="s">
        <v>65</v>
      </c>
      <c r="AB50" s="19" t="s">
        <v>65</v>
      </c>
      <c r="AC50" s="19" t="s">
        <v>65</v>
      </c>
      <c r="AD50" s="19" t="s">
        <v>66</v>
      </c>
      <c r="AE50" s="19">
        <v>0.0</v>
      </c>
    </row>
    <row r="51" ht="22.5" customHeight="1">
      <c r="A51" s="18">
        <v>46261.73178465277</v>
      </c>
      <c r="B51" s="19" t="s">
        <v>605</v>
      </c>
      <c r="C51" s="19" t="s">
        <v>606</v>
      </c>
      <c r="D51" s="19">
        <v>2023036.0</v>
      </c>
      <c r="E51" s="19" t="s">
        <v>4</v>
      </c>
      <c r="F51" s="19">
        <v>8.979219518E9</v>
      </c>
      <c r="G51" s="19" t="s">
        <v>605</v>
      </c>
      <c r="H51" s="19" t="s">
        <v>52</v>
      </c>
      <c r="K51" s="19" t="s">
        <v>607</v>
      </c>
      <c r="L51" s="20" t="s">
        <v>608</v>
      </c>
      <c r="M51" s="20" t="s">
        <v>609</v>
      </c>
      <c r="N51" s="19" t="s">
        <v>610</v>
      </c>
      <c r="O51" s="19" t="s">
        <v>611</v>
      </c>
      <c r="P51" s="19" t="s">
        <v>612</v>
      </c>
      <c r="Q51" s="19">
        <v>9.436026654E9</v>
      </c>
      <c r="R51" s="19" t="s">
        <v>613</v>
      </c>
      <c r="S51" s="19" t="s">
        <v>614</v>
      </c>
      <c r="T51" s="19" t="s">
        <v>615</v>
      </c>
      <c r="U51" s="19">
        <v>9.436026559E9</v>
      </c>
      <c r="V51" s="19">
        <v>0.0</v>
      </c>
      <c r="AA51" s="19" t="s">
        <v>65</v>
      </c>
      <c r="AD51" s="19" t="s">
        <v>66</v>
      </c>
      <c r="AE51" s="19">
        <v>0.0</v>
      </c>
    </row>
    <row r="52" ht="22.5" customHeight="1">
      <c r="A52" s="18">
        <v>46261.75005681713</v>
      </c>
      <c r="B52" s="19" t="s">
        <v>616</v>
      </c>
      <c r="C52" s="19" t="s">
        <v>617</v>
      </c>
      <c r="D52" s="19">
        <v>2.0200177E7</v>
      </c>
      <c r="E52" s="19" t="s">
        <v>3</v>
      </c>
      <c r="F52" s="19">
        <v>9.610132738E9</v>
      </c>
      <c r="G52" s="19" t="s">
        <v>616</v>
      </c>
      <c r="H52" s="19" t="s">
        <v>52</v>
      </c>
      <c r="I52" s="19" t="s">
        <v>618</v>
      </c>
      <c r="J52" s="19" t="s">
        <v>619</v>
      </c>
      <c r="K52" s="19" t="s">
        <v>620</v>
      </c>
      <c r="L52" s="20" t="s">
        <v>621</v>
      </c>
      <c r="M52" s="20" t="s">
        <v>622</v>
      </c>
      <c r="N52" s="19" t="s">
        <v>623</v>
      </c>
      <c r="O52" s="19" t="s">
        <v>403</v>
      </c>
      <c r="P52" s="19" t="s">
        <v>624</v>
      </c>
      <c r="Q52" s="19">
        <v>9.610132738E9</v>
      </c>
      <c r="R52" s="19" t="s">
        <v>625</v>
      </c>
      <c r="S52" s="19" t="s">
        <v>391</v>
      </c>
      <c r="T52" s="19" t="s">
        <v>626</v>
      </c>
      <c r="U52" s="19">
        <v>9.549454347E9</v>
      </c>
      <c r="V52" s="19">
        <v>1.0</v>
      </c>
      <c r="W52" s="19" t="s">
        <v>627</v>
      </c>
      <c r="X52" s="19" t="s">
        <v>344</v>
      </c>
      <c r="AA52" s="19" t="s">
        <v>94</v>
      </c>
      <c r="AB52" s="19" t="s">
        <v>94</v>
      </c>
      <c r="AC52" s="19" t="s">
        <v>94</v>
      </c>
      <c r="AD52" s="19" t="s">
        <v>66</v>
      </c>
      <c r="AE52" s="19">
        <v>0.0</v>
      </c>
    </row>
    <row r="53" ht="22.5" customHeight="1">
      <c r="A53" s="18">
        <v>46261.843299479166</v>
      </c>
      <c r="B53" s="19" t="s">
        <v>628</v>
      </c>
      <c r="C53" s="19" t="s">
        <v>629</v>
      </c>
      <c r="D53" s="19">
        <v>2.0200152E7</v>
      </c>
      <c r="E53" s="19" t="s">
        <v>3</v>
      </c>
      <c r="F53" s="19">
        <v>9.671886427E9</v>
      </c>
      <c r="G53" s="19" t="s">
        <v>630</v>
      </c>
      <c r="H53" s="19" t="s">
        <v>52</v>
      </c>
      <c r="K53" s="19" t="s">
        <v>631</v>
      </c>
      <c r="L53" s="20" t="s">
        <v>632</v>
      </c>
      <c r="M53" s="20" t="s">
        <v>633</v>
      </c>
      <c r="N53" s="19" t="s">
        <v>634</v>
      </c>
      <c r="O53" s="19" t="s">
        <v>635</v>
      </c>
      <c r="P53" s="19" t="s">
        <v>636</v>
      </c>
      <c r="Q53" s="19">
        <v>8.05981759E9</v>
      </c>
      <c r="R53" s="19" t="s">
        <v>637</v>
      </c>
      <c r="S53" s="19" t="s">
        <v>525</v>
      </c>
      <c r="T53" s="19" t="s">
        <v>638</v>
      </c>
      <c r="U53" s="19">
        <v>8.16801149E9</v>
      </c>
      <c r="V53" s="19">
        <v>0.0</v>
      </c>
      <c r="AA53" s="19" t="s">
        <v>94</v>
      </c>
      <c r="AD53" s="19" t="s">
        <v>66</v>
      </c>
      <c r="AE53" s="19">
        <v>0.0</v>
      </c>
    </row>
    <row r="54" ht="22.5" customHeight="1">
      <c r="A54" s="18">
        <v>46261.97704653935</v>
      </c>
      <c r="B54" s="19" t="s">
        <v>639</v>
      </c>
      <c r="C54" s="19" t="s">
        <v>640</v>
      </c>
      <c r="D54" s="19">
        <v>2.0210244E7</v>
      </c>
      <c r="E54" s="19" t="s">
        <v>5</v>
      </c>
      <c r="F54" s="19">
        <v>9.330715505E9</v>
      </c>
      <c r="G54" s="19" t="s">
        <v>639</v>
      </c>
      <c r="H54" s="19" t="s">
        <v>52</v>
      </c>
      <c r="I54" s="19" t="s">
        <v>641</v>
      </c>
      <c r="K54" s="19" t="s">
        <v>642</v>
      </c>
      <c r="L54" s="20" t="s">
        <v>643</v>
      </c>
      <c r="M54" s="20" t="s">
        <v>644</v>
      </c>
      <c r="N54" s="19" t="s">
        <v>645</v>
      </c>
      <c r="O54" s="19" t="s">
        <v>646</v>
      </c>
      <c r="P54" s="19" t="s">
        <v>642</v>
      </c>
      <c r="Q54" s="19">
        <v>6.284416397E9</v>
      </c>
      <c r="R54" s="19" t="s">
        <v>647</v>
      </c>
      <c r="S54" s="19" t="s">
        <v>648</v>
      </c>
      <c r="T54" s="19" t="s">
        <v>649</v>
      </c>
      <c r="U54" s="19">
        <v>8.910037049E9</v>
      </c>
      <c r="V54" s="19">
        <v>2.0</v>
      </c>
      <c r="W54" s="19" t="s">
        <v>645</v>
      </c>
      <c r="X54" s="19" t="s">
        <v>91</v>
      </c>
      <c r="Y54" s="19" t="s">
        <v>650</v>
      </c>
      <c r="Z54" s="19" t="s">
        <v>133</v>
      </c>
      <c r="AA54" s="19" t="s">
        <v>65</v>
      </c>
      <c r="AB54" s="19" t="s">
        <v>65</v>
      </c>
      <c r="AC54" s="19" t="s">
        <v>65</v>
      </c>
      <c r="AD54" s="19" t="s">
        <v>10</v>
      </c>
      <c r="AE54" s="19">
        <v>3.0</v>
      </c>
    </row>
    <row r="55" ht="22.5" customHeight="1">
      <c r="A55" s="18">
        <v>46261.98511408565</v>
      </c>
      <c r="B55" s="19" t="s">
        <v>651</v>
      </c>
      <c r="C55" s="19" t="s">
        <v>652</v>
      </c>
      <c r="D55" s="19">
        <v>2.0210208E7</v>
      </c>
      <c r="E55" s="19" t="s">
        <v>5</v>
      </c>
      <c r="F55" s="19">
        <v>6.295520563E9</v>
      </c>
      <c r="G55" s="19" t="s">
        <v>653</v>
      </c>
      <c r="H55" s="19" t="s">
        <v>52</v>
      </c>
      <c r="I55" s="19" t="s">
        <v>654</v>
      </c>
      <c r="K55" s="19" t="s">
        <v>119</v>
      </c>
      <c r="L55" s="20" t="s">
        <v>655</v>
      </c>
      <c r="M55" s="20" t="s">
        <v>656</v>
      </c>
      <c r="N55" s="19" t="s">
        <v>657</v>
      </c>
      <c r="O55" s="19" t="s">
        <v>658</v>
      </c>
      <c r="P55" s="19" t="s">
        <v>119</v>
      </c>
      <c r="Q55" s="19">
        <v>8.348678398E9</v>
      </c>
      <c r="R55" s="19" t="s">
        <v>659</v>
      </c>
      <c r="S55" s="19" t="s">
        <v>525</v>
      </c>
      <c r="T55" s="19" t="s">
        <v>119</v>
      </c>
      <c r="U55" s="19">
        <v>9.475821651E9</v>
      </c>
      <c r="V55" s="19">
        <v>2.0</v>
      </c>
      <c r="W55" s="19" t="s">
        <v>660</v>
      </c>
      <c r="X55" s="19" t="s">
        <v>145</v>
      </c>
      <c r="Y55" s="19" t="s">
        <v>659</v>
      </c>
      <c r="Z55" s="19" t="s">
        <v>133</v>
      </c>
      <c r="AA55" s="19" t="s">
        <v>65</v>
      </c>
      <c r="AB55" s="19" t="s">
        <v>65</v>
      </c>
      <c r="AC55" s="19" t="s">
        <v>65</v>
      </c>
      <c r="AD55" s="19" t="s">
        <v>10</v>
      </c>
      <c r="AE55" s="19">
        <v>3.0</v>
      </c>
    </row>
    <row r="56" ht="22.5" customHeight="1">
      <c r="A56" s="18">
        <v>46262.38976675926</v>
      </c>
      <c r="B56" s="19" t="s">
        <v>661</v>
      </c>
      <c r="C56" s="19" t="s">
        <v>662</v>
      </c>
      <c r="D56" s="19">
        <v>2.0200157E7</v>
      </c>
      <c r="E56" s="19" t="s">
        <v>3</v>
      </c>
      <c r="F56" s="19">
        <v>8.016283467E9</v>
      </c>
      <c r="G56" s="19" t="s">
        <v>663</v>
      </c>
      <c r="H56" s="19" t="s">
        <v>52</v>
      </c>
      <c r="I56" s="19" t="s">
        <v>664</v>
      </c>
      <c r="J56" s="19" t="s">
        <v>665</v>
      </c>
      <c r="K56" s="19" t="s">
        <v>666</v>
      </c>
      <c r="L56" s="20" t="s">
        <v>667</v>
      </c>
      <c r="M56" s="20" t="s">
        <v>668</v>
      </c>
      <c r="N56" s="19" t="s">
        <v>669</v>
      </c>
      <c r="O56" s="19" t="s">
        <v>403</v>
      </c>
      <c r="P56" s="19" t="s">
        <v>670</v>
      </c>
      <c r="Q56" s="19">
        <v>8.016283467E9</v>
      </c>
      <c r="R56" s="19" t="s">
        <v>671</v>
      </c>
      <c r="S56" s="19" t="s">
        <v>672</v>
      </c>
      <c r="T56" s="19" t="s">
        <v>670</v>
      </c>
      <c r="U56" s="19">
        <v>8.016283467E9</v>
      </c>
      <c r="V56" s="19">
        <v>2.0</v>
      </c>
      <c r="W56" s="19" t="s">
        <v>671</v>
      </c>
      <c r="X56" s="19" t="s">
        <v>133</v>
      </c>
      <c r="Y56" s="19" t="s">
        <v>673</v>
      </c>
      <c r="Z56" s="19" t="s">
        <v>145</v>
      </c>
      <c r="AA56" s="19" t="s">
        <v>94</v>
      </c>
      <c r="AB56" s="19" t="s">
        <v>94</v>
      </c>
      <c r="AC56" s="19" t="s">
        <v>94</v>
      </c>
      <c r="AD56" s="19" t="s">
        <v>66</v>
      </c>
      <c r="AE56" s="19">
        <v>0.0</v>
      </c>
    </row>
    <row r="57" ht="22.5" customHeight="1">
      <c r="A57" s="18">
        <v>46262.416970081016</v>
      </c>
      <c r="B57" s="19" t="s">
        <v>639</v>
      </c>
      <c r="C57" s="19" t="s">
        <v>640</v>
      </c>
      <c r="D57" s="19">
        <v>2.0210244E7</v>
      </c>
      <c r="E57" s="19" t="s">
        <v>5</v>
      </c>
      <c r="F57" s="19">
        <v>9.330715505E9</v>
      </c>
      <c r="G57" s="19" t="s">
        <v>639</v>
      </c>
      <c r="H57" s="19" t="s">
        <v>52</v>
      </c>
      <c r="I57" s="19" t="s">
        <v>674</v>
      </c>
      <c r="J57" s="19" t="s">
        <v>190</v>
      </c>
      <c r="K57" s="19" t="s">
        <v>649</v>
      </c>
      <c r="L57" s="20" t="s">
        <v>675</v>
      </c>
      <c r="M57" s="20" t="s">
        <v>676</v>
      </c>
      <c r="N57" s="19" t="s">
        <v>645</v>
      </c>
      <c r="O57" s="19" t="s">
        <v>677</v>
      </c>
      <c r="P57" s="19" t="s">
        <v>642</v>
      </c>
      <c r="Q57" s="19">
        <v>6.284416397E9</v>
      </c>
      <c r="R57" s="19" t="s">
        <v>650</v>
      </c>
      <c r="S57" s="19" t="s">
        <v>293</v>
      </c>
      <c r="T57" s="19" t="s">
        <v>642</v>
      </c>
      <c r="U57" s="19">
        <v>8.910037049E9</v>
      </c>
      <c r="V57" s="19">
        <v>2.0</v>
      </c>
      <c r="W57" s="19" t="s">
        <v>645</v>
      </c>
      <c r="X57" s="19" t="s">
        <v>91</v>
      </c>
      <c r="Y57" s="19" t="s">
        <v>647</v>
      </c>
      <c r="Z57" s="19" t="s">
        <v>93</v>
      </c>
      <c r="AA57" s="19" t="s">
        <v>65</v>
      </c>
      <c r="AB57" s="19" t="s">
        <v>65</v>
      </c>
      <c r="AC57" s="19" t="s">
        <v>65</v>
      </c>
      <c r="AD57" s="19" t="s">
        <v>10</v>
      </c>
      <c r="AE57" s="19">
        <v>3.0</v>
      </c>
    </row>
    <row r="58" ht="22.5" customHeight="1">
      <c r="A58" s="18">
        <v>46262.41750293982</v>
      </c>
      <c r="B58" s="19" t="s">
        <v>540</v>
      </c>
      <c r="C58" s="19" t="s">
        <v>541</v>
      </c>
      <c r="D58" s="19">
        <v>2.0210232E7</v>
      </c>
      <c r="E58" s="19" t="s">
        <v>5</v>
      </c>
      <c r="F58" s="19">
        <v>7.00565542E9</v>
      </c>
      <c r="G58" s="19" t="s">
        <v>540</v>
      </c>
      <c r="H58" s="19" t="s">
        <v>447</v>
      </c>
    </row>
    <row r="59" ht="22.5" customHeight="1">
      <c r="A59" s="18">
        <v>46262.489652268516</v>
      </c>
      <c r="B59" s="19" t="s">
        <v>678</v>
      </c>
      <c r="C59" s="19" t="s">
        <v>679</v>
      </c>
      <c r="D59" s="19">
        <v>2.02001116E8</v>
      </c>
      <c r="E59" s="19" t="s">
        <v>3</v>
      </c>
      <c r="F59" s="19">
        <v>7.292903856E9</v>
      </c>
      <c r="G59" s="19" t="s">
        <v>678</v>
      </c>
      <c r="H59" s="19" t="s">
        <v>52</v>
      </c>
      <c r="K59" s="19" t="s">
        <v>104</v>
      </c>
      <c r="L59" s="20" t="s">
        <v>680</v>
      </c>
      <c r="M59" s="20" t="s">
        <v>681</v>
      </c>
      <c r="N59" s="19" t="s">
        <v>682</v>
      </c>
      <c r="O59" s="19" t="s">
        <v>683</v>
      </c>
      <c r="P59" s="19" t="s">
        <v>104</v>
      </c>
      <c r="Q59" s="19">
        <v>8.210741328E9</v>
      </c>
      <c r="R59" s="19" t="s">
        <v>684</v>
      </c>
      <c r="S59" s="19" t="s">
        <v>467</v>
      </c>
      <c r="T59" s="19" t="s">
        <v>104</v>
      </c>
      <c r="U59" s="19">
        <v>9.934034117E9</v>
      </c>
      <c r="V59" s="19">
        <v>2.0</v>
      </c>
      <c r="W59" s="19" t="s">
        <v>685</v>
      </c>
      <c r="X59" s="19" t="s">
        <v>91</v>
      </c>
      <c r="Y59" s="19" t="s">
        <v>684</v>
      </c>
      <c r="Z59" s="19" t="s">
        <v>93</v>
      </c>
      <c r="AA59" s="19" t="s">
        <v>65</v>
      </c>
      <c r="AB59" s="19" t="s">
        <v>94</v>
      </c>
      <c r="AC59" s="19" t="s">
        <v>94</v>
      </c>
      <c r="AD59" s="19" t="s">
        <v>66</v>
      </c>
      <c r="AE59" s="19">
        <v>0.0</v>
      </c>
    </row>
    <row r="60" ht="22.5" customHeight="1">
      <c r="A60" s="18">
        <v>46262.4928334375</v>
      </c>
      <c r="B60" s="19" t="s">
        <v>686</v>
      </c>
      <c r="C60" s="19" t="s">
        <v>687</v>
      </c>
      <c r="D60" s="19">
        <v>2.0200165E7</v>
      </c>
      <c r="E60" s="19" t="s">
        <v>3</v>
      </c>
      <c r="F60" s="19">
        <v>8.855042775E9</v>
      </c>
      <c r="G60" s="19" t="s">
        <v>688</v>
      </c>
      <c r="H60" s="19" t="s">
        <v>52</v>
      </c>
      <c r="K60" s="19" t="s">
        <v>689</v>
      </c>
      <c r="L60" s="20" t="s">
        <v>690</v>
      </c>
      <c r="M60" s="20" t="s">
        <v>691</v>
      </c>
      <c r="N60" s="19" t="s">
        <v>692</v>
      </c>
      <c r="O60" s="19" t="s">
        <v>693</v>
      </c>
      <c r="P60" s="19" t="s">
        <v>694</v>
      </c>
      <c r="Q60" s="19">
        <v>7.397872775E9</v>
      </c>
      <c r="R60" s="19" t="s">
        <v>695</v>
      </c>
      <c r="S60" s="19" t="s">
        <v>696</v>
      </c>
      <c r="T60" s="19" t="s">
        <v>694</v>
      </c>
      <c r="U60" s="19">
        <v>8.983503476E9</v>
      </c>
      <c r="V60" s="19">
        <v>2.0</v>
      </c>
      <c r="W60" s="19" t="s">
        <v>697</v>
      </c>
      <c r="X60" s="19" t="s">
        <v>93</v>
      </c>
      <c r="Y60" s="19" t="s">
        <v>698</v>
      </c>
      <c r="Z60" s="19" t="s">
        <v>198</v>
      </c>
      <c r="AA60" s="19" t="s">
        <v>94</v>
      </c>
      <c r="AB60" s="19" t="s">
        <v>65</v>
      </c>
      <c r="AC60" s="19" t="s">
        <v>65</v>
      </c>
      <c r="AD60" s="19" t="s">
        <v>11</v>
      </c>
      <c r="AE60" s="19">
        <v>3.0</v>
      </c>
    </row>
    <row r="61" ht="22.5" customHeight="1">
      <c r="A61" s="18">
        <v>46262.49781893518</v>
      </c>
      <c r="B61" s="19" t="s">
        <v>699</v>
      </c>
      <c r="C61" s="19" t="s">
        <v>700</v>
      </c>
      <c r="D61" s="19">
        <v>2.02001172E8</v>
      </c>
      <c r="E61" s="19" t="s">
        <v>3</v>
      </c>
      <c r="F61" s="19">
        <v>8.1001437E9</v>
      </c>
      <c r="G61" s="19" t="s">
        <v>699</v>
      </c>
      <c r="H61" s="19" t="s">
        <v>52</v>
      </c>
      <c r="K61" s="19" t="s">
        <v>701</v>
      </c>
      <c r="L61" s="20" t="s">
        <v>702</v>
      </c>
      <c r="M61" s="20" t="s">
        <v>703</v>
      </c>
      <c r="N61" s="19" t="s">
        <v>704</v>
      </c>
      <c r="O61" s="19" t="s">
        <v>417</v>
      </c>
      <c r="P61" s="19" t="s">
        <v>705</v>
      </c>
      <c r="Q61" s="19">
        <v>8.1001437E9</v>
      </c>
      <c r="R61" s="19" t="s">
        <v>706</v>
      </c>
      <c r="S61" s="19" t="s">
        <v>106</v>
      </c>
      <c r="T61" s="19" t="s">
        <v>701</v>
      </c>
      <c r="U61" s="19">
        <v>7.976150128E9</v>
      </c>
      <c r="V61" s="19">
        <v>2.0</v>
      </c>
      <c r="W61" s="19" t="s">
        <v>704</v>
      </c>
      <c r="X61" s="19" t="s">
        <v>91</v>
      </c>
      <c r="Y61" s="19" t="s">
        <v>706</v>
      </c>
      <c r="Z61" s="19" t="s">
        <v>93</v>
      </c>
      <c r="AA61" s="19" t="s">
        <v>94</v>
      </c>
      <c r="AB61" s="19" t="s">
        <v>94</v>
      </c>
      <c r="AC61" s="19" t="s">
        <v>94</v>
      </c>
      <c r="AD61" s="19" t="s">
        <v>66</v>
      </c>
      <c r="AE61" s="19">
        <v>0.0</v>
      </c>
    </row>
    <row r="62" ht="22.5" customHeight="1">
      <c r="A62" s="18">
        <v>46262.60418425926</v>
      </c>
      <c r="B62" s="19" t="s">
        <v>707</v>
      </c>
      <c r="C62" s="19" t="s">
        <v>708</v>
      </c>
      <c r="D62" s="19">
        <v>2.0210226E7</v>
      </c>
      <c r="E62" s="19" t="s">
        <v>5</v>
      </c>
      <c r="F62" s="19">
        <v>8.239420354E9</v>
      </c>
      <c r="G62" s="19" t="s">
        <v>707</v>
      </c>
      <c r="H62" s="19" t="s">
        <v>447</v>
      </c>
    </row>
    <row r="63" ht="22.5" customHeight="1">
      <c r="A63" s="18">
        <v>46262.6070190162</v>
      </c>
      <c r="B63" s="19" t="s">
        <v>709</v>
      </c>
      <c r="C63" s="19" t="s">
        <v>710</v>
      </c>
      <c r="D63" s="19">
        <v>2.0210228E7</v>
      </c>
      <c r="E63" s="19" t="s">
        <v>5</v>
      </c>
      <c r="F63" s="19">
        <v>7.029310734E9</v>
      </c>
      <c r="G63" s="19" t="s">
        <v>709</v>
      </c>
      <c r="H63" s="19" t="s">
        <v>447</v>
      </c>
    </row>
    <row r="64" ht="22.5" customHeight="1">
      <c r="A64" s="18">
        <v>46262.61860927084</v>
      </c>
      <c r="B64" s="19" t="s">
        <v>711</v>
      </c>
      <c r="C64" s="19" t="s">
        <v>712</v>
      </c>
      <c r="D64" s="19">
        <v>2.0230401E7</v>
      </c>
      <c r="E64" s="19" t="s">
        <v>6</v>
      </c>
      <c r="F64" s="19">
        <v>8.294678844E9</v>
      </c>
      <c r="G64" s="19" t="s">
        <v>711</v>
      </c>
      <c r="H64" s="19" t="s">
        <v>52</v>
      </c>
      <c r="I64" s="19" t="s">
        <v>713</v>
      </c>
      <c r="K64" s="19" t="s">
        <v>714</v>
      </c>
      <c r="L64" s="20" t="s">
        <v>715</v>
      </c>
      <c r="M64" s="20" t="s">
        <v>716</v>
      </c>
      <c r="N64" s="19" t="s">
        <v>717</v>
      </c>
      <c r="O64" s="19" t="s">
        <v>718</v>
      </c>
      <c r="P64" s="19" t="s">
        <v>413</v>
      </c>
      <c r="Q64" s="19">
        <v>9.931406986E9</v>
      </c>
      <c r="R64" s="19" t="s">
        <v>719</v>
      </c>
      <c r="S64" s="19" t="s">
        <v>525</v>
      </c>
      <c r="T64" s="19" t="s">
        <v>413</v>
      </c>
      <c r="U64" s="19">
        <v>8.102463085E9</v>
      </c>
      <c r="V64" s="19">
        <v>2.0</v>
      </c>
      <c r="W64" s="19" t="s">
        <v>717</v>
      </c>
      <c r="X64" s="19" t="s">
        <v>145</v>
      </c>
      <c r="Y64" s="19" t="s">
        <v>719</v>
      </c>
      <c r="Z64" s="19" t="s">
        <v>133</v>
      </c>
      <c r="AA64" s="19" t="s">
        <v>65</v>
      </c>
      <c r="AB64" s="19" t="s">
        <v>94</v>
      </c>
      <c r="AC64" s="19" t="s">
        <v>94</v>
      </c>
      <c r="AD64" s="19" t="s">
        <v>10</v>
      </c>
      <c r="AE64" s="19">
        <v>2.0</v>
      </c>
    </row>
    <row r="65" ht="22.5" customHeight="1">
      <c r="A65" s="18">
        <v>46262.67725165509</v>
      </c>
      <c r="B65" s="19" t="s">
        <v>720</v>
      </c>
      <c r="C65" s="19" t="s">
        <v>721</v>
      </c>
      <c r="D65" s="19" t="s">
        <v>722</v>
      </c>
      <c r="E65" s="19" t="s">
        <v>3</v>
      </c>
      <c r="F65" s="19">
        <v>7.752071706E9</v>
      </c>
      <c r="G65" s="19" t="s">
        <v>723</v>
      </c>
      <c r="H65" s="19" t="s">
        <v>52</v>
      </c>
      <c r="I65" s="19" t="s">
        <v>724</v>
      </c>
      <c r="J65" s="19" t="s">
        <v>725</v>
      </c>
      <c r="K65" s="19" t="s">
        <v>726</v>
      </c>
      <c r="L65" s="20" t="s">
        <v>727</v>
      </c>
      <c r="M65" s="20" t="s">
        <v>728</v>
      </c>
      <c r="N65" s="19" t="s">
        <v>729</v>
      </c>
      <c r="O65" s="19" t="s">
        <v>60</v>
      </c>
      <c r="P65" s="19" t="s">
        <v>730</v>
      </c>
      <c r="Q65" s="19">
        <v>9.777507049E9</v>
      </c>
      <c r="R65" s="19" t="s">
        <v>731</v>
      </c>
      <c r="S65" s="19" t="s">
        <v>525</v>
      </c>
      <c r="T65" s="19" t="s">
        <v>730</v>
      </c>
      <c r="U65" s="19">
        <v>7.978063537E9</v>
      </c>
      <c r="V65" s="19">
        <v>2.0</v>
      </c>
      <c r="W65" s="19" t="s">
        <v>732</v>
      </c>
      <c r="X65" s="19" t="s">
        <v>91</v>
      </c>
      <c r="Y65" s="19" t="s">
        <v>733</v>
      </c>
      <c r="Z65" s="19" t="s">
        <v>93</v>
      </c>
      <c r="AA65" s="19" t="s">
        <v>65</v>
      </c>
      <c r="AB65" s="19" t="s">
        <v>94</v>
      </c>
      <c r="AC65" s="19" t="s">
        <v>94</v>
      </c>
      <c r="AD65" s="19" t="s">
        <v>10</v>
      </c>
      <c r="AE65" s="19">
        <v>3.0</v>
      </c>
    </row>
    <row r="66" ht="22.5" customHeight="1">
      <c r="A66" s="18">
        <v>46262.6891402662</v>
      </c>
      <c r="B66" s="19" t="s">
        <v>734</v>
      </c>
      <c r="C66" s="19" t="s">
        <v>735</v>
      </c>
      <c r="D66" s="19" t="s">
        <v>736</v>
      </c>
      <c r="E66" s="19" t="s">
        <v>3</v>
      </c>
      <c r="F66" s="19">
        <v>7.015830025E9</v>
      </c>
      <c r="G66" s="19" t="s">
        <v>734</v>
      </c>
      <c r="H66" s="19" t="s">
        <v>52</v>
      </c>
      <c r="I66" s="19" t="s">
        <v>737</v>
      </c>
      <c r="J66" s="19" t="s">
        <v>738</v>
      </c>
      <c r="K66" s="19" t="s">
        <v>739</v>
      </c>
      <c r="L66" s="20" t="s">
        <v>740</v>
      </c>
      <c r="M66" s="20" t="s">
        <v>741</v>
      </c>
      <c r="N66" s="19" t="s">
        <v>742</v>
      </c>
      <c r="O66" s="19" t="s">
        <v>743</v>
      </c>
      <c r="P66" s="19" t="s">
        <v>739</v>
      </c>
      <c r="Q66" s="19">
        <v>9.416314424E9</v>
      </c>
      <c r="R66" s="19" t="s">
        <v>744</v>
      </c>
      <c r="S66" s="19" t="s">
        <v>219</v>
      </c>
      <c r="T66" s="19" t="s">
        <v>739</v>
      </c>
      <c r="U66" s="19">
        <v>9.812467167E9</v>
      </c>
      <c r="V66" s="19">
        <v>2.0</v>
      </c>
      <c r="W66" s="19" t="s">
        <v>745</v>
      </c>
      <c r="X66" s="19" t="s">
        <v>91</v>
      </c>
      <c r="Y66" s="19" t="s">
        <v>744</v>
      </c>
      <c r="Z66" s="19" t="s">
        <v>93</v>
      </c>
      <c r="AA66" s="19" t="s">
        <v>65</v>
      </c>
      <c r="AB66" s="19" t="s">
        <v>94</v>
      </c>
      <c r="AC66" s="19" t="s">
        <v>94</v>
      </c>
      <c r="AD66" s="19" t="s">
        <v>66</v>
      </c>
      <c r="AE66" s="19">
        <v>0.0</v>
      </c>
    </row>
    <row r="67" ht="22.5" customHeight="1">
      <c r="A67" s="18">
        <v>46262.8362059375</v>
      </c>
      <c r="B67" s="19" t="s">
        <v>382</v>
      </c>
      <c r="C67" s="19" t="s">
        <v>383</v>
      </c>
      <c r="D67" s="19">
        <v>2023037.0</v>
      </c>
      <c r="E67" s="19" t="s">
        <v>4</v>
      </c>
      <c r="F67" s="19">
        <v>8.20720767E9</v>
      </c>
      <c r="G67" s="19" t="s">
        <v>382</v>
      </c>
      <c r="H67" s="19" t="s">
        <v>52</v>
      </c>
      <c r="K67" s="19" t="s">
        <v>746</v>
      </c>
      <c r="L67" s="20" t="s">
        <v>747</v>
      </c>
      <c r="M67" s="20" t="s">
        <v>748</v>
      </c>
      <c r="N67" s="19" t="s">
        <v>749</v>
      </c>
      <c r="O67" s="19" t="s">
        <v>750</v>
      </c>
      <c r="P67" s="19" t="s">
        <v>751</v>
      </c>
      <c r="Q67" s="19">
        <v>9.801120313E9</v>
      </c>
      <c r="R67" s="19" t="s">
        <v>752</v>
      </c>
      <c r="S67" s="19" t="s">
        <v>753</v>
      </c>
      <c r="T67" s="19" t="s">
        <v>751</v>
      </c>
      <c r="U67" s="19">
        <v>9.199013095E9</v>
      </c>
      <c r="V67" s="19">
        <v>2.0</v>
      </c>
      <c r="W67" s="19" t="s">
        <v>754</v>
      </c>
      <c r="X67" s="19" t="s">
        <v>755</v>
      </c>
      <c r="Y67" s="19" t="s">
        <v>756</v>
      </c>
      <c r="Z67" s="19" t="s">
        <v>757</v>
      </c>
      <c r="AA67" s="19" t="s">
        <v>94</v>
      </c>
      <c r="AB67" s="19" t="s">
        <v>94</v>
      </c>
      <c r="AC67" s="19" t="s">
        <v>65</v>
      </c>
      <c r="AD67" s="19" t="s">
        <v>66</v>
      </c>
      <c r="AE67" s="19">
        <v>0.0</v>
      </c>
    </row>
    <row r="68" ht="22.5" customHeight="1">
      <c r="A68" s="18">
        <v>46262.8824899537</v>
      </c>
      <c r="B68" s="19" t="s">
        <v>758</v>
      </c>
      <c r="C68" s="19" t="s">
        <v>759</v>
      </c>
      <c r="D68" s="19">
        <v>2.021025E7</v>
      </c>
      <c r="E68" s="19" t="s">
        <v>5</v>
      </c>
      <c r="F68" s="19">
        <v>8.404882688E9</v>
      </c>
      <c r="G68" s="19" t="s">
        <v>760</v>
      </c>
      <c r="H68" s="19" t="s">
        <v>52</v>
      </c>
      <c r="I68" s="19" t="s">
        <v>761</v>
      </c>
      <c r="J68" s="19" t="s">
        <v>762</v>
      </c>
      <c r="K68" s="19" t="s">
        <v>763</v>
      </c>
      <c r="L68" s="20" t="s">
        <v>764</v>
      </c>
      <c r="M68" s="20" t="s">
        <v>765</v>
      </c>
      <c r="N68" s="19" t="s">
        <v>766</v>
      </c>
      <c r="O68" s="19" t="s">
        <v>767</v>
      </c>
      <c r="P68" s="19" t="s">
        <v>413</v>
      </c>
      <c r="Q68" s="19">
        <v>9.931076395E9</v>
      </c>
      <c r="R68" s="19" t="s">
        <v>768</v>
      </c>
      <c r="S68" s="19" t="s">
        <v>106</v>
      </c>
      <c r="T68" s="19" t="s">
        <v>413</v>
      </c>
      <c r="U68" s="19">
        <v>7.488505863E9</v>
      </c>
      <c r="V68" s="19">
        <v>2.0</v>
      </c>
      <c r="W68" s="19" t="s">
        <v>766</v>
      </c>
      <c r="X68" s="19" t="s">
        <v>91</v>
      </c>
      <c r="Y68" s="19" t="s">
        <v>768</v>
      </c>
      <c r="Z68" s="19" t="s">
        <v>93</v>
      </c>
      <c r="AA68" s="19" t="s">
        <v>65</v>
      </c>
      <c r="AB68" s="19" t="s">
        <v>65</v>
      </c>
      <c r="AC68" s="19" t="s">
        <v>94</v>
      </c>
      <c r="AD68" s="19" t="s">
        <v>66</v>
      </c>
      <c r="AE68" s="19">
        <v>0.0</v>
      </c>
    </row>
    <row r="69" ht="22.5" customHeight="1">
      <c r="A69" s="18">
        <v>46263.00022372685</v>
      </c>
      <c r="B69" s="19" t="s">
        <v>769</v>
      </c>
      <c r="C69" s="19" t="s">
        <v>770</v>
      </c>
      <c r="D69" s="19">
        <v>2.0200186E7</v>
      </c>
      <c r="E69" s="19" t="s">
        <v>3</v>
      </c>
      <c r="F69" s="19">
        <v>9.526106877E9</v>
      </c>
      <c r="G69" s="19" t="s">
        <v>769</v>
      </c>
      <c r="H69" s="19" t="s">
        <v>52</v>
      </c>
      <c r="I69" s="19" t="s">
        <v>771</v>
      </c>
      <c r="J69" s="19" t="s">
        <v>772</v>
      </c>
      <c r="K69" s="19" t="s">
        <v>773</v>
      </c>
      <c r="L69" s="20" t="s">
        <v>774</v>
      </c>
      <c r="M69" s="20" t="s">
        <v>775</v>
      </c>
      <c r="N69" s="19" t="s">
        <v>776</v>
      </c>
      <c r="O69" s="19" t="s">
        <v>777</v>
      </c>
      <c r="P69" s="19" t="s">
        <v>778</v>
      </c>
      <c r="Q69" s="19">
        <v>9.447106877E9</v>
      </c>
      <c r="R69" s="19" t="s">
        <v>779</v>
      </c>
      <c r="S69" s="19" t="s">
        <v>780</v>
      </c>
      <c r="T69" s="19" t="s">
        <v>781</v>
      </c>
      <c r="U69" s="19">
        <v>9.447289191E9</v>
      </c>
      <c r="V69" s="19">
        <v>1.0</v>
      </c>
      <c r="W69" s="19" t="s">
        <v>779</v>
      </c>
      <c r="X69" s="19" t="s">
        <v>93</v>
      </c>
      <c r="AA69" s="19" t="s">
        <v>65</v>
      </c>
      <c r="AB69" s="19" t="s">
        <v>65</v>
      </c>
      <c r="AD69" s="19" t="s">
        <v>66</v>
      </c>
      <c r="AE69" s="19">
        <v>0.0</v>
      </c>
    </row>
    <row r="70" ht="22.5" customHeight="1">
      <c r="A70" s="18">
        <v>46263.411194016204</v>
      </c>
      <c r="B70" s="19" t="s">
        <v>782</v>
      </c>
      <c r="C70" s="19" t="s">
        <v>783</v>
      </c>
      <c r="D70" s="19">
        <v>2.020018E7</v>
      </c>
      <c r="E70" s="19" t="s">
        <v>3</v>
      </c>
      <c r="F70" s="19">
        <v>9.622113289E9</v>
      </c>
      <c r="G70" s="19" t="s">
        <v>782</v>
      </c>
      <c r="H70" s="19" t="s">
        <v>52</v>
      </c>
      <c r="I70" s="19" t="s">
        <v>784</v>
      </c>
      <c r="K70" s="19" t="s">
        <v>785</v>
      </c>
      <c r="L70" s="20" t="s">
        <v>786</v>
      </c>
      <c r="M70" s="20" t="s">
        <v>787</v>
      </c>
      <c r="N70" s="19" t="s">
        <v>788</v>
      </c>
      <c r="O70" s="19" t="s">
        <v>789</v>
      </c>
      <c r="P70" s="19" t="s">
        <v>785</v>
      </c>
      <c r="Q70" s="19">
        <v>7.889551033E9</v>
      </c>
      <c r="R70" s="19" t="s">
        <v>790</v>
      </c>
      <c r="S70" s="19" t="s">
        <v>791</v>
      </c>
      <c r="T70" s="19" t="s">
        <v>785</v>
      </c>
      <c r="U70" s="19">
        <v>7.889872015E9</v>
      </c>
      <c r="V70" s="19">
        <v>0.0</v>
      </c>
      <c r="AA70" s="19" t="s">
        <v>94</v>
      </c>
      <c r="AD70" s="19" t="s">
        <v>11</v>
      </c>
      <c r="AE70" s="19">
        <v>1.0</v>
      </c>
    </row>
    <row r="71" ht="22.5" customHeight="1">
      <c r="A71" s="18">
        <v>46263.42375847222</v>
      </c>
      <c r="B71" s="19" t="s">
        <v>792</v>
      </c>
      <c r="C71" s="19" t="s">
        <v>793</v>
      </c>
      <c r="D71" s="19">
        <v>2023033.0</v>
      </c>
      <c r="E71" s="19" t="s">
        <v>4</v>
      </c>
      <c r="F71" s="19">
        <v>9.831529419E9</v>
      </c>
      <c r="G71" s="19" t="s">
        <v>794</v>
      </c>
      <c r="H71" s="19" t="s">
        <v>52</v>
      </c>
      <c r="K71" s="19" t="s">
        <v>795</v>
      </c>
      <c r="L71" s="20" t="s">
        <v>796</v>
      </c>
      <c r="M71" s="20" t="s">
        <v>797</v>
      </c>
      <c r="N71" s="19" t="s">
        <v>798</v>
      </c>
      <c r="O71" s="19" t="s">
        <v>518</v>
      </c>
      <c r="P71" s="19" t="s">
        <v>518</v>
      </c>
      <c r="Q71" s="19">
        <v>8.014502465E9</v>
      </c>
      <c r="R71" s="19" t="s">
        <v>799</v>
      </c>
      <c r="S71" s="19" t="s">
        <v>800</v>
      </c>
      <c r="T71" s="19" t="s">
        <v>801</v>
      </c>
      <c r="U71" s="19">
        <v>8.014502465E9</v>
      </c>
      <c r="V71" s="19">
        <v>2.0</v>
      </c>
      <c r="W71" s="19" t="s">
        <v>799</v>
      </c>
      <c r="X71" s="19" t="s">
        <v>80</v>
      </c>
      <c r="Y71" s="19" t="s">
        <v>802</v>
      </c>
      <c r="Z71" s="19" t="s">
        <v>803</v>
      </c>
      <c r="AA71" s="19" t="s">
        <v>65</v>
      </c>
      <c r="AB71" s="19" t="s">
        <v>65</v>
      </c>
      <c r="AC71" s="19" t="s">
        <v>65</v>
      </c>
      <c r="AD71" s="19" t="s">
        <v>66</v>
      </c>
      <c r="AE71" s="19">
        <v>0.0</v>
      </c>
    </row>
    <row r="72" ht="22.5" customHeight="1">
      <c r="A72" s="18">
        <v>46263.48492479167</v>
      </c>
      <c r="B72" s="19" t="s">
        <v>804</v>
      </c>
      <c r="C72" s="19" t="s">
        <v>805</v>
      </c>
      <c r="D72" s="19">
        <v>2.0200114E8</v>
      </c>
      <c r="E72" s="19" t="s">
        <v>3</v>
      </c>
      <c r="F72" s="19">
        <v>6.238885248E9</v>
      </c>
      <c r="G72" s="19" t="s">
        <v>804</v>
      </c>
      <c r="H72" s="19" t="s">
        <v>52</v>
      </c>
      <c r="I72" s="19" t="s">
        <v>806</v>
      </c>
      <c r="J72" s="19" t="s">
        <v>807</v>
      </c>
      <c r="K72" s="19" t="s">
        <v>773</v>
      </c>
      <c r="L72" s="20" t="s">
        <v>808</v>
      </c>
      <c r="M72" s="20" t="s">
        <v>809</v>
      </c>
      <c r="N72" s="19" t="s">
        <v>810</v>
      </c>
      <c r="O72" s="19" t="s">
        <v>811</v>
      </c>
      <c r="P72" s="19" t="s">
        <v>812</v>
      </c>
      <c r="Q72" s="19">
        <v>9.946362171E9</v>
      </c>
      <c r="R72" s="19" t="s">
        <v>813</v>
      </c>
      <c r="S72" s="19" t="s">
        <v>814</v>
      </c>
      <c r="T72" s="19" t="s">
        <v>812</v>
      </c>
      <c r="U72" s="19">
        <v>9.747151399E9</v>
      </c>
      <c r="V72" s="19">
        <v>2.0</v>
      </c>
      <c r="W72" s="19" t="s">
        <v>815</v>
      </c>
      <c r="X72" s="19" t="s">
        <v>133</v>
      </c>
      <c r="Y72" s="19" t="s">
        <v>816</v>
      </c>
      <c r="Z72" s="19" t="s">
        <v>64</v>
      </c>
      <c r="AA72" s="19" t="s">
        <v>65</v>
      </c>
      <c r="AB72" s="19" t="s">
        <v>65</v>
      </c>
      <c r="AC72" s="19" t="s">
        <v>65</v>
      </c>
      <c r="AD72" s="19" t="s">
        <v>10</v>
      </c>
      <c r="AE72" s="19">
        <v>1.0</v>
      </c>
    </row>
    <row r="73" ht="22.5" customHeight="1">
      <c r="A73" s="18">
        <v>46263.50606664352</v>
      </c>
      <c r="B73" s="19" t="s">
        <v>817</v>
      </c>
      <c r="C73" s="19" t="s">
        <v>818</v>
      </c>
      <c r="D73" s="19">
        <v>2.0210207E7</v>
      </c>
      <c r="E73" s="19" t="s">
        <v>5</v>
      </c>
      <c r="F73" s="19">
        <v>8.945998122E9</v>
      </c>
      <c r="G73" s="19" t="s">
        <v>819</v>
      </c>
      <c r="H73" s="19" t="s">
        <v>52</v>
      </c>
      <c r="I73" s="19" t="s">
        <v>820</v>
      </c>
      <c r="J73" s="19" t="s">
        <v>447</v>
      </c>
      <c r="K73" s="19" t="s">
        <v>821</v>
      </c>
      <c r="L73" s="20" t="s">
        <v>822</v>
      </c>
      <c r="M73" s="20" t="s">
        <v>823</v>
      </c>
      <c r="N73" s="19" t="s">
        <v>824</v>
      </c>
      <c r="O73" s="19" t="s">
        <v>825</v>
      </c>
      <c r="P73" s="19" t="s">
        <v>826</v>
      </c>
      <c r="Q73" s="19">
        <v>9.073939324E9</v>
      </c>
      <c r="R73" s="19" t="s">
        <v>827</v>
      </c>
      <c r="S73" s="19" t="s">
        <v>467</v>
      </c>
      <c r="T73" s="19" t="s">
        <v>821</v>
      </c>
      <c r="U73" s="19">
        <v>8.945998122E9</v>
      </c>
      <c r="V73" s="19">
        <v>2.0</v>
      </c>
      <c r="W73" s="19" t="s">
        <v>828</v>
      </c>
      <c r="X73" s="19" t="s">
        <v>145</v>
      </c>
      <c r="Y73" s="19" t="s">
        <v>829</v>
      </c>
      <c r="Z73" s="19" t="s">
        <v>93</v>
      </c>
      <c r="AA73" s="19" t="s">
        <v>65</v>
      </c>
      <c r="AB73" s="19" t="s">
        <v>65</v>
      </c>
      <c r="AC73" s="19" t="s">
        <v>94</v>
      </c>
      <c r="AD73" s="19" t="s">
        <v>66</v>
      </c>
      <c r="AE73" s="19">
        <v>0.0</v>
      </c>
    </row>
    <row r="74" ht="22.5" customHeight="1">
      <c r="A74" s="18">
        <v>46263.56776225695</v>
      </c>
      <c r="B74" s="19" t="s">
        <v>830</v>
      </c>
      <c r="C74" s="19" t="s">
        <v>831</v>
      </c>
      <c r="D74" s="19">
        <v>2.0210255E7</v>
      </c>
      <c r="E74" s="19" t="s">
        <v>5</v>
      </c>
      <c r="F74" s="19">
        <v>7.501786976E9</v>
      </c>
      <c r="G74" s="19" t="s">
        <v>832</v>
      </c>
      <c r="H74" s="19" t="s">
        <v>52</v>
      </c>
      <c r="I74" s="19" t="s">
        <v>833</v>
      </c>
      <c r="K74" s="19" t="s">
        <v>834</v>
      </c>
      <c r="L74" s="20" t="s">
        <v>835</v>
      </c>
      <c r="M74" s="20" t="s">
        <v>836</v>
      </c>
      <c r="N74" s="19" t="s">
        <v>837</v>
      </c>
      <c r="O74" s="19" t="s">
        <v>181</v>
      </c>
      <c r="P74" s="19" t="s">
        <v>834</v>
      </c>
      <c r="Q74" s="19">
        <v>7.384357354E9</v>
      </c>
      <c r="R74" s="19" t="s">
        <v>838</v>
      </c>
      <c r="S74" s="19" t="s">
        <v>391</v>
      </c>
      <c r="T74" s="19" t="s">
        <v>834</v>
      </c>
      <c r="U74" s="19">
        <v>8.926111922E9</v>
      </c>
      <c r="V74" s="19">
        <v>2.0</v>
      </c>
      <c r="W74" s="19" t="s">
        <v>837</v>
      </c>
      <c r="X74" s="19" t="s">
        <v>91</v>
      </c>
      <c r="Y74" s="19" t="s">
        <v>838</v>
      </c>
      <c r="Z74" s="19" t="s">
        <v>93</v>
      </c>
      <c r="AA74" s="19" t="s">
        <v>65</v>
      </c>
      <c r="AB74" s="19" t="s">
        <v>65</v>
      </c>
      <c r="AC74" s="19" t="s">
        <v>65</v>
      </c>
      <c r="AD74" s="19" t="s">
        <v>66</v>
      </c>
      <c r="AE74" s="19">
        <v>0.0</v>
      </c>
    </row>
    <row r="75" ht="22.5" customHeight="1">
      <c r="A75" s="18">
        <v>46263.572120682875</v>
      </c>
      <c r="B75" s="19" t="s">
        <v>839</v>
      </c>
      <c r="C75" s="19" t="s">
        <v>840</v>
      </c>
      <c r="D75" s="19">
        <v>2.02001123E8</v>
      </c>
      <c r="E75" s="19" t="s">
        <v>3</v>
      </c>
      <c r="F75" s="19">
        <v>6.204953438E9</v>
      </c>
      <c r="G75" s="19" t="s">
        <v>839</v>
      </c>
      <c r="H75" s="19" t="s">
        <v>52</v>
      </c>
      <c r="K75" s="19" t="s">
        <v>841</v>
      </c>
      <c r="L75" s="20" t="s">
        <v>842</v>
      </c>
      <c r="M75" s="20" t="s">
        <v>843</v>
      </c>
      <c r="N75" s="19" t="s">
        <v>844</v>
      </c>
      <c r="O75" s="19" t="s">
        <v>845</v>
      </c>
      <c r="P75" s="19" t="s">
        <v>84</v>
      </c>
      <c r="Q75" s="19">
        <v>9.006630469E9</v>
      </c>
      <c r="R75" s="19" t="s">
        <v>846</v>
      </c>
      <c r="S75" s="19" t="s">
        <v>467</v>
      </c>
      <c r="T75" s="19" t="s">
        <v>847</v>
      </c>
      <c r="U75" s="19">
        <v>8.603283341E9</v>
      </c>
      <c r="V75" s="19">
        <v>2.0</v>
      </c>
      <c r="W75" s="19" t="s">
        <v>848</v>
      </c>
      <c r="X75" s="19" t="s">
        <v>91</v>
      </c>
      <c r="Y75" s="19" t="s">
        <v>849</v>
      </c>
      <c r="Z75" s="19" t="s">
        <v>93</v>
      </c>
      <c r="AA75" s="19" t="s">
        <v>94</v>
      </c>
      <c r="AB75" s="19" t="s">
        <v>65</v>
      </c>
      <c r="AC75" s="19" t="s">
        <v>94</v>
      </c>
      <c r="AD75" s="19" t="s">
        <v>66</v>
      </c>
      <c r="AE75" s="19">
        <v>0.0</v>
      </c>
    </row>
    <row r="76" ht="22.5" customHeight="1">
      <c r="A76" s="18">
        <v>46263.634716053246</v>
      </c>
      <c r="B76" s="19" t="s">
        <v>850</v>
      </c>
      <c r="C76" s="19" t="s">
        <v>851</v>
      </c>
      <c r="D76" s="19">
        <v>2.0210212E7</v>
      </c>
      <c r="E76" s="19" t="s">
        <v>5</v>
      </c>
      <c r="F76" s="19">
        <v>6.290455131E9</v>
      </c>
      <c r="G76" s="19" t="s">
        <v>852</v>
      </c>
      <c r="H76" s="19" t="s">
        <v>52</v>
      </c>
      <c r="I76" s="19" t="s">
        <v>853</v>
      </c>
      <c r="K76" s="19" t="s">
        <v>854</v>
      </c>
      <c r="L76" s="20" t="s">
        <v>855</v>
      </c>
      <c r="M76" s="20" t="s">
        <v>856</v>
      </c>
      <c r="N76" s="19" t="s">
        <v>857</v>
      </c>
      <c r="O76" s="19" t="s">
        <v>858</v>
      </c>
      <c r="P76" s="19" t="s">
        <v>854</v>
      </c>
      <c r="Q76" s="19">
        <v>8.98135771E9</v>
      </c>
      <c r="R76" s="19" t="s">
        <v>859</v>
      </c>
      <c r="S76" s="19" t="s">
        <v>467</v>
      </c>
      <c r="T76" s="19" t="s">
        <v>854</v>
      </c>
      <c r="U76" s="19">
        <v>6.290404676E9</v>
      </c>
      <c r="V76" s="19">
        <v>2.0</v>
      </c>
      <c r="W76" s="19" t="s">
        <v>857</v>
      </c>
      <c r="X76" s="19" t="s">
        <v>91</v>
      </c>
      <c r="Y76" s="19" t="s">
        <v>860</v>
      </c>
      <c r="Z76" s="19" t="s">
        <v>861</v>
      </c>
      <c r="AA76" s="19" t="s">
        <v>65</v>
      </c>
      <c r="AB76" s="19" t="s">
        <v>65</v>
      </c>
      <c r="AC76" s="19" t="s">
        <v>65</v>
      </c>
      <c r="AD76" s="19" t="s">
        <v>11</v>
      </c>
      <c r="AE76" s="19">
        <v>2.0</v>
      </c>
    </row>
    <row r="77" ht="22.5" customHeight="1">
      <c r="A77" s="18">
        <v>46263.64326521991</v>
      </c>
      <c r="B77" s="19" t="s">
        <v>862</v>
      </c>
      <c r="C77" s="19" t="s">
        <v>863</v>
      </c>
      <c r="D77" s="19">
        <v>2.0210247E7</v>
      </c>
      <c r="E77" s="19" t="s">
        <v>5</v>
      </c>
      <c r="F77" s="19">
        <v>8.436365622E9</v>
      </c>
      <c r="G77" s="19" t="s">
        <v>864</v>
      </c>
      <c r="H77" s="19" t="s">
        <v>52</v>
      </c>
      <c r="I77" s="19" t="s">
        <v>865</v>
      </c>
      <c r="K77" s="19" t="s">
        <v>866</v>
      </c>
      <c r="L77" s="20" t="s">
        <v>867</v>
      </c>
      <c r="M77" s="20" t="s">
        <v>868</v>
      </c>
      <c r="N77" s="19" t="s">
        <v>869</v>
      </c>
      <c r="O77" s="19" t="s">
        <v>870</v>
      </c>
      <c r="P77" s="19" t="s">
        <v>866</v>
      </c>
      <c r="Q77" s="19">
        <v>8.641982215E9</v>
      </c>
      <c r="R77" s="19" t="s">
        <v>871</v>
      </c>
      <c r="S77" s="19" t="s">
        <v>872</v>
      </c>
      <c r="T77" s="19" t="s">
        <v>866</v>
      </c>
      <c r="U77" s="19">
        <v>9.143218559E9</v>
      </c>
      <c r="V77" s="19">
        <v>2.0</v>
      </c>
      <c r="W77" s="19" t="s">
        <v>873</v>
      </c>
      <c r="X77" s="19" t="s">
        <v>91</v>
      </c>
      <c r="Y77" s="19" t="s">
        <v>874</v>
      </c>
      <c r="Z77" s="19" t="s">
        <v>93</v>
      </c>
      <c r="AA77" s="19" t="s">
        <v>65</v>
      </c>
      <c r="AB77" s="19" t="s">
        <v>65</v>
      </c>
      <c r="AC77" s="19" t="s">
        <v>65</v>
      </c>
      <c r="AD77" s="19" t="s">
        <v>66</v>
      </c>
      <c r="AE77" s="19">
        <v>0.0</v>
      </c>
    </row>
    <row r="78" ht="22.5" customHeight="1">
      <c r="A78" s="18">
        <v>46263.90703443287</v>
      </c>
      <c r="B78" s="19" t="s">
        <v>875</v>
      </c>
      <c r="C78" s="19" t="s">
        <v>876</v>
      </c>
      <c r="D78" s="19">
        <v>2.0210222E7</v>
      </c>
      <c r="E78" s="19" t="s">
        <v>5</v>
      </c>
      <c r="F78" s="19">
        <v>7.908304766E9</v>
      </c>
      <c r="G78" s="19" t="s">
        <v>875</v>
      </c>
      <c r="H78" s="19" t="s">
        <v>52</v>
      </c>
      <c r="I78" s="19" t="s">
        <v>877</v>
      </c>
      <c r="J78" s="19" t="s">
        <v>878</v>
      </c>
      <c r="K78" s="19" t="s">
        <v>879</v>
      </c>
      <c r="L78" s="20" t="s">
        <v>880</v>
      </c>
      <c r="M78" s="20" t="s">
        <v>881</v>
      </c>
      <c r="N78" s="19" t="s">
        <v>882</v>
      </c>
      <c r="O78" s="19" t="s">
        <v>88</v>
      </c>
      <c r="P78" s="19" t="s">
        <v>883</v>
      </c>
      <c r="Q78" s="19">
        <v>9.932803251E9</v>
      </c>
      <c r="R78" s="19" t="s">
        <v>884</v>
      </c>
      <c r="S78" s="19" t="s">
        <v>130</v>
      </c>
      <c r="T78" s="19" t="s">
        <v>883</v>
      </c>
      <c r="U78" s="19">
        <v>9.733291683E9</v>
      </c>
      <c r="V78" s="19">
        <v>2.0</v>
      </c>
      <c r="W78" s="19" t="s">
        <v>885</v>
      </c>
      <c r="X78" s="19" t="s">
        <v>145</v>
      </c>
      <c r="Y78" s="19" t="s">
        <v>884</v>
      </c>
      <c r="Z78" s="19" t="s">
        <v>133</v>
      </c>
      <c r="AA78" s="19" t="s">
        <v>65</v>
      </c>
      <c r="AB78" s="19" t="s">
        <v>65</v>
      </c>
      <c r="AC78" s="19" t="s">
        <v>65</v>
      </c>
      <c r="AD78" s="19" t="s">
        <v>10</v>
      </c>
      <c r="AE78" s="19">
        <v>3.0</v>
      </c>
    </row>
    <row r="79" ht="22.5" customHeight="1">
      <c r="A79" s="18">
        <v>46264.54728483796</v>
      </c>
      <c r="B79" s="19" t="s">
        <v>886</v>
      </c>
      <c r="C79" s="19" t="s">
        <v>887</v>
      </c>
      <c r="D79" s="19">
        <v>2.0230311E7</v>
      </c>
      <c r="E79" s="19" t="s">
        <v>4</v>
      </c>
      <c r="F79" s="19">
        <v>8.967968556E9</v>
      </c>
      <c r="G79" s="19" t="s">
        <v>886</v>
      </c>
      <c r="H79" s="19" t="s">
        <v>52</v>
      </c>
      <c r="K79" s="19" t="s">
        <v>888</v>
      </c>
      <c r="L79" s="20" t="s">
        <v>889</v>
      </c>
      <c r="M79" s="20" t="s">
        <v>890</v>
      </c>
      <c r="N79" s="19" t="s">
        <v>891</v>
      </c>
      <c r="O79" s="19" t="s">
        <v>892</v>
      </c>
      <c r="P79" s="19" t="s">
        <v>888</v>
      </c>
      <c r="Q79" s="19">
        <v>8.101805849E9</v>
      </c>
      <c r="R79" s="19" t="s">
        <v>893</v>
      </c>
      <c r="S79" s="19" t="s">
        <v>753</v>
      </c>
      <c r="T79" s="19" t="s">
        <v>888</v>
      </c>
      <c r="U79" s="19">
        <v>8.597421076E9</v>
      </c>
      <c r="V79" s="19">
        <v>1.0</v>
      </c>
      <c r="W79" s="19" t="s">
        <v>894</v>
      </c>
      <c r="X79" s="19" t="s">
        <v>895</v>
      </c>
      <c r="Y79" s="19" t="s">
        <v>896</v>
      </c>
      <c r="Z79" s="19" t="s">
        <v>897</v>
      </c>
      <c r="AA79" s="19" t="s">
        <v>65</v>
      </c>
      <c r="AB79" s="19" t="s">
        <v>65</v>
      </c>
      <c r="AC79" s="19" t="s">
        <v>65</v>
      </c>
    </row>
    <row r="80" ht="22.5" customHeight="1">
      <c r="A80" s="18">
        <v>46264.64436519676</v>
      </c>
      <c r="B80" s="19" t="s">
        <v>898</v>
      </c>
      <c r="C80" s="19" t="s">
        <v>899</v>
      </c>
      <c r="D80" s="19">
        <v>2.02001141E8</v>
      </c>
      <c r="E80" s="19" t="s">
        <v>3</v>
      </c>
      <c r="F80" s="19">
        <v>9.958065849E9</v>
      </c>
      <c r="G80" s="19" t="s">
        <v>900</v>
      </c>
      <c r="H80" s="19" t="s">
        <v>52</v>
      </c>
      <c r="I80" s="19" t="s">
        <v>901</v>
      </c>
      <c r="K80" s="19" t="s">
        <v>902</v>
      </c>
      <c r="L80" s="20" t="s">
        <v>903</v>
      </c>
      <c r="M80" s="20" t="s">
        <v>904</v>
      </c>
      <c r="N80" s="19" t="s">
        <v>905</v>
      </c>
      <c r="O80" s="19" t="s">
        <v>906</v>
      </c>
      <c r="P80" s="19" t="s">
        <v>902</v>
      </c>
      <c r="Q80" s="19">
        <v>9.35090579E9</v>
      </c>
      <c r="R80" s="19" t="s">
        <v>907</v>
      </c>
      <c r="S80" s="19" t="s">
        <v>908</v>
      </c>
      <c r="T80" s="19" t="s">
        <v>902</v>
      </c>
      <c r="U80" s="19">
        <v>8.076650205E9</v>
      </c>
      <c r="V80" s="19">
        <v>2.0</v>
      </c>
      <c r="W80" s="19" t="s">
        <v>905</v>
      </c>
      <c r="X80" s="19" t="s">
        <v>91</v>
      </c>
      <c r="Y80" s="19" t="s">
        <v>907</v>
      </c>
      <c r="Z80" s="19" t="s">
        <v>93</v>
      </c>
      <c r="AA80" s="19" t="s">
        <v>94</v>
      </c>
      <c r="AB80" s="19" t="s">
        <v>94</v>
      </c>
      <c r="AC80" s="19" t="s">
        <v>94</v>
      </c>
      <c r="AD80" s="19" t="s">
        <v>66</v>
      </c>
    </row>
    <row r="81" ht="22.5" customHeight="1">
      <c r="A81" s="18">
        <v>46264.64908991898</v>
      </c>
      <c r="B81" s="19" t="s">
        <v>909</v>
      </c>
      <c r="C81" s="19" t="s">
        <v>910</v>
      </c>
      <c r="D81" s="19" t="s">
        <v>911</v>
      </c>
      <c r="E81" s="19" t="s">
        <v>3</v>
      </c>
      <c r="F81" s="19">
        <v>8.777643438E9</v>
      </c>
      <c r="G81" s="19" t="s">
        <v>912</v>
      </c>
      <c r="H81" s="19" t="s">
        <v>52</v>
      </c>
      <c r="I81" s="19" t="s">
        <v>913</v>
      </c>
      <c r="J81" s="19" t="s">
        <v>914</v>
      </c>
      <c r="K81" s="19" t="s">
        <v>71</v>
      </c>
      <c r="L81" s="20" t="s">
        <v>915</v>
      </c>
      <c r="M81" s="20" t="s">
        <v>916</v>
      </c>
      <c r="N81" s="19" t="s">
        <v>917</v>
      </c>
      <c r="O81" s="19" t="s">
        <v>918</v>
      </c>
      <c r="P81" s="19" t="s">
        <v>71</v>
      </c>
      <c r="Q81" s="19">
        <v>7.980342566E9</v>
      </c>
      <c r="R81" s="19" t="s">
        <v>919</v>
      </c>
      <c r="S81" s="19" t="s">
        <v>219</v>
      </c>
      <c r="T81" s="19" t="s">
        <v>71</v>
      </c>
      <c r="U81" s="19">
        <v>8.98106359E9</v>
      </c>
      <c r="V81" s="19">
        <v>2.0</v>
      </c>
      <c r="W81" s="19" t="s">
        <v>919</v>
      </c>
      <c r="X81" s="19" t="s">
        <v>93</v>
      </c>
      <c r="Y81" s="19" t="s">
        <v>917</v>
      </c>
      <c r="Z81" s="19" t="s">
        <v>91</v>
      </c>
      <c r="AA81" s="19" t="s">
        <v>65</v>
      </c>
      <c r="AB81" s="19" t="s">
        <v>65</v>
      </c>
      <c r="AC81" s="19" t="s">
        <v>65</v>
      </c>
      <c r="AD81" s="19" t="s">
        <v>66</v>
      </c>
    </row>
    <row r="82" ht="22.5" customHeight="1">
      <c r="A82" s="18">
        <v>46264.652847743055</v>
      </c>
      <c r="B82" s="19" t="s">
        <v>920</v>
      </c>
      <c r="C82" s="19" t="s">
        <v>921</v>
      </c>
      <c r="D82" s="19">
        <v>2.0230406E7</v>
      </c>
      <c r="E82" s="19" t="s">
        <v>6</v>
      </c>
      <c r="F82" s="19">
        <v>8.018894955E9</v>
      </c>
      <c r="G82" s="19" t="s">
        <v>920</v>
      </c>
      <c r="H82" s="19" t="s">
        <v>52</v>
      </c>
      <c r="I82" s="19" t="s">
        <v>922</v>
      </c>
      <c r="J82" s="19" t="s">
        <v>923</v>
      </c>
      <c r="K82" s="19" t="s">
        <v>924</v>
      </c>
      <c r="L82" s="20" t="s">
        <v>925</v>
      </c>
      <c r="M82" s="20" t="s">
        <v>926</v>
      </c>
      <c r="N82" s="19" t="s">
        <v>927</v>
      </c>
      <c r="O82" s="19" t="s">
        <v>403</v>
      </c>
      <c r="P82" s="19" t="s">
        <v>928</v>
      </c>
      <c r="Q82" s="19">
        <v>7.077135656E9</v>
      </c>
      <c r="R82" s="19" t="s">
        <v>929</v>
      </c>
      <c r="S82" s="19" t="s">
        <v>525</v>
      </c>
      <c r="T82" s="19" t="s">
        <v>928</v>
      </c>
      <c r="U82" s="19">
        <v>7.077135656E9</v>
      </c>
      <c r="V82" s="19">
        <v>2.0</v>
      </c>
      <c r="W82" s="19" t="s">
        <v>927</v>
      </c>
      <c r="X82" s="19" t="s">
        <v>145</v>
      </c>
      <c r="Y82" s="19" t="s">
        <v>929</v>
      </c>
      <c r="Z82" s="19" t="s">
        <v>133</v>
      </c>
      <c r="AA82" s="19" t="s">
        <v>94</v>
      </c>
      <c r="AB82" s="19" t="s">
        <v>94</v>
      </c>
      <c r="AC82" s="19" t="s">
        <v>94</v>
      </c>
      <c r="AD82" s="19" t="s">
        <v>66</v>
      </c>
      <c r="AE82" s="19">
        <v>0.0</v>
      </c>
    </row>
    <row r="83" ht="22.5" customHeight="1">
      <c r="A83" s="18">
        <v>46264.667765</v>
      </c>
      <c r="B83" s="19" t="s">
        <v>930</v>
      </c>
      <c r="C83" s="19" t="s">
        <v>931</v>
      </c>
      <c r="D83" s="19">
        <v>2.0200199E7</v>
      </c>
      <c r="E83" s="19" t="s">
        <v>3</v>
      </c>
      <c r="F83" s="19">
        <v>8.113071161E9</v>
      </c>
      <c r="G83" s="19" t="s">
        <v>930</v>
      </c>
      <c r="H83" s="19" t="s">
        <v>52</v>
      </c>
      <c r="I83" s="19" t="s">
        <v>932</v>
      </c>
      <c r="J83" s="19" t="s">
        <v>933</v>
      </c>
      <c r="K83" s="19" t="s">
        <v>934</v>
      </c>
      <c r="L83" s="20" t="s">
        <v>935</v>
      </c>
      <c r="M83" s="20" t="s">
        <v>936</v>
      </c>
      <c r="N83" s="19" t="s">
        <v>937</v>
      </c>
      <c r="O83" s="19" t="s">
        <v>938</v>
      </c>
      <c r="P83" s="19" t="s">
        <v>939</v>
      </c>
      <c r="Q83" s="19">
        <v>9.847614625E9</v>
      </c>
      <c r="R83" s="19" t="s">
        <v>940</v>
      </c>
      <c r="S83" s="19" t="s">
        <v>941</v>
      </c>
      <c r="T83" s="19" t="s">
        <v>939</v>
      </c>
      <c r="U83" s="19">
        <v>8.84846664E9</v>
      </c>
      <c r="V83" s="19">
        <v>2.0</v>
      </c>
      <c r="W83" s="19" t="s">
        <v>937</v>
      </c>
      <c r="X83" s="19" t="s">
        <v>91</v>
      </c>
      <c r="Y83" s="19" t="s">
        <v>940</v>
      </c>
      <c r="Z83" s="19" t="s">
        <v>93</v>
      </c>
      <c r="AA83" s="19" t="s">
        <v>65</v>
      </c>
      <c r="AB83" s="19" t="s">
        <v>65</v>
      </c>
      <c r="AC83" s="19" t="s">
        <v>65</v>
      </c>
      <c r="AD83" s="19" t="s">
        <v>66</v>
      </c>
      <c r="AE83" s="19">
        <v>0.0</v>
      </c>
    </row>
    <row r="84" ht="22.5" customHeight="1">
      <c r="A84" s="18">
        <v>46264.672823796296</v>
      </c>
      <c r="B84" s="19" t="s">
        <v>942</v>
      </c>
      <c r="C84" s="19" t="s">
        <v>943</v>
      </c>
      <c r="D84" s="19" t="s">
        <v>944</v>
      </c>
      <c r="E84" s="19" t="s">
        <v>3</v>
      </c>
      <c r="F84" s="19">
        <v>9.903416146E9</v>
      </c>
      <c r="G84" s="19" t="s">
        <v>945</v>
      </c>
      <c r="H84" s="19" t="s">
        <v>52</v>
      </c>
      <c r="K84" s="19" t="s">
        <v>946</v>
      </c>
      <c r="L84" s="20" t="s">
        <v>947</v>
      </c>
      <c r="M84" s="20" t="s">
        <v>948</v>
      </c>
      <c r="N84" s="19" t="s">
        <v>949</v>
      </c>
      <c r="O84" s="19" t="s">
        <v>950</v>
      </c>
      <c r="P84" s="19" t="s">
        <v>157</v>
      </c>
      <c r="Q84" s="19">
        <v>8.27293834E9</v>
      </c>
      <c r="R84" s="19" t="s">
        <v>951</v>
      </c>
      <c r="S84" s="19" t="s">
        <v>130</v>
      </c>
      <c r="T84" s="19" t="s">
        <v>952</v>
      </c>
      <c r="U84" s="19">
        <v>9.477399505E9</v>
      </c>
      <c r="V84" s="19">
        <v>2.0</v>
      </c>
      <c r="W84" s="19" t="s">
        <v>949</v>
      </c>
      <c r="X84" s="19" t="s">
        <v>91</v>
      </c>
      <c r="Y84" s="19" t="s">
        <v>953</v>
      </c>
      <c r="Z84" s="19" t="s">
        <v>93</v>
      </c>
      <c r="AA84" s="19" t="s">
        <v>65</v>
      </c>
      <c r="AB84" s="19" t="s">
        <v>65</v>
      </c>
      <c r="AC84" s="19" t="s">
        <v>65</v>
      </c>
      <c r="AD84" s="19" t="s">
        <v>66</v>
      </c>
      <c r="AE84" s="19">
        <v>0.0</v>
      </c>
    </row>
    <row r="85" ht="22.5" customHeight="1">
      <c r="A85" s="18">
        <v>46264.720909490745</v>
      </c>
      <c r="B85" s="19" t="s">
        <v>954</v>
      </c>
      <c r="C85" s="19" t="s">
        <v>955</v>
      </c>
      <c r="D85" s="19">
        <v>2.0200169E7</v>
      </c>
      <c r="E85" s="19" t="s">
        <v>3</v>
      </c>
      <c r="F85" s="19">
        <v>9.59118026E9</v>
      </c>
      <c r="G85" s="19" t="s">
        <v>956</v>
      </c>
      <c r="H85" s="19" t="s">
        <v>52</v>
      </c>
      <c r="I85" s="19" t="s">
        <v>957</v>
      </c>
      <c r="J85" s="19" t="s">
        <v>958</v>
      </c>
      <c r="K85" s="19" t="s">
        <v>959</v>
      </c>
      <c r="L85" s="20" t="s">
        <v>960</v>
      </c>
      <c r="M85" s="20" t="s">
        <v>961</v>
      </c>
      <c r="N85" s="19" t="s">
        <v>962</v>
      </c>
      <c r="O85" s="19" t="s">
        <v>963</v>
      </c>
      <c r="P85" s="19" t="s">
        <v>959</v>
      </c>
      <c r="Q85" s="19">
        <v>9.945740299E9</v>
      </c>
      <c r="R85" s="19" t="s">
        <v>964</v>
      </c>
      <c r="S85" s="19" t="s">
        <v>965</v>
      </c>
      <c r="T85" s="19" t="s">
        <v>959</v>
      </c>
      <c r="U85" s="19">
        <v>9.731863312E9</v>
      </c>
      <c r="V85" s="19">
        <v>2.0</v>
      </c>
      <c r="W85" s="19" t="s">
        <v>962</v>
      </c>
      <c r="X85" s="19" t="s">
        <v>91</v>
      </c>
      <c r="Y85" s="19" t="s">
        <v>964</v>
      </c>
      <c r="Z85" s="19" t="s">
        <v>93</v>
      </c>
      <c r="AA85" s="19" t="s">
        <v>65</v>
      </c>
      <c r="AB85" s="19" t="s">
        <v>65</v>
      </c>
      <c r="AC85" s="19" t="s">
        <v>65</v>
      </c>
      <c r="AD85" s="19" t="s">
        <v>66</v>
      </c>
      <c r="AE85" s="19">
        <v>0.0</v>
      </c>
    </row>
    <row r="86" ht="22.5" customHeight="1">
      <c r="A86" s="18">
        <v>46264.72327453704</v>
      </c>
      <c r="B86" s="19" t="s">
        <v>966</v>
      </c>
      <c r="C86" s="19" t="s">
        <v>967</v>
      </c>
      <c r="D86" s="19">
        <v>2.0200176E7</v>
      </c>
      <c r="E86" s="19" t="s">
        <v>3</v>
      </c>
      <c r="F86" s="19">
        <v>7.35245305E9</v>
      </c>
      <c r="G86" s="19" t="s">
        <v>968</v>
      </c>
      <c r="H86" s="19" t="s">
        <v>52</v>
      </c>
      <c r="I86" s="19" t="s">
        <v>969</v>
      </c>
      <c r="J86" s="19" t="s">
        <v>970</v>
      </c>
      <c r="K86" s="19" t="s">
        <v>971</v>
      </c>
      <c r="L86" s="20" t="s">
        <v>972</v>
      </c>
      <c r="M86" s="20" t="s">
        <v>973</v>
      </c>
      <c r="N86" s="19" t="s">
        <v>974</v>
      </c>
      <c r="O86" s="19" t="s">
        <v>975</v>
      </c>
      <c r="P86" s="19" t="s">
        <v>976</v>
      </c>
      <c r="Q86" s="19">
        <v>9.334789078E9</v>
      </c>
      <c r="R86" s="19" t="s">
        <v>977</v>
      </c>
      <c r="S86" s="19" t="s">
        <v>130</v>
      </c>
      <c r="T86" s="19" t="s">
        <v>976</v>
      </c>
      <c r="U86" s="19">
        <v>9.334789078E9</v>
      </c>
      <c r="V86" s="19">
        <v>2.0</v>
      </c>
      <c r="W86" s="19" t="s">
        <v>974</v>
      </c>
      <c r="X86" s="19" t="s">
        <v>145</v>
      </c>
      <c r="Y86" s="19" t="s">
        <v>977</v>
      </c>
      <c r="Z86" s="19" t="s">
        <v>133</v>
      </c>
      <c r="AA86" s="19" t="s">
        <v>94</v>
      </c>
      <c r="AB86" s="19" t="s">
        <v>94</v>
      </c>
      <c r="AC86" s="19" t="s">
        <v>94</v>
      </c>
      <c r="AD86" s="19" t="s">
        <v>66</v>
      </c>
      <c r="AE86" s="19">
        <v>0.0</v>
      </c>
    </row>
    <row r="87" ht="22.5" customHeight="1">
      <c r="A87" s="18">
        <v>46264.76062990741</v>
      </c>
      <c r="B87" s="19" t="s">
        <v>978</v>
      </c>
      <c r="C87" s="19" t="s">
        <v>979</v>
      </c>
      <c r="D87" s="19">
        <v>2.0200151E7</v>
      </c>
      <c r="E87" s="19" t="s">
        <v>3</v>
      </c>
      <c r="F87" s="19">
        <v>9.337129829E9</v>
      </c>
      <c r="G87" s="19" t="s">
        <v>980</v>
      </c>
      <c r="H87" s="19" t="s">
        <v>52</v>
      </c>
      <c r="I87" s="19" t="s">
        <v>981</v>
      </c>
      <c r="J87" s="19" t="s">
        <v>982</v>
      </c>
      <c r="K87" s="19" t="s">
        <v>983</v>
      </c>
      <c r="L87" s="20" t="s">
        <v>984</v>
      </c>
      <c r="M87" s="20" t="s">
        <v>985</v>
      </c>
      <c r="N87" s="19" t="s">
        <v>986</v>
      </c>
      <c r="O87" s="19" t="s">
        <v>987</v>
      </c>
      <c r="P87" s="19" t="s">
        <v>988</v>
      </c>
      <c r="Q87" s="19">
        <v>7.827575483E9</v>
      </c>
      <c r="R87" s="19" t="s">
        <v>989</v>
      </c>
      <c r="S87" s="19" t="s">
        <v>990</v>
      </c>
      <c r="T87" s="19" t="s">
        <v>988</v>
      </c>
      <c r="U87" s="19">
        <v>8.895584818E9</v>
      </c>
      <c r="V87" s="19">
        <v>1.0</v>
      </c>
      <c r="W87" s="19" t="s">
        <v>991</v>
      </c>
      <c r="X87" s="19" t="s">
        <v>91</v>
      </c>
      <c r="AA87" s="19" t="s">
        <v>94</v>
      </c>
      <c r="AB87" s="19" t="s">
        <v>94</v>
      </c>
      <c r="AD87" s="19" t="s">
        <v>66</v>
      </c>
      <c r="AE87" s="19">
        <v>0.0</v>
      </c>
    </row>
    <row r="88" ht="22.5" customHeight="1">
      <c r="A88" s="18">
        <v>46264.770809814814</v>
      </c>
      <c r="B88" s="19" t="s">
        <v>992</v>
      </c>
      <c r="C88" s="19" t="s">
        <v>993</v>
      </c>
      <c r="D88" s="19" t="s">
        <v>994</v>
      </c>
      <c r="E88" s="19" t="s">
        <v>3</v>
      </c>
      <c r="F88" s="19">
        <v>7.908126837E9</v>
      </c>
      <c r="G88" s="19" t="s">
        <v>995</v>
      </c>
      <c r="H88" s="19" t="s">
        <v>52</v>
      </c>
      <c r="I88" s="19" t="s">
        <v>996</v>
      </c>
      <c r="K88" s="19" t="s">
        <v>997</v>
      </c>
      <c r="L88" s="20" t="s">
        <v>998</v>
      </c>
      <c r="M88" s="20" t="s">
        <v>999</v>
      </c>
      <c r="N88" s="19" t="s">
        <v>1000</v>
      </c>
      <c r="O88" s="19" t="s">
        <v>1001</v>
      </c>
      <c r="P88" s="19" t="s">
        <v>997</v>
      </c>
      <c r="Q88" s="19">
        <v>7.908989497E9</v>
      </c>
      <c r="R88" s="19" t="s">
        <v>1002</v>
      </c>
      <c r="S88" s="19" t="s">
        <v>1003</v>
      </c>
      <c r="T88" s="19" t="s">
        <v>997</v>
      </c>
      <c r="U88" s="19">
        <v>9.474663399E9</v>
      </c>
      <c r="V88" s="19">
        <v>2.0</v>
      </c>
      <c r="W88" s="19" t="s">
        <v>1004</v>
      </c>
      <c r="X88" s="19" t="s">
        <v>91</v>
      </c>
      <c r="Y88" s="19" t="s">
        <v>1005</v>
      </c>
      <c r="Z88" s="19" t="s">
        <v>133</v>
      </c>
      <c r="AA88" s="19" t="s">
        <v>65</v>
      </c>
      <c r="AB88" s="19" t="s">
        <v>65</v>
      </c>
      <c r="AC88" s="19" t="s">
        <v>94</v>
      </c>
      <c r="AD88" s="19" t="s">
        <v>66</v>
      </c>
    </row>
    <row r="89" ht="22.5" customHeight="1">
      <c r="A89" s="18">
        <v>46264.775871018515</v>
      </c>
      <c r="B89" s="19" t="s">
        <v>1006</v>
      </c>
      <c r="C89" s="19" t="s">
        <v>1007</v>
      </c>
      <c r="D89" s="19" t="s">
        <v>1008</v>
      </c>
      <c r="E89" s="19" t="s">
        <v>3</v>
      </c>
      <c r="F89" s="19">
        <v>9.383106349E9</v>
      </c>
      <c r="G89" s="19" t="s">
        <v>1006</v>
      </c>
      <c r="H89" s="19" t="s">
        <v>52</v>
      </c>
      <c r="I89" s="19" t="s">
        <v>1009</v>
      </c>
      <c r="K89" s="19" t="s">
        <v>1010</v>
      </c>
      <c r="L89" s="20" t="s">
        <v>1011</v>
      </c>
      <c r="M89" s="20" t="s">
        <v>1012</v>
      </c>
      <c r="N89" s="19" t="s">
        <v>1013</v>
      </c>
      <c r="O89" s="19" t="s">
        <v>403</v>
      </c>
      <c r="P89" s="19" t="s">
        <v>1014</v>
      </c>
      <c r="Q89" s="19">
        <v>7.005403521E9</v>
      </c>
      <c r="R89" s="19" t="s">
        <v>1015</v>
      </c>
      <c r="S89" s="19" t="s">
        <v>525</v>
      </c>
      <c r="T89" s="19" t="s">
        <v>1014</v>
      </c>
      <c r="U89" s="19">
        <v>9.383106349E9</v>
      </c>
      <c r="V89" s="19">
        <v>1.0</v>
      </c>
      <c r="W89" s="19" t="s">
        <v>1016</v>
      </c>
      <c r="X89" s="19" t="s">
        <v>1017</v>
      </c>
      <c r="AA89" s="19" t="s">
        <v>65</v>
      </c>
      <c r="AB89" s="19" t="s">
        <v>65</v>
      </c>
      <c r="AD89" s="19" t="s">
        <v>66</v>
      </c>
    </row>
    <row r="90" ht="22.5" customHeight="1">
      <c r="A90" s="18">
        <v>46264.80190770833</v>
      </c>
      <c r="B90" s="19" t="s">
        <v>1018</v>
      </c>
      <c r="C90" s="19" t="s">
        <v>1019</v>
      </c>
      <c r="D90" s="19">
        <v>2.0200197E7</v>
      </c>
      <c r="E90" s="19" t="s">
        <v>3</v>
      </c>
      <c r="F90" s="19">
        <v>9.933492817E9</v>
      </c>
      <c r="G90" s="19" t="s">
        <v>1020</v>
      </c>
      <c r="H90" s="19" t="s">
        <v>52</v>
      </c>
      <c r="I90" s="19" t="s">
        <v>1021</v>
      </c>
      <c r="K90" s="19" t="s">
        <v>436</v>
      </c>
      <c r="L90" s="20" t="s">
        <v>1022</v>
      </c>
      <c r="M90" s="20" t="s">
        <v>1023</v>
      </c>
      <c r="N90" s="19" t="s">
        <v>1024</v>
      </c>
      <c r="O90" s="19" t="s">
        <v>1025</v>
      </c>
      <c r="P90" s="19" t="s">
        <v>441</v>
      </c>
      <c r="Q90" s="19">
        <v>9.641492848E9</v>
      </c>
      <c r="R90" s="19" t="s">
        <v>1026</v>
      </c>
      <c r="S90" s="19" t="s">
        <v>800</v>
      </c>
      <c r="T90" s="19" t="s">
        <v>1027</v>
      </c>
      <c r="U90" s="19">
        <v>7.908035189E9</v>
      </c>
      <c r="V90" s="19">
        <v>2.0</v>
      </c>
      <c r="W90" s="19" t="s">
        <v>1028</v>
      </c>
      <c r="X90" s="19" t="s">
        <v>91</v>
      </c>
      <c r="Y90" s="19" t="s">
        <v>1026</v>
      </c>
      <c r="Z90" s="19" t="s">
        <v>93</v>
      </c>
      <c r="AA90" s="19" t="s">
        <v>65</v>
      </c>
      <c r="AB90" s="19" t="s">
        <v>65</v>
      </c>
      <c r="AC90" s="19" t="s">
        <v>65</v>
      </c>
      <c r="AD90" s="19" t="s">
        <v>10</v>
      </c>
      <c r="AE90" s="19">
        <v>3.0</v>
      </c>
    </row>
    <row r="91" ht="22.5" customHeight="1">
      <c r="A91" s="18">
        <v>46264.809969953705</v>
      </c>
      <c r="B91" s="19" t="s">
        <v>1029</v>
      </c>
      <c r="C91" s="19" t="s">
        <v>1030</v>
      </c>
      <c r="D91" s="19">
        <v>2.02001163E8</v>
      </c>
      <c r="E91" s="19" t="s">
        <v>3</v>
      </c>
      <c r="F91" s="19">
        <v>8.341737691E9</v>
      </c>
      <c r="G91" s="19" t="s">
        <v>1029</v>
      </c>
      <c r="H91" s="19" t="s">
        <v>52</v>
      </c>
      <c r="I91" s="19" t="s">
        <v>1031</v>
      </c>
      <c r="J91" s="19" t="s">
        <v>1032</v>
      </c>
      <c r="K91" s="19" t="s">
        <v>1033</v>
      </c>
      <c r="L91" s="20" t="s">
        <v>1034</v>
      </c>
      <c r="M91" s="20" t="s">
        <v>1035</v>
      </c>
      <c r="N91" s="19" t="s">
        <v>1036</v>
      </c>
      <c r="O91" s="19" t="s">
        <v>1037</v>
      </c>
      <c r="P91" s="19" t="s">
        <v>1038</v>
      </c>
      <c r="Q91" s="19">
        <v>8.919187309E9</v>
      </c>
      <c r="R91" s="19" t="s">
        <v>1039</v>
      </c>
      <c r="S91" s="19" t="s">
        <v>118</v>
      </c>
      <c r="T91" s="19" t="s">
        <v>1038</v>
      </c>
      <c r="U91" s="19">
        <v>8.317611083E9</v>
      </c>
      <c r="V91" s="19">
        <v>2.0</v>
      </c>
      <c r="W91" s="19" t="s">
        <v>1036</v>
      </c>
      <c r="X91" s="19" t="s">
        <v>145</v>
      </c>
      <c r="Y91" s="19" t="s">
        <v>1040</v>
      </c>
      <c r="Z91" s="19" t="s">
        <v>133</v>
      </c>
      <c r="AA91" s="19" t="s">
        <v>65</v>
      </c>
      <c r="AB91" s="19" t="s">
        <v>65</v>
      </c>
      <c r="AC91" s="19" t="s">
        <v>65</v>
      </c>
      <c r="AD91" s="19" t="s">
        <v>11</v>
      </c>
      <c r="AE91" s="19">
        <v>2.0</v>
      </c>
    </row>
    <row r="92" ht="22.5" customHeight="1">
      <c r="A92" s="18">
        <v>46264.81534148148</v>
      </c>
      <c r="B92" s="19" t="s">
        <v>1041</v>
      </c>
      <c r="C92" s="19" t="s">
        <v>1042</v>
      </c>
      <c r="D92" s="19" t="s">
        <v>1043</v>
      </c>
      <c r="E92" s="19" t="s">
        <v>3</v>
      </c>
      <c r="F92" s="19">
        <v>9.188573375E9</v>
      </c>
      <c r="G92" s="19" t="s">
        <v>1041</v>
      </c>
      <c r="H92" s="19" t="s">
        <v>52</v>
      </c>
      <c r="K92" s="19" t="s">
        <v>773</v>
      </c>
      <c r="L92" s="20" t="s">
        <v>1044</v>
      </c>
      <c r="M92" s="20" t="s">
        <v>1045</v>
      </c>
      <c r="N92" s="19" t="s">
        <v>1046</v>
      </c>
      <c r="O92" s="19" t="s">
        <v>1047</v>
      </c>
      <c r="P92" s="19" t="s">
        <v>1048</v>
      </c>
      <c r="Q92" s="19">
        <v>6.235195823E9</v>
      </c>
      <c r="R92" s="19" t="s">
        <v>1049</v>
      </c>
      <c r="S92" s="19" t="s">
        <v>1050</v>
      </c>
      <c r="T92" s="19" t="s">
        <v>1048</v>
      </c>
      <c r="U92" s="19">
        <v>9.633533665E9</v>
      </c>
      <c r="V92" s="19">
        <v>1.0</v>
      </c>
      <c r="W92" s="19" t="s">
        <v>1049</v>
      </c>
      <c r="X92" s="19" t="s">
        <v>93</v>
      </c>
      <c r="AA92" s="19" t="s">
        <v>94</v>
      </c>
      <c r="AB92" s="19" t="s">
        <v>94</v>
      </c>
      <c r="AD92" s="19" t="s">
        <v>66</v>
      </c>
      <c r="AE92" s="19">
        <v>0.0</v>
      </c>
    </row>
    <row r="93" ht="22.5" customHeight="1">
      <c r="A93" s="18">
        <v>46264.827741562505</v>
      </c>
      <c r="B93" s="19" t="s">
        <v>1051</v>
      </c>
      <c r="C93" s="19" t="s">
        <v>1052</v>
      </c>
      <c r="D93" s="19">
        <v>2.02001124E8</v>
      </c>
      <c r="E93" s="19" t="s">
        <v>3</v>
      </c>
      <c r="F93" s="19">
        <v>9.799092569E9</v>
      </c>
      <c r="G93" s="19" t="s">
        <v>1053</v>
      </c>
      <c r="H93" s="19" t="s">
        <v>52</v>
      </c>
      <c r="I93" s="19" t="s">
        <v>1054</v>
      </c>
      <c r="K93" s="19" t="s">
        <v>1055</v>
      </c>
      <c r="L93" s="20" t="s">
        <v>1056</v>
      </c>
      <c r="M93" s="20" t="s">
        <v>1057</v>
      </c>
      <c r="N93" s="19" t="s">
        <v>1058</v>
      </c>
      <c r="O93" s="19" t="s">
        <v>60</v>
      </c>
      <c r="P93" s="19" t="s">
        <v>1055</v>
      </c>
      <c r="Q93" s="19">
        <v>9.431891302E9</v>
      </c>
      <c r="R93" s="19" t="s">
        <v>1059</v>
      </c>
      <c r="S93" s="19" t="s">
        <v>1060</v>
      </c>
      <c r="T93" s="19" t="s">
        <v>1055</v>
      </c>
      <c r="U93" s="19">
        <v>8.25287629E9</v>
      </c>
      <c r="V93" s="19">
        <v>0.0</v>
      </c>
      <c r="AA93" s="19" t="s">
        <v>65</v>
      </c>
      <c r="AD93" s="19" t="s">
        <v>66</v>
      </c>
    </row>
    <row r="94" ht="22.5" customHeight="1">
      <c r="A94" s="18">
        <v>46264.83983052083</v>
      </c>
      <c r="B94" s="19" t="s">
        <v>1061</v>
      </c>
      <c r="C94" s="19" t="s">
        <v>1062</v>
      </c>
      <c r="D94" s="19">
        <v>2.0200114E7</v>
      </c>
      <c r="E94" s="19" t="s">
        <v>3</v>
      </c>
      <c r="F94" s="19">
        <v>6.295614611E9</v>
      </c>
      <c r="G94" s="19" t="s">
        <v>1061</v>
      </c>
      <c r="H94" s="19" t="s">
        <v>52</v>
      </c>
      <c r="I94" s="19" t="s">
        <v>238</v>
      </c>
      <c r="J94" s="19" t="s">
        <v>1063</v>
      </c>
      <c r="K94" s="19" t="s">
        <v>1064</v>
      </c>
      <c r="L94" s="20" t="s">
        <v>1065</v>
      </c>
      <c r="M94" s="20" t="s">
        <v>1066</v>
      </c>
      <c r="N94" s="19" t="s">
        <v>1067</v>
      </c>
      <c r="O94" s="19" t="s">
        <v>1068</v>
      </c>
      <c r="P94" s="19" t="s">
        <v>1069</v>
      </c>
      <c r="Q94" s="19">
        <v>6.297473298E9</v>
      </c>
      <c r="R94" s="19" t="s">
        <v>1070</v>
      </c>
      <c r="S94" s="19" t="s">
        <v>365</v>
      </c>
      <c r="T94" s="19" t="s">
        <v>1064</v>
      </c>
      <c r="U94" s="19">
        <v>7.908479314E9</v>
      </c>
      <c r="V94" s="19">
        <v>2.0</v>
      </c>
      <c r="W94" s="19" t="s">
        <v>1070</v>
      </c>
      <c r="X94" s="19" t="s">
        <v>133</v>
      </c>
      <c r="Y94" s="19" t="s">
        <v>1071</v>
      </c>
      <c r="Z94" s="19" t="s">
        <v>145</v>
      </c>
      <c r="AA94" s="19" t="s">
        <v>65</v>
      </c>
      <c r="AB94" s="19" t="s">
        <v>94</v>
      </c>
      <c r="AC94" s="19" t="s">
        <v>65</v>
      </c>
      <c r="AD94" s="19" t="s">
        <v>66</v>
      </c>
    </row>
    <row r="95" ht="22.5" customHeight="1">
      <c r="A95" s="18">
        <v>46264.85141974537</v>
      </c>
      <c r="B95" s="19" t="s">
        <v>1072</v>
      </c>
      <c r="C95" s="19" t="s">
        <v>1073</v>
      </c>
      <c r="D95" s="19">
        <v>2.0210217E7</v>
      </c>
      <c r="E95" s="19" t="s">
        <v>5</v>
      </c>
      <c r="F95" s="19">
        <v>6.29504067E9</v>
      </c>
      <c r="G95" s="19" t="s">
        <v>1072</v>
      </c>
      <c r="H95" s="19" t="s">
        <v>52</v>
      </c>
      <c r="I95" s="19" t="s">
        <v>1074</v>
      </c>
      <c r="J95" s="19" t="s">
        <v>1075</v>
      </c>
      <c r="K95" s="19" t="s">
        <v>1076</v>
      </c>
      <c r="L95" s="20" t="s">
        <v>1077</v>
      </c>
      <c r="M95" s="20" t="s">
        <v>1078</v>
      </c>
      <c r="N95" s="19" t="s">
        <v>1079</v>
      </c>
      <c r="O95" s="19" t="s">
        <v>1080</v>
      </c>
      <c r="P95" s="19" t="s">
        <v>1076</v>
      </c>
      <c r="Q95" s="19">
        <v>8.617659762E9</v>
      </c>
      <c r="R95" s="19" t="s">
        <v>1081</v>
      </c>
      <c r="S95" s="19" t="s">
        <v>391</v>
      </c>
      <c r="T95" s="19" t="s">
        <v>1076</v>
      </c>
      <c r="U95" s="19">
        <v>8.001512822E9</v>
      </c>
      <c r="V95" s="19">
        <v>2.0</v>
      </c>
      <c r="W95" s="19" t="s">
        <v>1079</v>
      </c>
      <c r="X95" s="19" t="s">
        <v>91</v>
      </c>
      <c r="Y95" s="19" t="s">
        <v>1081</v>
      </c>
      <c r="Z95" s="19" t="s">
        <v>93</v>
      </c>
      <c r="AA95" s="19" t="s">
        <v>65</v>
      </c>
      <c r="AB95" s="19" t="s">
        <v>65</v>
      </c>
      <c r="AC95" s="19" t="s">
        <v>65</v>
      </c>
      <c r="AD95" s="19" t="s">
        <v>10</v>
      </c>
      <c r="AE95" s="19">
        <v>3.0</v>
      </c>
    </row>
    <row r="96" ht="22.5" customHeight="1">
      <c r="A96" s="18">
        <v>46264.851554733796</v>
      </c>
      <c r="B96" s="19" t="s">
        <v>1082</v>
      </c>
      <c r="C96" s="19" t="s">
        <v>1083</v>
      </c>
      <c r="D96" s="19">
        <v>2.0210216E7</v>
      </c>
      <c r="E96" s="19" t="s">
        <v>5</v>
      </c>
      <c r="F96" s="19">
        <v>9.973417831E9</v>
      </c>
      <c r="G96" s="19" t="s">
        <v>1082</v>
      </c>
      <c r="H96" s="19" t="s">
        <v>52</v>
      </c>
      <c r="I96" s="19" t="s">
        <v>1084</v>
      </c>
      <c r="J96" s="19" t="s">
        <v>1085</v>
      </c>
      <c r="K96" s="19" t="s">
        <v>1086</v>
      </c>
      <c r="L96" s="20" t="s">
        <v>1087</v>
      </c>
      <c r="M96" s="20" t="s">
        <v>1088</v>
      </c>
      <c r="N96" s="19" t="s">
        <v>1089</v>
      </c>
      <c r="O96" s="19" t="s">
        <v>417</v>
      </c>
      <c r="P96" s="19" t="s">
        <v>1090</v>
      </c>
      <c r="Q96" s="19">
        <v>7.033232188E9</v>
      </c>
      <c r="R96" s="19" t="s">
        <v>1091</v>
      </c>
      <c r="S96" s="19" t="s">
        <v>130</v>
      </c>
      <c r="T96" s="19" t="s">
        <v>1086</v>
      </c>
      <c r="U96" s="19">
        <v>8.092010547E9</v>
      </c>
      <c r="V96" s="19">
        <v>1.0</v>
      </c>
      <c r="W96" s="19" t="s">
        <v>1092</v>
      </c>
      <c r="X96" s="19" t="s">
        <v>64</v>
      </c>
      <c r="AA96" s="19" t="s">
        <v>65</v>
      </c>
      <c r="AB96" s="19" t="s">
        <v>94</v>
      </c>
      <c r="AD96" s="19" t="s">
        <v>10</v>
      </c>
      <c r="AE96" s="19">
        <v>2.0</v>
      </c>
    </row>
    <row r="97" ht="22.5" customHeight="1">
      <c r="A97" s="18">
        <v>46264.859808298614</v>
      </c>
      <c r="B97" s="19" t="s">
        <v>1093</v>
      </c>
      <c r="C97" s="19" t="s">
        <v>1094</v>
      </c>
      <c r="D97" s="19">
        <v>2.0200111E8</v>
      </c>
      <c r="E97" s="19" t="s">
        <v>3</v>
      </c>
      <c r="F97" s="19">
        <v>9.679315598E9</v>
      </c>
      <c r="G97" s="19" t="s">
        <v>1093</v>
      </c>
      <c r="H97" s="19" t="s">
        <v>52</v>
      </c>
      <c r="I97" s="19" t="s">
        <v>1095</v>
      </c>
      <c r="J97" s="19" t="s">
        <v>1096</v>
      </c>
      <c r="K97" s="19" t="s">
        <v>1097</v>
      </c>
      <c r="L97" s="20" t="s">
        <v>1098</v>
      </c>
      <c r="M97" s="20" t="s">
        <v>1099</v>
      </c>
      <c r="N97" s="19" t="s">
        <v>1100</v>
      </c>
      <c r="O97" s="19" t="s">
        <v>1101</v>
      </c>
      <c r="P97" s="19" t="s">
        <v>1102</v>
      </c>
      <c r="Q97" s="19">
        <v>9.593372255E9</v>
      </c>
      <c r="R97" s="19" t="s">
        <v>1103</v>
      </c>
      <c r="S97" s="19" t="s">
        <v>1104</v>
      </c>
      <c r="T97" s="19" t="s">
        <v>1102</v>
      </c>
      <c r="U97" s="19">
        <v>9.733064422E9</v>
      </c>
      <c r="V97" s="19">
        <v>2.0</v>
      </c>
      <c r="W97" s="19" t="s">
        <v>1103</v>
      </c>
      <c r="X97" s="19" t="s">
        <v>93</v>
      </c>
      <c r="Y97" s="19" t="s">
        <v>1105</v>
      </c>
      <c r="Z97" s="19" t="s">
        <v>1106</v>
      </c>
      <c r="AA97" s="19" t="s">
        <v>65</v>
      </c>
      <c r="AB97" s="19" t="s">
        <v>65</v>
      </c>
      <c r="AC97" s="19" t="s">
        <v>65</v>
      </c>
    </row>
    <row r="98" ht="22.5" customHeight="1">
      <c r="A98" s="18">
        <v>46264.860053067125</v>
      </c>
      <c r="B98" s="19" t="s">
        <v>1107</v>
      </c>
      <c r="C98" s="19" t="s">
        <v>1108</v>
      </c>
      <c r="D98" s="19">
        <v>2.0210237E7</v>
      </c>
      <c r="E98" s="19" t="s">
        <v>5</v>
      </c>
      <c r="F98" s="19">
        <v>7.074977255E9</v>
      </c>
      <c r="G98" s="19" t="s">
        <v>1109</v>
      </c>
      <c r="H98" s="19" t="s">
        <v>52</v>
      </c>
      <c r="I98" s="19" t="s">
        <v>1110</v>
      </c>
      <c r="K98" s="19" t="s">
        <v>1111</v>
      </c>
      <c r="L98" s="20" t="s">
        <v>1112</v>
      </c>
      <c r="M98" s="20" t="s">
        <v>1113</v>
      </c>
      <c r="N98" s="19" t="s">
        <v>1114</v>
      </c>
      <c r="O98" s="19" t="s">
        <v>1115</v>
      </c>
      <c r="P98" s="19" t="s">
        <v>1111</v>
      </c>
      <c r="Q98" s="19">
        <v>9.474814312E9</v>
      </c>
      <c r="R98" s="19" t="s">
        <v>1116</v>
      </c>
      <c r="S98" s="19" t="s">
        <v>391</v>
      </c>
      <c r="T98" s="19" t="s">
        <v>436</v>
      </c>
      <c r="U98" s="19">
        <v>9.134190091E9</v>
      </c>
      <c r="V98" s="19">
        <v>2.0</v>
      </c>
      <c r="W98" s="19" t="s">
        <v>1114</v>
      </c>
      <c r="X98" s="19" t="s">
        <v>145</v>
      </c>
      <c r="Y98" s="19" t="s">
        <v>1116</v>
      </c>
      <c r="Z98" s="19" t="s">
        <v>133</v>
      </c>
      <c r="AA98" s="19" t="s">
        <v>65</v>
      </c>
      <c r="AB98" s="19" t="s">
        <v>65</v>
      </c>
      <c r="AC98" s="19" t="s">
        <v>65</v>
      </c>
    </row>
    <row r="99" ht="22.5" customHeight="1">
      <c r="A99" s="18">
        <v>46264.895832951384</v>
      </c>
      <c r="B99" s="19" t="s">
        <v>1117</v>
      </c>
      <c r="C99" s="19" t="s">
        <v>1118</v>
      </c>
      <c r="D99" s="19">
        <v>2.0200158E7</v>
      </c>
      <c r="E99" s="19" t="s">
        <v>3</v>
      </c>
      <c r="F99" s="19">
        <v>9.453612551E9</v>
      </c>
      <c r="G99" s="19" t="s">
        <v>1119</v>
      </c>
      <c r="H99" s="19" t="s">
        <v>52</v>
      </c>
      <c r="I99" s="19" t="s">
        <v>518</v>
      </c>
      <c r="J99" s="19" t="s">
        <v>518</v>
      </c>
      <c r="K99" s="19" t="s">
        <v>1120</v>
      </c>
      <c r="L99" s="20" t="s">
        <v>1121</v>
      </c>
      <c r="M99" s="20" t="s">
        <v>1122</v>
      </c>
      <c r="N99" s="19" t="s">
        <v>1123</v>
      </c>
      <c r="O99" s="19" t="s">
        <v>1124</v>
      </c>
      <c r="P99" s="19" t="s">
        <v>1124</v>
      </c>
      <c r="Q99" s="19">
        <v>9.453612551E9</v>
      </c>
      <c r="R99" s="19" t="s">
        <v>1125</v>
      </c>
      <c r="S99" s="19" t="s">
        <v>118</v>
      </c>
      <c r="T99" s="19" t="s">
        <v>1126</v>
      </c>
      <c r="U99" s="19">
        <v>9.12593713E9</v>
      </c>
      <c r="V99" s="19">
        <v>0.0</v>
      </c>
      <c r="AA99" s="19" t="s">
        <v>65</v>
      </c>
      <c r="AD99" s="19" t="s">
        <v>66</v>
      </c>
    </row>
    <row r="100" ht="22.5" customHeight="1">
      <c r="A100" s="18">
        <v>46264.89768414352</v>
      </c>
      <c r="B100" s="19" t="s">
        <v>1127</v>
      </c>
      <c r="C100" s="19" t="s">
        <v>1128</v>
      </c>
      <c r="D100" s="19">
        <v>2.02001157E8</v>
      </c>
      <c r="E100" s="19" t="s">
        <v>3</v>
      </c>
      <c r="F100" s="19">
        <v>9.67462244E9</v>
      </c>
      <c r="G100" s="19" t="s">
        <v>1127</v>
      </c>
      <c r="H100" s="19" t="s">
        <v>52</v>
      </c>
      <c r="K100" s="19" t="s">
        <v>71</v>
      </c>
      <c r="L100" s="20" t="s">
        <v>1129</v>
      </c>
      <c r="M100" s="20" t="s">
        <v>1130</v>
      </c>
      <c r="N100" s="19" t="s">
        <v>1131</v>
      </c>
      <c r="O100" s="19" t="s">
        <v>523</v>
      </c>
      <c r="P100" s="19" t="s">
        <v>71</v>
      </c>
      <c r="Q100" s="19">
        <v>9.87426436E9</v>
      </c>
      <c r="R100" s="19" t="s">
        <v>1132</v>
      </c>
      <c r="S100" s="19" t="s">
        <v>1133</v>
      </c>
      <c r="T100" s="19" t="s">
        <v>71</v>
      </c>
      <c r="U100" s="19">
        <v>9.836080313E9</v>
      </c>
      <c r="V100" s="19">
        <v>2.0</v>
      </c>
      <c r="W100" s="19" t="s">
        <v>1134</v>
      </c>
      <c r="X100" s="19" t="s">
        <v>93</v>
      </c>
      <c r="Y100" s="19" t="s">
        <v>1135</v>
      </c>
      <c r="Z100" s="19" t="s">
        <v>91</v>
      </c>
      <c r="AA100" s="19" t="s">
        <v>65</v>
      </c>
      <c r="AB100" s="19" t="s">
        <v>94</v>
      </c>
      <c r="AC100" s="19" t="s">
        <v>94</v>
      </c>
      <c r="AD100" s="19" t="s">
        <v>66</v>
      </c>
      <c r="AE100" s="19">
        <v>0.0</v>
      </c>
    </row>
    <row r="101" ht="22.5" customHeight="1">
      <c r="A101" s="18">
        <v>46264.901803518514</v>
      </c>
      <c r="B101" s="19" t="s">
        <v>1136</v>
      </c>
      <c r="C101" s="19" t="s">
        <v>1137</v>
      </c>
      <c r="D101" s="19" t="s">
        <v>1138</v>
      </c>
      <c r="E101" s="19" t="s">
        <v>3</v>
      </c>
      <c r="F101" s="19">
        <v>9.821267506E9</v>
      </c>
      <c r="G101" s="19" t="s">
        <v>1139</v>
      </c>
      <c r="H101" s="19" t="s">
        <v>52</v>
      </c>
      <c r="I101" s="19" t="s">
        <v>1140</v>
      </c>
      <c r="J101" s="19" t="s">
        <v>1141</v>
      </c>
      <c r="K101" s="19" t="s">
        <v>1142</v>
      </c>
      <c r="L101" s="20" t="s">
        <v>1143</v>
      </c>
      <c r="M101" s="20" t="s">
        <v>1144</v>
      </c>
      <c r="N101" s="19" t="s">
        <v>1145</v>
      </c>
      <c r="O101" s="19" t="s">
        <v>1146</v>
      </c>
      <c r="P101" s="19" t="s">
        <v>1147</v>
      </c>
      <c r="Q101" s="19">
        <v>8.851573417E9</v>
      </c>
      <c r="R101" s="19" t="s">
        <v>1148</v>
      </c>
      <c r="S101" s="19" t="s">
        <v>1149</v>
      </c>
      <c r="T101" s="19" t="s">
        <v>841</v>
      </c>
      <c r="U101" s="19">
        <v>7.00443658E9</v>
      </c>
      <c r="V101" s="19">
        <v>2.0</v>
      </c>
      <c r="W101" s="19" t="s">
        <v>1150</v>
      </c>
      <c r="X101" s="19" t="s">
        <v>93</v>
      </c>
      <c r="Y101" s="19" t="s">
        <v>1151</v>
      </c>
      <c r="Z101" s="19" t="s">
        <v>861</v>
      </c>
      <c r="AA101" s="19" t="s">
        <v>94</v>
      </c>
      <c r="AB101" s="19" t="s">
        <v>65</v>
      </c>
      <c r="AC101" s="19" t="s">
        <v>94</v>
      </c>
      <c r="AD101" s="19" t="s">
        <v>66</v>
      </c>
      <c r="AE101" s="19">
        <v>0.0</v>
      </c>
    </row>
    <row r="102" ht="22.5" customHeight="1">
      <c r="A102" s="18">
        <v>46264.90421167824</v>
      </c>
      <c r="B102" s="19" t="s">
        <v>1152</v>
      </c>
      <c r="C102" s="19" t="s">
        <v>1153</v>
      </c>
      <c r="D102" s="19" t="s">
        <v>1154</v>
      </c>
      <c r="E102" s="19" t="s">
        <v>3</v>
      </c>
      <c r="F102" s="19">
        <v>9.339307495E9</v>
      </c>
      <c r="G102" s="19" t="s">
        <v>1152</v>
      </c>
      <c r="H102" s="19" t="s">
        <v>52</v>
      </c>
      <c r="K102" s="19" t="s">
        <v>1155</v>
      </c>
      <c r="L102" s="20" t="s">
        <v>1156</v>
      </c>
      <c r="M102" s="20" t="s">
        <v>1157</v>
      </c>
      <c r="N102" s="19" t="s">
        <v>1158</v>
      </c>
      <c r="O102" s="19" t="s">
        <v>892</v>
      </c>
      <c r="P102" s="19" t="s">
        <v>1159</v>
      </c>
      <c r="Q102" s="19">
        <v>9.775223168E9</v>
      </c>
      <c r="R102" s="19" t="s">
        <v>1160</v>
      </c>
      <c r="S102" s="19" t="s">
        <v>1161</v>
      </c>
      <c r="T102" s="19" t="s">
        <v>1159</v>
      </c>
      <c r="U102" s="19">
        <v>9.73435414E9</v>
      </c>
      <c r="V102" s="19">
        <v>2.0</v>
      </c>
      <c r="W102" s="19" t="s">
        <v>1162</v>
      </c>
      <c r="X102" s="19" t="s">
        <v>79</v>
      </c>
      <c r="Y102" s="19" t="s">
        <v>1163</v>
      </c>
      <c r="Z102" s="19" t="s">
        <v>80</v>
      </c>
      <c r="AA102" s="19" t="s">
        <v>65</v>
      </c>
      <c r="AB102" s="19" t="s">
        <v>65</v>
      </c>
      <c r="AC102" s="19" t="s">
        <v>65</v>
      </c>
    </row>
    <row r="103" ht="22.5" customHeight="1">
      <c r="A103" s="18">
        <v>46264.924275405094</v>
      </c>
      <c r="B103" s="19" t="s">
        <v>1164</v>
      </c>
      <c r="C103" s="19" t="s">
        <v>1165</v>
      </c>
      <c r="D103" s="19">
        <v>2.023031E7</v>
      </c>
      <c r="E103" s="19" t="s">
        <v>4</v>
      </c>
      <c r="F103" s="19">
        <v>7.019124752E9</v>
      </c>
      <c r="G103" s="19" t="s">
        <v>1164</v>
      </c>
      <c r="H103" s="19" t="s">
        <v>52</v>
      </c>
      <c r="I103" s="19" t="s">
        <v>1166</v>
      </c>
      <c r="J103" s="19" t="s">
        <v>1167</v>
      </c>
      <c r="K103" s="19" t="s">
        <v>1168</v>
      </c>
      <c r="L103" s="20" t="s">
        <v>1169</v>
      </c>
      <c r="M103" s="20" t="s">
        <v>1170</v>
      </c>
      <c r="N103" s="19" t="s">
        <v>1171</v>
      </c>
      <c r="O103" s="19" t="s">
        <v>1172</v>
      </c>
      <c r="P103" s="19" t="s">
        <v>1173</v>
      </c>
      <c r="Q103" s="19">
        <v>9.741745139E9</v>
      </c>
      <c r="R103" s="19" t="s">
        <v>1174</v>
      </c>
      <c r="S103" s="19" t="s">
        <v>1175</v>
      </c>
      <c r="T103" s="19" t="s">
        <v>1176</v>
      </c>
      <c r="U103" s="19">
        <v>8.660537404E9</v>
      </c>
      <c r="V103" s="19">
        <v>1.0</v>
      </c>
      <c r="W103" s="19" t="s">
        <v>1177</v>
      </c>
      <c r="X103" s="19" t="s">
        <v>1178</v>
      </c>
      <c r="AA103" s="19" t="s">
        <v>65</v>
      </c>
      <c r="AB103" s="19" t="s">
        <v>65</v>
      </c>
      <c r="AD103" s="19" t="s">
        <v>66</v>
      </c>
      <c r="AE103" s="19">
        <v>0.0</v>
      </c>
    </row>
    <row r="104" ht="22.5" customHeight="1">
      <c r="A104" s="18">
        <v>46264.938354363425</v>
      </c>
      <c r="B104" s="19" t="s">
        <v>1179</v>
      </c>
      <c r="C104" s="19" t="s">
        <v>1180</v>
      </c>
      <c r="D104" s="19">
        <v>2.0210219E7</v>
      </c>
      <c r="E104" s="19" t="s">
        <v>5</v>
      </c>
      <c r="F104" s="19">
        <v>7.076867322E9</v>
      </c>
      <c r="G104" s="19" t="s">
        <v>1181</v>
      </c>
      <c r="H104" s="19" t="s">
        <v>52</v>
      </c>
      <c r="K104" s="19" t="s">
        <v>1182</v>
      </c>
      <c r="L104" s="20" t="s">
        <v>1183</v>
      </c>
      <c r="M104" s="20" t="s">
        <v>1184</v>
      </c>
      <c r="N104" s="19" t="s">
        <v>1185</v>
      </c>
      <c r="O104" s="19" t="s">
        <v>1186</v>
      </c>
      <c r="P104" s="19" t="s">
        <v>1182</v>
      </c>
      <c r="Q104" s="19">
        <v>9.734824034E9</v>
      </c>
      <c r="R104" s="19" t="s">
        <v>1187</v>
      </c>
      <c r="S104" s="19" t="s">
        <v>130</v>
      </c>
      <c r="T104" s="19" t="s">
        <v>1182</v>
      </c>
      <c r="U104" s="19">
        <v>9.734831622E9</v>
      </c>
      <c r="V104" s="19">
        <v>2.0</v>
      </c>
      <c r="W104" s="19" t="s">
        <v>1185</v>
      </c>
      <c r="X104" s="19" t="s">
        <v>91</v>
      </c>
      <c r="Y104" s="19" t="s">
        <v>1187</v>
      </c>
      <c r="Z104" s="19" t="s">
        <v>93</v>
      </c>
      <c r="AA104" s="19" t="s">
        <v>65</v>
      </c>
      <c r="AB104" s="19" t="s">
        <v>65</v>
      </c>
      <c r="AC104" s="19" t="s">
        <v>65</v>
      </c>
      <c r="AD104" s="19" t="s">
        <v>66</v>
      </c>
    </row>
    <row r="105" ht="22.5" customHeight="1">
      <c r="A105" s="18">
        <v>46264.96352222222</v>
      </c>
      <c r="B105" s="19" t="s">
        <v>1188</v>
      </c>
      <c r="C105" s="19" t="s">
        <v>1189</v>
      </c>
      <c r="D105" s="19">
        <v>2.0200187E7</v>
      </c>
      <c r="E105" s="19" t="s">
        <v>3</v>
      </c>
      <c r="F105" s="19">
        <v>9.593374105E9</v>
      </c>
      <c r="G105" s="19" t="s">
        <v>1188</v>
      </c>
      <c r="H105" s="19" t="s">
        <v>52</v>
      </c>
      <c r="I105" s="19" t="s">
        <v>1190</v>
      </c>
      <c r="J105" s="19" t="s">
        <v>1191</v>
      </c>
      <c r="K105" s="19" t="s">
        <v>1192</v>
      </c>
      <c r="L105" s="20" t="s">
        <v>1193</v>
      </c>
      <c r="M105" s="20" t="s">
        <v>1194</v>
      </c>
      <c r="N105" s="19" t="s">
        <v>1195</v>
      </c>
      <c r="O105" s="19" t="s">
        <v>1196</v>
      </c>
      <c r="P105" s="19" t="s">
        <v>1197</v>
      </c>
      <c r="Q105" s="19">
        <v>8.250308109E9</v>
      </c>
      <c r="R105" s="19" t="s">
        <v>1198</v>
      </c>
      <c r="S105" s="19" t="s">
        <v>1199</v>
      </c>
      <c r="T105" s="19" t="s">
        <v>1197</v>
      </c>
      <c r="U105" s="19">
        <v>9.339817732E9</v>
      </c>
      <c r="V105" s="19">
        <v>2.0</v>
      </c>
      <c r="W105" s="19" t="s">
        <v>1200</v>
      </c>
      <c r="X105" s="19" t="s">
        <v>145</v>
      </c>
      <c r="Y105" s="19" t="s">
        <v>1198</v>
      </c>
      <c r="Z105" s="19" t="s">
        <v>133</v>
      </c>
      <c r="AA105" s="19" t="s">
        <v>65</v>
      </c>
      <c r="AB105" s="19" t="s">
        <v>65</v>
      </c>
      <c r="AC105" s="19" t="s">
        <v>65</v>
      </c>
      <c r="AD105" s="19" t="s">
        <v>11</v>
      </c>
      <c r="AE105" s="19">
        <v>3.0</v>
      </c>
    </row>
    <row r="106" ht="22.5" customHeight="1">
      <c r="A106" s="18">
        <v>46264.97498388889</v>
      </c>
      <c r="B106" s="19" t="s">
        <v>1201</v>
      </c>
      <c r="C106" s="19" t="s">
        <v>1202</v>
      </c>
      <c r="D106" s="19" t="s">
        <v>1203</v>
      </c>
      <c r="E106" s="19" t="s">
        <v>3</v>
      </c>
      <c r="F106" s="19">
        <v>7.025146621E9</v>
      </c>
      <c r="G106" s="19" t="s">
        <v>1201</v>
      </c>
      <c r="H106" s="19" t="s">
        <v>52</v>
      </c>
      <c r="I106" s="19" t="s">
        <v>1204</v>
      </c>
      <c r="J106" s="19" t="s">
        <v>1205</v>
      </c>
      <c r="K106" s="19" t="s">
        <v>1206</v>
      </c>
      <c r="L106" s="20" t="s">
        <v>1207</v>
      </c>
      <c r="M106" s="20" t="s">
        <v>1208</v>
      </c>
      <c r="N106" s="19" t="s">
        <v>1209</v>
      </c>
      <c r="O106" s="19" t="s">
        <v>1210</v>
      </c>
      <c r="P106" s="19" t="s">
        <v>1206</v>
      </c>
      <c r="Q106" s="19">
        <v>7.907703594E9</v>
      </c>
      <c r="R106" s="19" t="s">
        <v>1211</v>
      </c>
      <c r="S106" s="19" t="s">
        <v>118</v>
      </c>
      <c r="T106" s="19" t="s">
        <v>1206</v>
      </c>
      <c r="U106" s="19">
        <v>9.544007937E9</v>
      </c>
      <c r="V106" s="19">
        <v>2.0</v>
      </c>
      <c r="W106" s="19" t="s">
        <v>1212</v>
      </c>
      <c r="X106" s="19" t="s">
        <v>91</v>
      </c>
      <c r="Y106" s="19" t="s">
        <v>1211</v>
      </c>
      <c r="Z106" s="19" t="s">
        <v>93</v>
      </c>
      <c r="AA106" s="19" t="s">
        <v>65</v>
      </c>
      <c r="AB106" s="19" t="s">
        <v>65</v>
      </c>
      <c r="AC106" s="19" t="s">
        <v>65</v>
      </c>
      <c r="AD106" s="19" t="s">
        <v>66</v>
      </c>
      <c r="AE106" s="19">
        <v>0.0</v>
      </c>
    </row>
    <row r="107" ht="22.5" customHeight="1">
      <c r="A107" s="18">
        <v>46264.97686145833</v>
      </c>
      <c r="B107" s="19" t="s">
        <v>1213</v>
      </c>
      <c r="C107" s="19" t="s">
        <v>1214</v>
      </c>
      <c r="D107" s="19" t="s">
        <v>1215</v>
      </c>
      <c r="E107" s="19" t="s">
        <v>3</v>
      </c>
      <c r="F107" s="19">
        <v>8.250397348E9</v>
      </c>
      <c r="G107" s="19" t="s">
        <v>1216</v>
      </c>
      <c r="H107" s="19" t="s">
        <v>52</v>
      </c>
      <c r="I107" s="19" t="s">
        <v>1217</v>
      </c>
      <c r="J107" s="19" t="s">
        <v>1218</v>
      </c>
      <c r="K107" s="19" t="s">
        <v>1219</v>
      </c>
      <c r="L107" s="20" t="s">
        <v>1220</v>
      </c>
      <c r="M107" s="20" t="s">
        <v>1221</v>
      </c>
      <c r="N107" s="19" t="s">
        <v>1222</v>
      </c>
      <c r="O107" s="19" t="s">
        <v>1223</v>
      </c>
      <c r="P107" s="19" t="s">
        <v>1224</v>
      </c>
      <c r="Q107" s="19">
        <v>9.434181325E9</v>
      </c>
      <c r="R107" s="19" t="s">
        <v>1225</v>
      </c>
      <c r="S107" s="19" t="s">
        <v>106</v>
      </c>
      <c r="T107" s="19" t="s">
        <v>1224</v>
      </c>
      <c r="U107" s="19">
        <v>9.475081596E9</v>
      </c>
      <c r="V107" s="19">
        <v>2.0</v>
      </c>
      <c r="W107" s="19" t="s">
        <v>1222</v>
      </c>
      <c r="X107" s="19" t="s">
        <v>91</v>
      </c>
      <c r="Y107" s="19" t="s">
        <v>1225</v>
      </c>
      <c r="Z107" s="19" t="s">
        <v>93</v>
      </c>
      <c r="AA107" s="19" t="s">
        <v>65</v>
      </c>
      <c r="AB107" s="19" t="s">
        <v>65</v>
      </c>
      <c r="AC107" s="19" t="s">
        <v>65</v>
      </c>
      <c r="AD107" s="19" t="s">
        <v>11</v>
      </c>
      <c r="AE107" s="19">
        <v>3.0</v>
      </c>
    </row>
    <row r="108" ht="22.5" customHeight="1">
      <c r="A108" s="18">
        <v>46264.98208627314</v>
      </c>
      <c r="B108" s="19" t="s">
        <v>1226</v>
      </c>
      <c r="C108" s="19" t="s">
        <v>1227</v>
      </c>
      <c r="D108" s="19" t="s">
        <v>1228</v>
      </c>
      <c r="E108" s="19" t="s">
        <v>3</v>
      </c>
      <c r="F108" s="19">
        <v>8.281643135E9</v>
      </c>
      <c r="G108" s="19" t="s">
        <v>1226</v>
      </c>
      <c r="H108" s="19" t="s">
        <v>52</v>
      </c>
      <c r="I108" s="19" t="s">
        <v>1229</v>
      </c>
      <c r="J108" s="19" t="s">
        <v>1230</v>
      </c>
      <c r="K108" s="19" t="s">
        <v>1231</v>
      </c>
      <c r="L108" s="20" t="s">
        <v>1232</v>
      </c>
      <c r="M108" s="20" t="s">
        <v>1233</v>
      </c>
      <c r="N108" s="19" t="s">
        <v>1234</v>
      </c>
      <c r="O108" s="19" t="s">
        <v>60</v>
      </c>
      <c r="P108" s="19" t="s">
        <v>1235</v>
      </c>
      <c r="Q108" s="19">
        <v>9.847015135E9</v>
      </c>
      <c r="R108" s="19" t="s">
        <v>1236</v>
      </c>
      <c r="S108" s="19" t="s">
        <v>60</v>
      </c>
      <c r="T108" s="19" t="s">
        <v>1235</v>
      </c>
      <c r="U108" s="19">
        <v>9.656215135E9</v>
      </c>
      <c r="V108" s="19">
        <v>2.0</v>
      </c>
      <c r="W108" s="19" t="s">
        <v>1237</v>
      </c>
      <c r="X108" s="19" t="s">
        <v>145</v>
      </c>
      <c r="Y108" s="19" t="s">
        <v>1238</v>
      </c>
      <c r="Z108" s="19" t="s">
        <v>133</v>
      </c>
      <c r="AA108" s="19" t="s">
        <v>65</v>
      </c>
      <c r="AB108" s="19" t="s">
        <v>65</v>
      </c>
      <c r="AC108" s="19" t="s">
        <v>65</v>
      </c>
      <c r="AD108" s="19" t="s">
        <v>66</v>
      </c>
      <c r="AE108" s="19">
        <v>0.0</v>
      </c>
    </row>
    <row r="109" ht="22.5" customHeight="1">
      <c r="A109" s="18">
        <v>46264.98457273148</v>
      </c>
      <c r="B109" s="19" t="s">
        <v>1239</v>
      </c>
      <c r="C109" s="19" t="s">
        <v>1240</v>
      </c>
      <c r="D109" s="19">
        <v>2.0210204E7</v>
      </c>
      <c r="E109" s="19" t="s">
        <v>5</v>
      </c>
      <c r="F109" s="19">
        <v>9.523587958E9</v>
      </c>
      <c r="G109" s="19" t="s">
        <v>1241</v>
      </c>
      <c r="H109" s="19" t="s">
        <v>52</v>
      </c>
      <c r="I109" s="19" t="s">
        <v>1242</v>
      </c>
      <c r="J109" s="19" t="s">
        <v>1243</v>
      </c>
      <c r="K109" s="19" t="s">
        <v>763</v>
      </c>
      <c r="L109" s="20" t="s">
        <v>1244</v>
      </c>
      <c r="M109" s="20" t="s">
        <v>1245</v>
      </c>
      <c r="N109" s="19" t="s">
        <v>1246</v>
      </c>
      <c r="O109" s="19" t="s">
        <v>1247</v>
      </c>
      <c r="P109" s="19" t="s">
        <v>84</v>
      </c>
      <c r="Q109" s="19">
        <v>9.931002109E9</v>
      </c>
      <c r="R109" s="19" t="s">
        <v>1248</v>
      </c>
      <c r="S109" s="19" t="s">
        <v>293</v>
      </c>
      <c r="T109" s="19" t="s">
        <v>84</v>
      </c>
      <c r="U109" s="19">
        <v>9.065901034E9</v>
      </c>
      <c r="V109" s="19">
        <v>2.0</v>
      </c>
      <c r="W109" s="19" t="s">
        <v>1246</v>
      </c>
      <c r="X109" s="19" t="s">
        <v>145</v>
      </c>
      <c r="Y109" s="19" t="s">
        <v>1248</v>
      </c>
      <c r="Z109" s="19" t="s">
        <v>133</v>
      </c>
      <c r="AA109" s="19" t="s">
        <v>94</v>
      </c>
      <c r="AB109" s="19" t="s">
        <v>94</v>
      </c>
      <c r="AC109" s="19" t="s">
        <v>94</v>
      </c>
      <c r="AD109" s="19" t="s">
        <v>66</v>
      </c>
      <c r="AE109" s="19">
        <v>0.0</v>
      </c>
    </row>
    <row r="110" ht="22.5" customHeight="1">
      <c r="A110" s="18">
        <v>46265.00516487268</v>
      </c>
      <c r="B110" s="19" t="s">
        <v>1249</v>
      </c>
      <c r="C110" s="19" t="s">
        <v>1250</v>
      </c>
      <c r="D110" s="19" t="s">
        <v>1251</v>
      </c>
      <c r="E110" s="19" t="s">
        <v>3</v>
      </c>
      <c r="F110" s="19">
        <v>8.274949371E9</v>
      </c>
      <c r="G110" s="19" t="s">
        <v>1249</v>
      </c>
      <c r="H110" s="19" t="s">
        <v>52</v>
      </c>
      <c r="I110" s="19" t="s">
        <v>1252</v>
      </c>
      <c r="K110" s="19" t="s">
        <v>1253</v>
      </c>
      <c r="L110" s="20" t="s">
        <v>1254</v>
      </c>
      <c r="M110" s="20" t="s">
        <v>1255</v>
      </c>
      <c r="N110" s="19" t="s">
        <v>1256</v>
      </c>
      <c r="O110" s="19" t="s">
        <v>1257</v>
      </c>
      <c r="P110" s="19" t="s">
        <v>1258</v>
      </c>
      <c r="Q110" s="19">
        <v>9.903255498E9</v>
      </c>
      <c r="R110" s="19" t="s">
        <v>1259</v>
      </c>
      <c r="S110" s="19" t="s">
        <v>208</v>
      </c>
      <c r="T110" s="19" t="s">
        <v>1258</v>
      </c>
      <c r="U110" s="19">
        <v>6.290182457E9</v>
      </c>
      <c r="V110" s="19">
        <v>2.0</v>
      </c>
      <c r="W110" s="19" t="s">
        <v>1260</v>
      </c>
      <c r="X110" s="19" t="s">
        <v>79</v>
      </c>
      <c r="Y110" s="19" t="s">
        <v>1259</v>
      </c>
      <c r="Z110" s="19" t="s">
        <v>80</v>
      </c>
      <c r="AA110" s="19" t="s">
        <v>65</v>
      </c>
      <c r="AB110" s="19" t="s">
        <v>65</v>
      </c>
      <c r="AC110" s="19" t="s">
        <v>94</v>
      </c>
      <c r="AD110" s="19" t="s">
        <v>66</v>
      </c>
      <c r="AE110" s="19">
        <v>0.0</v>
      </c>
    </row>
    <row r="111" ht="22.5" customHeight="1">
      <c r="A111" s="18">
        <v>46265.00995335648</v>
      </c>
      <c r="B111" s="19" t="s">
        <v>1261</v>
      </c>
      <c r="C111" s="19" t="s">
        <v>1262</v>
      </c>
      <c r="D111" s="19">
        <v>2023038.0</v>
      </c>
      <c r="E111" s="19" t="s">
        <v>4</v>
      </c>
      <c r="F111" s="19">
        <v>7.978924859E9</v>
      </c>
      <c r="G111" s="19" t="s">
        <v>1263</v>
      </c>
      <c r="H111" s="19" t="s">
        <v>52</v>
      </c>
      <c r="I111" s="19" t="s">
        <v>1264</v>
      </c>
      <c r="J111" s="19" t="s">
        <v>1265</v>
      </c>
      <c r="K111" s="19" t="s">
        <v>1266</v>
      </c>
      <c r="L111" s="20" t="s">
        <v>1267</v>
      </c>
      <c r="M111" s="20" t="s">
        <v>1268</v>
      </c>
      <c r="N111" s="19" t="s">
        <v>1269</v>
      </c>
      <c r="O111" s="19" t="s">
        <v>1270</v>
      </c>
      <c r="P111" s="19" t="s">
        <v>1271</v>
      </c>
      <c r="Q111" s="19">
        <v>8.763955099E9</v>
      </c>
      <c r="R111" s="19" t="s">
        <v>1272</v>
      </c>
      <c r="S111" s="19" t="s">
        <v>118</v>
      </c>
      <c r="T111" s="19" t="s">
        <v>1271</v>
      </c>
      <c r="U111" s="19">
        <v>8.763955099E9</v>
      </c>
      <c r="V111" s="19">
        <v>2.0</v>
      </c>
      <c r="W111" s="19" t="s">
        <v>1273</v>
      </c>
      <c r="X111" s="19" t="s">
        <v>145</v>
      </c>
      <c r="Y111" s="19" t="s">
        <v>1274</v>
      </c>
      <c r="Z111" s="19" t="s">
        <v>133</v>
      </c>
      <c r="AA111" s="19" t="s">
        <v>65</v>
      </c>
      <c r="AB111" s="19" t="s">
        <v>65</v>
      </c>
      <c r="AC111" s="19" t="s">
        <v>65</v>
      </c>
      <c r="AD111" s="19" t="s">
        <v>66</v>
      </c>
      <c r="AE111" s="19">
        <v>0.0</v>
      </c>
    </row>
    <row r="112" ht="22.5" customHeight="1">
      <c r="A112" s="18">
        <v>46265.16448895833</v>
      </c>
      <c r="B112" s="19" t="s">
        <v>1275</v>
      </c>
      <c r="C112" s="19" t="s">
        <v>1276</v>
      </c>
      <c r="D112" s="19" t="s">
        <v>1277</v>
      </c>
      <c r="E112" s="19" t="s">
        <v>3</v>
      </c>
      <c r="F112" s="19">
        <v>9.234370051E9</v>
      </c>
      <c r="G112" s="19" t="s">
        <v>1275</v>
      </c>
      <c r="H112" s="19" t="s">
        <v>52</v>
      </c>
      <c r="I112" s="19" t="s">
        <v>1278</v>
      </c>
      <c r="J112" s="19" t="s">
        <v>1279</v>
      </c>
      <c r="K112" s="19" t="s">
        <v>1280</v>
      </c>
      <c r="L112" s="20" t="s">
        <v>1281</v>
      </c>
      <c r="M112" s="20" t="s">
        <v>1282</v>
      </c>
      <c r="N112" s="19" t="s">
        <v>1283</v>
      </c>
      <c r="O112" s="19" t="s">
        <v>1284</v>
      </c>
      <c r="P112" s="19" t="s">
        <v>1284</v>
      </c>
      <c r="Q112" s="19">
        <v>8.084069687E9</v>
      </c>
      <c r="R112" s="19" t="s">
        <v>1285</v>
      </c>
      <c r="S112" s="19" t="s">
        <v>106</v>
      </c>
      <c r="T112" s="19" t="s">
        <v>763</v>
      </c>
      <c r="U112" s="19">
        <v>8.084069687E9</v>
      </c>
      <c r="V112" s="19">
        <v>2.0</v>
      </c>
      <c r="W112" s="19" t="s">
        <v>1286</v>
      </c>
      <c r="X112" s="19" t="s">
        <v>198</v>
      </c>
      <c r="Y112" s="19" t="s">
        <v>1287</v>
      </c>
      <c r="Z112" s="19" t="s">
        <v>64</v>
      </c>
      <c r="AA112" s="19" t="s">
        <v>65</v>
      </c>
      <c r="AB112" s="19" t="s">
        <v>65</v>
      </c>
      <c r="AC112" s="19" t="s">
        <v>65</v>
      </c>
      <c r="AD112" s="19" t="s">
        <v>66</v>
      </c>
      <c r="AE112" s="19">
        <v>0.0</v>
      </c>
    </row>
    <row r="113" ht="22.5" customHeight="1">
      <c r="A113" s="18">
        <v>46265.19043809028</v>
      </c>
      <c r="B113" s="19" t="s">
        <v>1288</v>
      </c>
      <c r="C113" s="19" t="s">
        <v>1289</v>
      </c>
      <c r="D113" s="19">
        <v>2.0200116E8</v>
      </c>
      <c r="E113" s="19" t="s">
        <v>3</v>
      </c>
      <c r="F113" s="19">
        <v>9.65675673E9</v>
      </c>
      <c r="G113" s="19" t="s">
        <v>1290</v>
      </c>
      <c r="H113" s="19" t="s">
        <v>52</v>
      </c>
      <c r="I113" s="19" t="s">
        <v>1291</v>
      </c>
      <c r="K113" s="19" t="s">
        <v>773</v>
      </c>
      <c r="L113" s="20" t="s">
        <v>1292</v>
      </c>
      <c r="M113" s="20" t="s">
        <v>1293</v>
      </c>
      <c r="N113" s="19" t="s">
        <v>1294</v>
      </c>
      <c r="O113" s="19" t="s">
        <v>1295</v>
      </c>
      <c r="P113" s="19" t="s">
        <v>773</v>
      </c>
      <c r="Q113" s="19">
        <v>9.744691019E9</v>
      </c>
      <c r="R113" s="19" t="s">
        <v>1296</v>
      </c>
      <c r="S113" s="19" t="s">
        <v>219</v>
      </c>
      <c r="T113" s="19" t="s">
        <v>773</v>
      </c>
      <c r="U113" s="19">
        <v>8.11384862E9</v>
      </c>
      <c r="V113" s="19">
        <v>2.0</v>
      </c>
      <c r="W113" s="19" t="s">
        <v>1297</v>
      </c>
      <c r="X113" s="19" t="s">
        <v>234</v>
      </c>
      <c r="Y113" s="19" t="s">
        <v>1298</v>
      </c>
      <c r="Z113" s="19" t="s">
        <v>234</v>
      </c>
      <c r="AA113" s="19" t="s">
        <v>65</v>
      </c>
      <c r="AB113" s="19" t="s">
        <v>65</v>
      </c>
      <c r="AC113" s="19" t="s">
        <v>65</v>
      </c>
      <c r="AD113" s="19" t="s">
        <v>11</v>
      </c>
      <c r="AE113" s="19">
        <v>1.0</v>
      </c>
    </row>
    <row r="114" ht="22.5" customHeight="1">
      <c r="A114" s="18">
        <v>46265.322078599536</v>
      </c>
      <c r="B114" s="19" t="s">
        <v>1299</v>
      </c>
      <c r="C114" s="19" t="s">
        <v>1300</v>
      </c>
      <c r="D114" s="19" t="s">
        <v>1301</v>
      </c>
      <c r="E114" s="19" t="s">
        <v>3</v>
      </c>
      <c r="F114" s="19">
        <v>7.604052975E9</v>
      </c>
      <c r="G114" s="19" t="s">
        <v>1299</v>
      </c>
      <c r="H114" s="19" t="s">
        <v>52</v>
      </c>
      <c r="I114" s="19" t="s">
        <v>1302</v>
      </c>
      <c r="K114" s="19" t="s">
        <v>988</v>
      </c>
      <c r="L114" s="20" t="s">
        <v>1303</v>
      </c>
      <c r="M114" s="20" t="s">
        <v>1304</v>
      </c>
      <c r="N114" s="19" t="s">
        <v>1305</v>
      </c>
      <c r="O114" s="19" t="s">
        <v>1306</v>
      </c>
      <c r="P114" s="19" t="s">
        <v>1307</v>
      </c>
      <c r="Q114" s="19">
        <v>9.836819135E9</v>
      </c>
      <c r="R114" s="19" t="s">
        <v>1308</v>
      </c>
      <c r="S114" s="19" t="s">
        <v>78</v>
      </c>
      <c r="T114" s="19" t="s">
        <v>1307</v>
      </c>
      <c r="U114" s="19">
        <v>9.831525908E9</v>
      </c>
      <c r="V114" s="19">
        <v>2.0</v>
      </c>
      <c r="W114" s="19" t="s">
        <v>1305</v>
      </c>
      <c r="X114" s="19" t="s">
        <v>79</v>
      </c>
      <c r="Y114" s="19" t="s">
        <v>1308</v>
      </c>
      <c r="Z114" s="19" t="s">
        <v>80</v>
      </c>
      <c r="AA114" s="19" t="s">
        <v>65</v>
      </c>
      <c r="AB114" s="19" t="s">
        <v>65</v>
      </c>
      <c r="AC114" s="19" t="s">
        <v>65</v>
      </c>
      <c r="AD114" s="19" t="s">
        <v>66</v>
      </c>
    </row>
    <row r="115" ht="22.5" customHeight="1">
      <c r="A115" s="18">
        <v>46265.33354774305</v>
      </c>
      <c r="B115" s="19" t="s">
        <v>1309</v>
      </c>
      <c r="C115" s="19" t="s">
        <v>1310</v>
      </c>
      <c r="D115" s="19">
        <v>2.0210206E7</v>
      </c>
      <c r="E115" s="19" t="s">
        <v>5</v>
      </c>
      <c r="F115" s="19">
        <v>7.81081631E9</v>
      </c>
      <c r="G115" s="19" t="s">
        <v>1311</v>
      </c>
      <c r="H115" s="19" t="s">
        <v>52</v>
      </c>
      <c r="I115" s="19" t="s">
        <v>1312</v>
      </c>
      <c r="K115" s="19" t="s">
        <v>1313</v>
      </c>
      <c r="L115" s="20" t="s">
        <v>1314</v>
      </c>
      <c r="M115" s="20" t="s">
        <v>1315</v>
      </c>
      <c r="N115" s="19" t="s">
        <v>1316</v>
      </c>
      <c r="O115" s="19" t="s">
        <v>232</v>
      </c>
      <c r="P115" s="19" t="s">
        <v>1317</v>
      </c>
      <c r="Q115" s="19">
        <v>8.967582609E9</v>
      </c>
      <c r="R115" s="19" t="s">
        <v>1318</v>
      </c>
      <c r="S115" s="19" t="s">
        <v>525</v>
      </c>
      <c r="T115" s="19" t="s">
        <v>1317</v>
      </c>
      <c r="U115" s="19">
        <v>8.967488416E9</v>
      </c>
      <c r="V115" s="19">
        <v>2.0</v>
      </c>
      <c r="W115" s="19" t="s">
        <v>1316</v>
      </c>
      <c r="X115" s="19" t="s">
        <v>145</v>
      </c>
      <c r="Y115" s="19" t="s">
        <v>1318</v>
      </c>
      <c r="Z115" s="19" t="s">
        <v>133</v>
      </c>
      <c r="AA115" s="19" t="s">
        <v>65</v>
      </c>
      <c r="AB115" s="19" t="s">
        <v>65</v>
      </c>
      <c r="AC115" s="19" t="s">
        <v>65</v>
      </c>
      <c r="AD115" s="19" t="s">
        <v>66</v>
      </c>
      <c r="AE115" s="19">
        <v>0.0</v>
      </c>
    </row>
    <row r="116" ht="22.5" customHeight="1">
      <c r="A116" s="18">
        <v>46265.3801097338</v>
      </c>
      <c r="B116" s="19" t="s">
        <v>1319</v>
      </c>
      <c r="C116" s="19" t="s">
        <v>1320</v>
      </c>
      <c r="D116" s="19">
        <v>2.0210235E7</v>
      </c>
      <c r="E116" s="19" t="s">
        <v>5</v>
      </c>
      <c r="F116" s="19">
        <v>9.667437706E9</v>
      </c>
      <c r="G116" s="19" t="s">
        <v>1321</v>
      </c>
      <c r="H116" s="19" t="s">
        <v>52</v>
      </c>
      <c r="I116" s="19" t="s">
        <v>1322</v>
      </c>
      <c r="J116" s="19" t="s">
        <v>1323</v>
      </c>
      <c r="K116" s="19" t="s">
        <v>1147</v>
      </c>
      <c r="L116" s="20" t="s">
        <v>1324</v>
      </c>
      <c r="M116" s="20" t="s">
        <v>1325</v>
      </c>
      <c r="N116" s="19" t="s">
        <v>1326</v>
      </c>
      <c r="O116" s="19" t="s">
        <v>190</v>
      </c>
      <c r="P116" s="19" t="s">
        <v>190</v>
      </c>
      <c r="Q116" s="19">
        <v>9.718560787E9</v>
      </c>
      <c r="R116" s="19" t="s">
        <v>1327</v>
      </c>
      <c r="S116" s="19" t="s">
        <v>190</v>
      </c>
      <c r="T116" s="19" t="s">
        <v>190</v>
      </c>
      <c r="U116" s="19">
        <v>9.718560787E9</v>
      </c>
      <c r="V116" s="19">
        <v>2.0</v>
      </c>
      <c r="W116" s="19" t="s">
        <v>1328</v>
      </c>
      <c r="X116" s="19" t="s">
        <v>234</v>
      </c>
      <c r="Y116" s="19" t="s">
        <v>1329</v>
      </c>
      <c r="Z116" s="19" t="s">
        <v>330</v>
      </c>
      <c r="AA116" s="19" t="s">
        <v>94</v>
      </c>
      <c r="AB116" s="19" t="s">
        <v>94</v>
      </c>
      <c r="AC116" s="19" t="s">
        <v>94</v>
      </c>
      <c r="AD116" s="19" t="s">
        <v>66</v>
      </c>
      <c r="AE116" s="19">
        <v>0.0</v>
      </c>
    </row>
    <row r="117" ht="22.5" customHeight="1">
      <c r="A117" s="18">
        <v>46265.39031640046</v>
      </c>
      <c r="B117" s="19" t="s">
        <v>1330</v>
      </c>
      <c r="C117" s="19" t="s">
        <v>1331</v>
      </c>
      <c r="D117" s="19" t="s">
        <v>1332</v>
      </c>
      <c r="E117" s="19" t="s">
        <v>3</v>
      </c>
      <c r="F117" s="19">
        <v>9.546802465E9</v>
      </c>
      <c r="G117" s="19" t="s">
        <v>1330</v>
      </c>
      <c r="H117" s="19" t="s">
        <v>52</v>
      </c>
      <c r="I117" s="19" t="s">
        <v>1334</v>
      </c>
      <c r="J117" s="19" t="s">
        <v>1336</v>
      </c>
      <c r="K117" s="19" t="s">
        <v>1338</v>
      </c>
      <c r="L117" s="20" t="s">
        <v>1339</v>
      </c>
      <c r="M117" s="20" t="s">
        <v>1340</v>
      </c>
      <c r="N117" s="19" t="s">
        <v>1341</v>
      </c>
      <c r="O117" s="19" t="s">
        <v>1342</v>
      </c>
      <c r="P117" s="19" t="s">
        <v>1343</v>
      </c>
      <c r="Q117" s="19">
        <v>9.939257994E9</v>
      </c>
      <c r="R117" s="19" t="s">
        <v>1344</v>
      </c>
      <c r="S117" s="19" t="s">
        <v>1345</v>
      </c>
      <c r="T117" s="19" t="s">
        <v>1343</v>
      </c>
      <c r="U117" s="19">
        <v>9.939257994E9</v>
      </c>
      <c r="V117" s="19">
        <v>2.0</v>
      </c>
      <c r="W117" s="19" t="s">
        <v>1346</v>
      </c>
      <c r="X117" s="19" t="s">
        <v>145</v>
      </c>
      <c r="Y117" s="19" t="s">
        <v>1344</v>
      </c>
      <c r="Z117" s="19" t="s">
        <v>133</v>
      </c>
      <c r="AA117" s="19" t="s">
        <v>65</v>
      </c>
      <c r="AB117" s="19" t="s">
        <v>65</v>
      </c>
      <c r="AC117" s="19" t="s">
        <v>65</v>
      </c>
      <c r="AD117" s="19" t="s">
        <v>66</v>
      </c>
    </row>
    <row r="118" ht="22.5" customHeight="1">
      <c r="A118" s="18">
        <v>46265.39331462963</v>
      </c>
      <c r="B118" s="19" t="s">
        <v>1347</v>
      </c>
      <c r="C118" s="19" t="s">
        <v>1348</v>
      </c>
      <c r="D118" s="19">
        <v>2.0200172E7</v>
      </c>
      <c r="E118" s="19" t="s">
        <v>3</v>
      </c>
      <c r="F118" s="19">
        <v>7.510692429E9</v>
      </c>
      <c r="G118" s="19" t="s">
        <v>1349</v>
      </c>
      <c r="H118" s="19" t="s">
        <v>52</v>
      </c>
      <c r="I118" s="19" t="s">
        <v>1350</v>
      </c>
      <c r="K118" s="19" t="s">
        <v>1351</v>
      </c>
      <c r="L118" s="20" t="s">
        <v>1352</v>
      </c>
      <c r="M118" s="20" t="s">
        <v>1353</v>
      </c>
      <c r="N118" s="19" t="s">
        <v>1354</v>
      </c>
      <c r="O118" s="19" t="s">
        <v>1355</v>
      </c>
      <c r="P118" s="19" t="s">
        <v>1356</v>
      </c>
      <c r="Q118" s="19">
        <v>9.048595467E9</v>
      </c>
      <c r="R118" s="19" t="s">
        <v>1357</v>
      </c>
      <c r="S118" s="19" t="s">
        <v>525</v>
      </c>
      <c r="T118" s="19" t="s">
        <v>1358</v>
      </c>
      <c r="U118" s="19">
        <v>9.961177429E9</v>
      </c>
      <c r="V118" s="19">
        <v>2.0</v>
      </c>
      <c r="W118" s="19" t="s">
        <v>1359</v>
      </c>
      <c r="X118" s="19" t="s">
        <v>93</v>
      </c>
      <c r="Y118" s="19" t="s">
        <v>1360</v>
      </c>
      <c r="Z118" s="19" t="s">
        <v>91</v>
      </c>
      <c r="AA118" s="19" t="s">
        <v>65</v>
      </c>
      <c r="AB118" s="19" t="s">
        <v>65</v>
      </c>
      <c r="AC118" s="19" t="s">
        <v>65</v>
      </c>
      <c r="AD118" s="19" t="s">
        <v>66</v>
      </c>
      <c r="AE118" s="19">
        <v>0.0</v>
      </c>
    </row>
    <row r="119" ht="22.5" customHeight="1">
      <c r="A119" s="18">
        <v>46265.39387876158</v>
      </c>
      <c r="B119" s="19" t="s">
        <v>1361</v>
      </c>
      <c r="C119" s="19" t="s">
        <v>1362</v>
      </c>
      <c r="D119" s="19" t="s">
        <v>1363</v>
      </c>
      <c r="E119" s="19" t="s">
        <v>3</v>
      </c>
      <c r="F119" s="19">
        <v>9.547483864E9</v>
      </c>
      <c r="G119" s="19" t="s">
        <v>1361</v>
      </c>
      <c r="H119" s="19" t="s">
        <v>52</v>
      </c>
      <c r="I119" s="19" t="s">
        <v>1364</v>
      </c>
      <c r="J119" s="19" t="s">
        <v>1365</v>
      </c>
      <c r="K119" s="19" t="s">
        <v>1366</v>
      </c>
      <c r="L119" s="20" t="s">
        <v>1367</v>
      </c>
      <c r="M119" s="20" t="s">
        <v>1368</v>
      </c>
      <c r="N119" s="19" t="s">
        <v>1369</v>
      </c>
      <c r="O119" s="19" t="s">
        <v>1370</v>
      </c>
      <c r="P119" s="19" t="s">
        <v>1366</v>
      </c>
      <c r="Q119" s="19">
        <v>9.434087023E9</v>
      </c>
      <c r="R119" s="19" t="s">
        <v>1371</v>
      </c>
      <c r="S119" s="19" t="s">
        <v>1372</v>
      </c>
      <c r="T119" s="19" t="s">
        <v>1366</v>
      </c>
      <c r="U119" s="19">
        <v>9.474068198E9</v>
      </c>
      <c r="V119" s="19">
        <v>2.0</v>
      </c>
      <c r="W119" s="19" t="s">
        <v>1373</v>
      </c>
      <c r="X119" s="19" t="s">
        <v>91</v>
      </c>
      <c r="Y119" s="19" t="s">
        <v>1371</v>
      </c>
      <c r="Z119" s="19" t="s">
        <v>93</v>
      </c>
      <c r="AA119" s="19" t="s">
        <v>65</v>
      </c>
      <c r="AB119" s="19" t="s">
        <v>65</v>
      </c>
      <c r="AC119" s="19" t="s">
        <v>94</v>
      </c>
      <c r="AD119" s="19" t="s">
        <v>66</v>
      </c>
      <c r="AE119" s="19">
        <v>0.0</v>
      </c>
    </row>
    <row r="120" ht="22.5" customHeight="1">
      <c r="A120" s="18">
        <v>46265.398029108794</v>
      </c>
      <c r="B120" s="19" t="s">
        <v>1374</v>
      </c>
      <c r="C120" s="19" t="s">
        <v>1375</v>
      </c>
      <c r="D120" s="19">
        <v>2.02001135E8</v>
      </c>
      <c r="E120" s="19" t="s">
        <v>3</v>
      </c>
      <c r="F120" s="19">
        <v>7.564035942E9</v>
      </c>
      <c r="G120" s="19" t="s">
        <v>1376</v>
      </c>
      <c r="H120" s="19" t="s">
        <v>52</v>
      </c>
      <c r="I120" s="19" t="s">
        <v>969</v>
      </c>
      <c r="J120" s="19" t="s">
        <v>1377</v>
      </c>
      <c r="K120" s="19" t="s">
        <v>1378</v>
      </c>
      <c r="L120" s="20" t="s">
        <v>1379</v>
      </c>
      <c r="M120" s="20" t="s">
        <v>1380</v>
      </c>
      <c r="N120" s="19" t="s">
        <v>1381</v>
      </c>
      <c r="O120" s="19" t="s">
        <v>1382</v>
      </c>
      <c r="P120" s="19" t="s">
        <v>1383</v>
      </c>
      <c r="Q120" s="19">
        <v>9.63165648E9</v>
      </c>
      <c r="R120" s="19" t="s">
        <v>1384</v>
      </c>
      <c r="S120" s="19" t="s">
        <v>130</v>
      </c>
      <c r="T120" s="19" t="s">
        <v>1383</v>
      </c>
      <c r="U120" s="19">
        <v>9.065179139E9</v>
      </c>
      <c r="V120" s="19">
        <v>2.0</v>
      </c>
      <c r="W120" s="19" t="s">
        <v>1384</v>
      </c>
      <c r="X120" s="19" t="s">
        <v>93</v>
      </c>
      <c r="Y120" s="19" t="s">
        <v>1385</v>
      </c>
      <c r="Z120" s="19" t="s">
        <v>344</v>
      </c>
      <c r="AA120" s="19" t="s">
        <v>65</v>
      </c>
      <c r="AB120" s="19" t="s">
        <v>65</v>
      </c>
      <c r="AC120" s="19" t="s">
        <v>65</v>
      </c>
      <c r="AD120" s="19" t="s">
        <v>66</v>
      </c>
    </row>
    <row r="121" ht="22.5" customHeight="1">
      <c r="A121" s="18">
        <v>46265.42724255787</v>
      </c>
      <c r="B121" s="19" t="s">
        <v>1386</v>
      </c>
      <c r="C121" s="19" t="s">
        <v>1387</v>
      </c>
      <c r="D121" s="19">
        <v>2.0200113E8</v>
      </c>
      <c r="E121" s="19" t="s">
        <v>3</v>
      </c>
      <c r="F121" s="19">
        <v>8.260607752E9</v>
      </c>
      <c r="G121" s="19" t="s">
        <v>1388</v>
      </c>
      <c r="H121" s="19" t="s">
        <v>52</v>
      </c>
      <c r="I121" s="19" t="s">
        <v>1389</v>
      </c>
      <c r="J121" s="19" t="s">
        <v>1390</v>
      </c>
      <c r="K121" s="19" t="s">
        <v>1391</v>
      </c>
      <c r="L121" s="20" t="s">
        <v>1392</v>
      </c>
      <c r="M121" s="20" t="s">
        <v>1393</v>
      </c>
      <c r="N121" s="19" t="s">
        <v>1394</v>
      </c>
      <c r="O121" s="19" t="s">
        <v>219</v>
      </c>
      <c r="P121" s="19" t="s">
        <v>1395</v>
      </c>
      <c r="Q121" s="19">
        <v>9.437725896E9</v>
      </c>
      <c r="R121" s="19" t="s">
        <v>1396</v>
      </c>
      <c r="S121" s="19" t="s">
        <v>118</v>
      </c>
      <c r="T121" s="19" t="s">
        <v>1395</v>
      </c>
      <c r="U121" s="19">
        <v>9.178614061E9</v>
      </c>
      <c r="V121" s="19">
        <v>2.0</v>
      </c>
      <c r="W121" s="19" t="s">
        <v>1396</v>
      </c>
      <c r="X121" s="19" t="s">
        <v>93</v>
      </c>
      <c r="Y121" s="19" t="s">
        <v>1394</v>
      </c>
      <c r="Z121" s="19" t="s">
        <v>91</v>
      </c>
      <c r="AA121" s="19" t="s">
        <v>94</v>
      </c>
      <c r="AB121" s="19" t="s">
        <v>94</v>
      </c>
      <c r="AC121" s="19" t="s">
        <v>94</v>
      </c>
      <c r="AD121" s="19" t="s">
        <v>66</v>
      </c>
    </row>
    <row r="122" ht="22.5" customHeight="1">
      <c r="A122" s="18">
        <v>46265.46847907407</v>
      </c>
      <c r="B122" s="19" t="s">
        <v>1397</v>
      </c>
      <c r="C122" s="19" t="s">
        <v>1398</v>
      </c>
      <c r="D122" s="19">
        <v>2.02001173E8</v>
      </c>
      <c r="E122" s="19" t="s">
        <v>3</v>
      </c>
      <c r="F122" s="19">
        <v>7.424949993E9</v>
      </c>
      <c r="G122" s="19" t="s">
        <v>1399</v>
      </c>
      <c r="H122" s="19" t="s">
        <v>52</v>
      </c>
      <c r="J122" s="19" t="s">
        <v>1400</v>
      </c>
      <c r="K122" s="19" t="s">
        <v>1401</v>
      </c>
      <c r="L122" s="20" t="s">
        <v>1402</v>
      </c>
      <c r="M122" s="20" t="s">
        <v>1403</v>
      </c>
      <c r="N122" s="19" t="s">
        <v>1404</v>
      </c>
      <c r="O122" s="19" t="s">
        <v>1405</v>
      </c>
      <c r="P122" s="19" t="s">
        <v>1401</v>
      </c>
      <c r="Q122" s="19">
        <v>9.829803332E9</v>
      </c>
      <c r="R122" s="19" t="s">
        <v>1406</v>
      </c>
      <c r="S122" s="19" t="s">
        <v>1407</v>
      </c>
      <c r="T122" s="19" t="s">
        <v>1401</v>
      </c>
      <c r="U122" s="19">
        <v>9.950151856E9</v>
      </c>
      <c r="V122" s="19">
        <v>1.0</v>
      </c>
      <c r="W122" s="19" t="s">
        <v>1408</v>
      </c>
      <c r="X122" s="19" t="s">
        <v>1409</v>
      </c>
      <c r="AA122" s="19" t="s">
        <v>94</v>
      </c>
      <c r="AB122" s="19" t="s">
        <v>94</v>
      </c>
      <c r="AD122" s="19" t="s">
        <v>66</v>
      </c>
      <c r="AE122" s="19">
        <v>0.0</v>
      </c>
    </row>
    <row r="123" ht="22.5" customHeight="1">
      <c r="A123" s="18">
        <v>46265.494035972224</v>
      </c>
      <c r="B123" s="19" t="s">
        <v>1397</v>
      </c>
      <c r="C123" s="19" t="s">
        <v>1398</v>
      </c>
      <c r="D123" s="19">
        <v>2.02001173E8</v>
      </c>
      <c r="E123" s="19" t="s">
        <v>3</v>
      </c>
      <c r="F123" s="19">
        <v>7.424949993E9</v>
      </c>
      <c r="G123" s="19" t="s">
        <v>1399</v>
      </c>
      <c r="H123" s="19" t="s">
        <v>52</v>
      </c>
      <c r="J123" s="19" t="s">
        <v>1400</v>
      </c>
      <c r="K123" s="19" t="s">
        <v>1401</v>
      </c>
      <c r="L123" s="20" t="s">
        <v>1410</v>
      </c>
      <c r="M123" s="20" t="s">
        <v>1411</v>
      </c>
      <c r="N123" s="19" t="s">
        <v>1412</v>
      </c>
      <c r="O123" s="19" t="s">
        <v>1405</v>
      </c>
      <c r="P123" s="19" t="s">
        <v>1401</v>
      </c>
      <c r="Q123" s="19">
        <v>9.829803332E9</v>
      </c>
      <c r="R123" s="19" t="s">
        <v>1413</v>
      </c>
      <c r="S123" s="19" t="s">
        <v>1414</v>
      </c>
      <c r="T123" s="19" t="s">
        <v>1401</v>
      </c>
      <c r="U123" s="19">
        <v>9.950151856E9</v>
      </c>
      <c r="V123" s="19">
        <v>0.0</v>
      </c>
      <c r="AA123" s="19" t="s">
        <v>94</v>
      </c>
      <c r="AD123" s="19" t="s">
        <v>66</v>
      </c>
      <c r="AE123" s="19">
        <v>0.0</v>
      </c>
    </row>
    <row r="124" ht="22.5" customHeight="1">
      <c r="A124" s="18">
        <v>46265.513045555555</v>
      </c>
      <c r="B124" s="19" t="s">
        <v>1415</v>
      </c>
      <c r="C124" s="19" t="s">
        <v>1416</v>
      </c>
      <c r="D124" s="19" t="s">
        <v>1417</v>
      </c>
      <c r="E124" s="19" t="s">
        <v>3</v>
      </c>
      <c r="F124" s="19">
        <v>8.116171221E9</v>
      </c>
      <c r="G124" s="19" t="s">
        <v>1418</v>
      </c>
      <c r="H124" s="19" t="s">
        <v>52</v>
      </c>
      <c r="I124" s="19" t="s">
        <v>1419</v>
      </c>
      <c r="K124" s="19" t="s">
        <v>649</v>
      </c>
      <c r="L124" s="20" t="s">
        <v>1420</v>
      </c>
      <c r="M124" s="20" t="s">
        <v>1421</v>
      </c>
      <c r="N124" s="19" t="s">
        <v>1422</v>
      </c>
      <c r="O124" s="19" t="s">
        <v>743</v>
      </c>
      <c r="P124" s="19" t="s">
        <v>649</v>
      </c>
      <c r="Q124" s="19">
        <v>9.339283518E9</v>
      </c>
      <c r="R124" s="19" t="s">
        <v>1423</v>
      </c>
      <c r="S124" s="19" t="s">
        <v>391</v>
      </c>
      <c r="T124" s="19" t="s">
        <v>649</v>
      </c>
      <c r="U124" s="19">
        <v>8.670852689E9</v>
      </c>
      <c r="V124" s="19">
        <v>2.0</v>
      </c>
      <c r="W124" s="19" t="s">
        <v>1424</v>
      </c>
      <c r="X124" s="19" t="s">
        <v>91</v>
      </c>
      <c r="Y124" s="19" t="s">
        <v>1425</v>
      </c>
      <c r="Z124" s="19" t="s">
        <v>93</v>
      </c>
      <c r="AA124" s="19" t="s">
        <v>65</v>
      </c>
      <c r="AB124" s="19" t="s">
        <v>65</v>
      </c>
      <c r="AC124" s="19" t="s">
        <v>65</v>
      </c>
      <c r="AD124" s="19" t="s">
        <v>10</v>
      </c>
      <c r="AE124" s="19">
        <v>3.0</v>
      </c>
    </row>
    <row r="125" ht="22.5" customHeight="1">
      <c r="A125" s="18">
        <v>46265.51328320602</v>
      </c>
      <c r="B125" s="19" t="s">
        <v>1426</v>
      </c>
      <c r="C125" s="19" t="s">
        <v>1427</v>
      </c>
      <c r="D125" s="19">
        <v>2.02001126E8</v>
      </c>
      <c r="E125" s="19" t="s">
        <v>3</v>
      </c>
      <c r="F125" s="19">
        <v>7.632894316E9</v>
      </c>
      <c r="G125" s="19" t="s">
        <v>1428</v>
      </c>
      <c r="H125" s="19" t="s">
        <v>52</v>
      </c>
      <c r="I125" s="19" t="s">
        <v>1429</v>
      </c>
      <c r="J125" s="19" t="s">
        <v>1430</v>
      </c>
      <c r="K125" s="19" t="s">
        <v>1431</v>
      </c>
      <c r="L125" s="20" t="s">
        <v>1432</v>
      </c>
      <c r="M125" s="20" t="s">
        <v>1433</v>
      </c>
      <c r="N125" s="19" t="s">
        <v>1434</v>
      </c>
      <c r="O125" s="19" t="s">
        <v>611</v>
      </c>
      <c r="P125" s="19" t="s">
        <v>1431</v>
      </c>
      <c r="Q125" s="19">
        <v>9.934195982E9</v>
      </c>
      <c r="R125" s="19" t="s">
        <v>1435</v>
      </c>
      <c r="S125" s="19" t="s">
        <v>391</v>
      </c>
      <c r="T125" s="19" t="s">
        <v>1431</v>
      </c>
      <c r="U125" s="19">
        <v>7.06190087E9</v>
      </c>
      <c r="V125" s="19">
        <v>2.0</v>
      </c>
      <c r="W125" s="19" t="s">
        <v>1436</v>
      </c>
      <c r="X125" s="19" t="s">
        <v>91</v>
      </c>
      <c r="Y125" s="19" t="s">
        <v>1435</v>
      </c>
      <c r="Z125" s="19" t="s">
        <v>93</v>
      </c>
      <c r="AA125" s="19" t="s">
        <v>65</v>
      </c>
      <c r="AB125" s="19" t="s">
        <v>65</v>
      </c>
      <c r="AC125" s="19" t="s">
        <v>65</v>
      </c>
      <c r="AD125" s="19" t="s">
        <v>10</v>
      </c>
      <c r="AE125" s="19">
        <v>3.0</v>
      </c>
    </row>
    <row r="126" ht="22.5" customHeight="1">
      <c r="A126" s="18">
        <v>46265.587196747685</v>
      </c>
      <c r="B126" s="19" t="s">
        <v>1437</v>
      </c>
      <c r="C126" s="19" t="s">
        <v>1438</v>
      </c>
      <c r="D126" s="19">
        <v>2.0200198E7</v>
      </c>
      <c r="E126" s="19" t="s">
        <v>3</v>
      </c>
      <c r="F126" s="19">
        <v>7.558930045E9</v>
      </c>
      <c r="G126" s="19" t="s">
        <v>1439</v>
      </c>
      <c r="H126" s="19" t="s">
        <v>52</v>
      </c>
      <c r="K126" s="19" t="s">
        <v>1440</v>
      </c>
      <c r="L126" s="20" t="s">
        <v>1441</v>
      </c>
      <c r="M126" s="20" t="s">
        <v>1442</v>
      </c>
      <c r="N126" s="19" t="s">
        <v>1443</v>
      </c>
      <c r="O126" s="19" t="s">
        <v>1444</v>
      </c>
      <c r="P126" s="19" t="s">
        <v>1440</v>
      </c>
      <c r="Q126" s="19">
        <v>7.0121221E9</v>
      </c>
      <c r="R126" s="19" t="s">
        <v>1445</v>
      </c>
      <c r="S126" s="19" t="s">
        <v>1446</v>
      </c>
      <c r="T126" s="19" t="s">
        <v>1440</v>
      </c>
      <c r="U126" s="19">
        <v>9.496460408E9</v>
      </c>
      <c r="V126" s="19">
        <v>2.0</v>
      </c>
      <c r="W126" s="19" t="s">
        <v>1447</v>
      </c>
      <c r="X126" s="19" t="s">
        <v>91</v>
      </c>
      <c r="Y126" s="19" t="s">
        <v>1445</v>
      </c>
      <c r="Z126" s="19" t="s">
        <v>93</v>
      </c>
      <c r="AA126" s="19" t="s">
        <v>65</v>
      </c>
      <c r="AB126" s="19" t="s">
        <v>65</v>
      </c>
      <c r="AC126" s="19" t="s">
        <v>65</v>
      </c>
      <c r="AD126" s="19" t="s">
        <v>66</v>
      </c>
      <c r="AE126" s="19">
        <v>0.0</v>
      </c>
    </row>
    <row r="127" ht="22.5" customHeight="1">
      <c r="A127" s="18">
        <v>46265.64219799769</v>
      </c>
      <c r="B127" s="19" t="s">
        <v>1448</v>
      </c>
      <c r="C127" s="19" t="s">
        <v>1449</v>
      </c>
      <c r="D127" s="19" t="s">
        <v>1450</v>
      </c>
      <c r="E127" s="19" t="s">
        <v>3</v>
      </c>
      <c r="F127" s="19">
        <v>6.383560594E9</v>
      </c>
      <c r="G127" s="19" t="s">
        <v>1451</v>
      </c>
      <c r="H127" s="19" t="s">
        <v>52</v>
      </c>
      <c r="I127" s="19" t="s">
        <v>1452</v>
      </c>
      <c r="J127" s="19" t="s">
        <v>1453</v>
      </c>
      <c r="K127" s="19" t="s">
        <v>1454</v>
      </c>
      <c r="L127" s="20" t="s">
        <v>1455</v>
      </c>
      <c r="M127" s="20" t="s">
        <v>1456</v>
      </c>
      <c r="N127" s="19" t="s">
        <v>1457</v>
      </c>
      <c r="O127" s="19" t="s">
        <v>60</v>
      </c>
      <c r="P127" s="19" t="s">
        <v>1458</v>
      </c>
      <c r="Q127" s="19">
        <v>9.48640503E9</v>
      </c>
      <c r="R127" s="19" t="s">
        <v>1459</v>
      </c>
      <c r="S127" s="19" t="s">
        <v>391</v>
      </c>
      <c r="T127" s="19" t="s">
        <v>1454</v>
      </c>
      <c r="U127" s="19">
        <v>9.846603405E9</v>
      </c>
      <c r="V127" s="19">
        <v>2.0</v>
      </c>
      <c r="W127" s="19" t="s">
        <v>1460</v>
      </c>
      <c r="X127" s="19" t="s">
        <v>91</v>
      </c>
      <c r="Y127" s="19" t="s">
        <v>1461</v>
      </c>
      <c r="Z127" s="19" t="s">
        <v>93</v>
      </c>
      <c r="AA127" s="19" t="s">
        <v>65</v>
      </c>
      <c r="AB127" s="19" t="s">
        <v>65</v>
      </c>
      <c r="AC127" s="19" t="s">
        <v>65</v>
      </c>
    </row>
    <row r="128" ht="22.5" customHeight="1">
      <c r="A128" s="18">
        <v>46265.64432767361</v>
      </c>
      <c r="B128" s="19" t="s">
        <v>1462</v>
      </c>
      <c r="C128" s="19" t="s">
        <v>1463</v>
      </c>
      <c r="D128" s="19" t="s">
        <v>1464</v>
      </c>
      <c r="E128" s="19" t="s">
        <v>3</v>
      </c>
      <c r="F128" s="19">
        <v>9.88394833E9</v>
      </c>
      <c r="G128" s="19" t="s">
        <v>1462</v>
      </c>
      <c r="H128" s="19" t="s">
        <v>52</v>
      </c>
      <c r="I128" s="19" t="s">
        <v>619</v>
      </c>
      <c r="K128" s="19" t="s">
        <v>1465</v>
      </c>
      <c r="L128" s="20" t="s">
        <v>1466</v>
      </c>
      <c r="M128" s="20" t="s">
        <v>1467</v>
      </c>
      <c r="N128" s="19" t="s">
        <v>1468</v>
      </c>
      <c r="O128" s="19" t="s">
        <v>611</v>
      </c>
      <c r="P128" s="19" t="s">
        <v>1469</v>
      </c>
      <c r="Q128" s="19">
        <v>9.933403721E9</v>
      </c>
      <c r="R128" s="19" t="s">
        <v>1470</v>
      </c>
      <c r="S128" s="19" t="s">
        <v>525</v>
      </c>
      <c r="T128" s="19" t="s">
        <v>1465</v>
      </c>
      <c r="U128" s="19">
        <v>7.908808593E9</v>
      </c>
      <c r="V128" s="19">
        <v>2.0</v>
      </c>
      <c r="W128" s="19" t="s">
        <v>1468</v>
      </c>
      <c r="X128" s="19" t="s">
        <v>91</v>
      </c>
      <c r="Y128" s="19" t="s">
        <v>1471</v>
      </c>
      <c r="Z128" s="19" t="s">
        <v>93</v>
      </c>
      <c r="AA128" s="19" t="s">
        <v>65</v>
      </c>
      <c r="AB128" s="19" t="s">
        <v>65</v>
      </c>
      <c r="AC128" s="19" t="s">
        <v>94</v>
      </c>
      <c r="AD128" s="19" t="s">
        <v>66</v>
      </c>
      <c r="AE128" s="19">
        <v>0.0</v>
      </c>
    </row>
    <row r="129" ht="22.5" customHeight="1">
      <c r="A129" s="18">
        <v>46265.6488611574</v>
      </c>
      <c r="B129" s="19" t="s">
        <v>1472</v>
      </c>
      <c r="C129" s="19" t="s">
        <v>1473</v>
      </c>
      <c r="D129" s="19" t="s">
        <v>1474</v>
      </c>
      <c r="E129" s="19" t="s">
        <v>3</v>
      </c>
      <c r="F129" s="19">
        <v>8.606642894E9</v>
      </c>
      <c r="G129" s="19" t="s">
        <v>1472</v>
      </c>
      <c r="H129" s="19" t="s">
        <v>52</v>
      </c>
      <c r="I129" s="19" t="s">
        <v>1475</v>
      </c>
      <c r="J129" s="19" t="s">
        <v>1476</v>
      </c>
      <c r="K129" s="19" t="s">
        <v>1477</v>
      </c>
      <c r="L129" s="20" t="s">
        <v>1478</v>
      </c>
      <c r="M129" s="20" t="s">
        <v>1479</v>
      </c>
      <c r="N129" s="19" t="s">
        <v>1480</v>
      </c>
      <c r="O129" s="19" t="s">
        <v>1481</v>
      </c>
      <c r="P129" s="19" t="s">
        <v>1477</v>
      </c>
      <c r="Q129" s="19">
        <v>9.447071531E9</v>
      </c>
      <c r="R129" s="19" t="s">
        <v>1482</v>
      </c>
      <c r="S129" s="19" t="s">
        <v>1483</v>
      </c>
      <c r="T129" s="19" t="s">
        <v>1477</v>
      </c>
      <c r="U129" s="19">
        <v>9.074081562E9</v>
      </c>
      <c r="V129" s="19">
        <v>2.0</v>
      </c>
      <c r="W129" s="19" t="s">
        <v>1480</v>
      </c>
      <c r="X129" s="19" t="s">
        <v>755</v>
      </c>
      <c r="Y129" s="19" t="s">
        <v>1482</v>
      </c>
      <c r="Z129" s="19" t="s">
        <v>80</v>
      </c>
      <c r="AA129" s="19" t="s">
        <v>65</v>
      </c>
      <c r="AB129" s="19" t="s">
        <v>65</v>
      </c>
      <c r="AC129" s="19" t="s">
        <v>65</v>
      </c>
      <c r="AD129" s="19" t="s">
        <v>11</v>
      </c>
      <c r="AE129" s="19">
        <v>3.0</v>
      </c>
    </row>
    <row r="130" ht="22.5" customHeight="1">
      <c r="A130" s="18">
        <v>46265.64980111111</v>
      </c>
      <c r="B130" s="19" t="s">
        <v>1484</v>
      </c>
      <c r="C130" s="19" t="s">
        <v>1485</v>
      </c>
      <c r="D130" s="19">
        <v>2.0200117E8</v>
      </c>
      <c r="E130" s="19" t="s">
        <v>3</v>
      </c>
      <c r="F130" s="19">
        <v>8.824926103E9</v>
      </c>
      <c r="G130" s="19" t="s">
        <v>1484</v>
      </c>
      <c r="H130" s="19" t="s">
        <v>52</v>
      </c>
      <c r="I130" s="19" t="s">
        <v>1486</v>
      </c>
      <c r="J130" s="19" t="s">
        <v>1487</v>
      </c>
      <c r="K130" s="19" t="s">
        <v>1488</v>
      </c>
      <c r="L130" s="20" t="s">
        <v>1489</v>
      </c>
      <c r="M130" s="20" t="s">
        <v>1490</v>
      </c>
      <c r="N130" s="19" t="s">
        <v>1491</v>
      </c>
      <c r="O130" s="19" t="s">
        <v>743</v>
      </c>
      <c r="P130" s="19" t="s">
        <v>1492</v>
      </c>
      <c r="Q130" s="19">
        <v>9.460913524E9</v>
      </c>
      <c r="R130" s="19" t="s">
        <v>1493</v>
      </c>
      <c r="S130" s="19" t="s">
        <v>106</v>
      </c>
      <c r="T130" s="19" t="s">
        <v>1494</v>
      </c>
      <c r="U130" s="19">
        <v>7.014433177E9</v>
      </c>
      <c r="V130" s="19">
        <v>2.0</v>
      </c>
      <c r="W130" s="19" t="s">
        <v>1491</v>
      </c>
      <c r="X130" s="19" t="s">
        <v>91</v>
      </c>
      <c r="Y130" s="19" t="s">
        <v>1493</v>
      </c>
      <c r="Z130" s="19" t="s">
        <v>93</v>
      </c>
      <c r="AA130" s="19" t="s">
        <v>94</v>
      </c>
      <c r="AB130" s="19" t="s">
        <v>94</v>
      </c>
      <c r="AC130" s="19" t="s">
        <v>94</v>
      </c>
      <c r="AD130" s="19" t="s">
        <v>66</v>
      </c>
      <c r="AE130" s="19">
        <v>0.0</v>
      </c>
    </row>
    <row r="131" ht="22.5" customHeight="1">
      <c r="A131" s="18">
        <v>46265.67343512732</v>
      </c>
      <c r="B131" s="19" t="s">
        <v>1495</v>
      </c>
      <c r="C131" s="19" t="s">
        <v>1496</v>
      </c>
      <c r="D131" s="19">
        <v>117.0</v>
      </c>
      <c r="E131" s="19" t="s">
        <v>3</v>
      </c>
      <c r="F131" s="19">
        <v>9.024523413E9</v>
      </c>
      <c r="G131" s="19" t="s">
        <v>1497</v>
      </c>
      <c r="H131" s="19" t="s">
        <v>52</v>
      </c>
      <c r="K131" s="19" t="s">
        <v>1498</v>
      </c>
      <c r="L131" s="20" t="s">
        <v>1499</v>
      </c>
      <c r="M131" s="20" t="s">
        <v>1500</v>
      </c>
      <c r="N131" s="19" t="s">
        <v>1501</v>
      </c>
      <c r="O131" s="19" t="s">
        <v>181</v>
      </c>
      <c r="P131" s="19" t="s">
        <v>1498</v>
      </c>
      <c r="Q131" s="19">
        <v>9.024523413E9</v>
      </c>
      <c r="R131" s="19" t="s">
        <v>1502</v>
      </c>
      <c r="S131" s="19" t="s">
        <v>391</v>
      </c>
      <c r="T131" s="19" t="s">
        <v>1498</v>
      </c>
      <c r="U131" s="19">
        <v>9.024523413E9</v>
      </c>
      <c r="V131" s="19">
        <v>1.0</v>
      </c>
      <c r="Z131" s="19" t="s">
        <v>64</v>
      </c>
      <c r="AA131" s="19" t="s">
        <v>94</v>
      </c>
      <c r="AB131" s="19" t="s">
        <v>94</v>
      </c>
      <c r="AD131" s="19" t="s">
        <v>66</v>
      </c>
      <c r="AE131" s="19">
        <v>0.0</v>
      </c>
    </row>
    <row r="132" ht="22.5" customHeight="1">
      <c r="A132" s="18">
        <v>46265.70371563657</v>
      </c>
      <c r="B132" s="19" t="s">
        <v>1503</v>
      </c>
      <c r="C132" s="19" t="s">
        <v>1504</v>
      </c>
      <c r="D132" s="19" t="s">
        <v>1505</v>
      </c>
      <c r="E132" s="19" t="s">
        <v>3</v>
      </c>
      <c r="F132" s="19">
        <v>9.128781515E9</v>
      </c>
      <c r="G132" s="19" t="s">
        <v>1506</v>
      </c>
      <c r="H132" s="19" t="s">
        <v>52</v>
      </c>
      <c r="I132" s="19" t="s">
        <v>1507</v>
      </c>
      <c r="J132" s="19" t="s">
        <v>123</v>
      </c>
      <c r="K132" s="19" t="s">
        <v>1508</v>
      </c>
      <c r="L132" s="20" t="s">
        <v>1509</v>
      </c>
      <c r="M132" s="20" t="s">
        <v>1510</v>
      </c>
      <c r="N132" s="19" t="s">
        <v>1511</v>
      </c>
      <c r="O132" s="19" t="s">
        <v>232</v>
      </c>
      <c r="P132" s="19" t="s">
        <v>1512</v>
      </c>
      <c r="Q132" s="19">
        <v>9.546925948E9</v>
      </c>
      <c r="R132" s="19" t="s">
        <v>1513</v>
      </c>
      <c r="S132" s="19" t="s">
        <v>443</v>
      </c>
      <c r="T132" s="19" t="s">
        <v>1514</v>
      </c>
      <c r="U132" s="19">
        <v>7.004429822E9</v>
      </c>
      <c r="V132" s="19">
        <v>2.0</v>
      </c>
      <c r="W132" s="19" t="s">
        <v>1513</v>
      </c>
      <c r="X132" s="19" t="s">
        <v>133</v>
      </c>
      <c r="Y132" s="19" t="s">
        <v>1515</v>
      </c>
      <c r="Z132" s="19" t="s">
        <v>64</v>
      </c>
      <c r="AA132" s="19" t="s">
        <v>65</v>
      </c>
      <c r="AB132" s="19" t="s">
        <v>94</v>
      </c>
      <c r="AC132" s="19" t="s">
        <v>94</v>
      </c>
    </row>
    <row r="133" ht="22.5" customHeight="1">
      <c r="A133" s="18">
        <v>46265.70709761574</v>
      </c>
      <c r="B133" s="19" t="s">
        <v>1516</v>
      </c>
      <c r="C133" s="19" t="s">
        <v>1517</v>
      </c>
      <c r="D133" s="19">
        <v>2.0210245E7</v>
      </c>
      <c r="E133" s="19" t="s">
        <v>5</v>
      </c>
      <c r="F133" s="19">
        <v>9.351961677E9</v>
      </c>
      <c r="G133" s="19" t="s">
        <v>1518</v>
      </c>
      <c r="H133" s="19" t="s">
        <v>447</v>
      </c>
    </row>
    <row r="134" ht="22.5" customHeight="1">
      <c r="A134" s="18">
        <v>46265.70717097222</v>
      </c>
      <c r="B134" s="19" t="s">
        <v>595</v>
      </c>
      <c r="C134" s="19" t="s">
        <v>596</v>
      </c>
      <c r="D134" s="19">
        <v>2.0210209E7</v>
      </c>
      <c r="E134" s="19" t="s">
        <v>5</v>
      </c>
      <c r="F134" s="19">
        <v>9.142488342E9</v>
      </c>
      <c r="G134" s="19" t="s">
        <v>595</v>
      </c>
      <c r="H134" s="19" t="s">
        <v>447</v>
      </c>
    </row>
    <row r="135" ht="22.5" customHeight="1">
      <c r="A135" s="18">
        <v>46265.70953979167</v>
      </c>
      <c r="B135" s="19" t="s">
        <v>978</v>
      </c>
      <c r="C135" s="19" t="s">
        <v>979</v>
      </c>
      <c r="D135" s="19">
        <v>2.0200151E7</v>
      </c>
      <c r="E135" s="19" t="s">
        <v>3</v>
      </c>
      <c r="F135" s="19">
        <v>9.337129829E9</v>
      </c>
      <c r="G135" s="19" t="s">
        <v>980</v>
      </c>
      <c r="H135" s="19" t="s">
        <v>52</v>
      </c>
      <c r="I135" s="19" t="s">
        <v>1519</v>
      </c>
      <c r="J135" s="19" t="s">
        <v>1520</v>
      </c>
      <c r="K135" s="19" t="s">
        <v>983</v>
      </c>
      <c r="L135" s="20" t="s">
        <v>1521</v>
      </c>
      <c r="M135" s="20" t="s">
        <v>1522</v>
      </c>
      <c r="N135" s="19" t="s">
        <v>1523</v>
      </c>
      <c r="O135" s="19" t="s">
        <v>1524</v>
      </c>
      <c r="P135" s="19" t="s">
        <v>124</v>
      </c>
      <c r="Q135" s="19">
        <v>7.827575483E9</v>
      </c>
      <c r="R135" s="19" t="s">
        <v>989</v>
      </c>
      <c r="S135" s="19" t="s">
        <v>1525</v>
      </c>
      <c r="T135" s="19" t="s">
        <v>124</v>
      </c>
      <c r="U135" s="19">
        <v>8.895584818E9</v>
      </c>
      <c r="V135" s="19">
        <v>1.0</v>
      </c>
      <c r="W135" s="19" t="s">
        <v>1526</v>
      </c>
      <c r="X135" s="19" t="s">
        <v>91</v>
      </c>
      <c r="AA135" s="19" t="s">
        <v>94</v>
      </c>
      <c r="AB135" s="19" t="s">
        <v>94</v>
      </c>
      <c r="AD135" s="19" t="s">
        <v>66</v>
      </c>
      <c r="AE135" s="19">
        <v>0.0</v>
      </c>
    </row>
    <row r="136" ht="22.5" customHeight="1">
      <c r="A136" s="18">
        <v>46265.71331127315</v>
      </c>
      <c r="B136" s="19" t="s">
        <v>1527</v>
      </c>
      <c r="C136" s="19" t="s">
        <v>1528</v>
      </c>
      <c r="D136" s="19">
        <v>2.0210251E7</v>
      </c>
      <c r="E136" s="19" t="s">
        <v>5</v>
      </c>
      <c r="F136" s="19">
        <v>7.908335925E9</v>
      </c>
      <c r="G136" s="19" t="s">
        <v>1527</v>
      </c>
      <c r="H136" s="19" t="s">
        <v>447</v>
      </c>
    </row>
    <row r="137" ht="22.5" customHeight="1">
      <c r="A137" s="18">
        <v>46265.7134352662</v>
      </c>
      <c r="B137" s="19" t="s">
        <v>1529</v>
      </c>
      <c r="C137" s="19" t="s">
        <v>1530</v>
      </c>
      <c r="D137" s="19">
        <v>2.0210211E7</v>
      </c>
      <c r="E137" s="19" t="s">
        <v>5</v>
      </c>
      <c r="F137" s="19">
        <v>7.363967884E9</v>
      </c>
      <c r="G137" s="19" t="s">
        <v>1529</v>
      </c>
      <c r="H137" s="19" t="s">
        <v>447</v>
      </c>
    </row>
    <row r="138" ht="22.5" customHeight="1">
      <c r="A138" s="18">
        <v>46265.71362978009</v>
      </c>
      <c r="B138" s="19" t="s">
        <v>1531</v>
      </c>
      <c r="C138" s="19" t="s">
        <v>1532</v>
      </c>
      <c r="D138" s="19">
        <v>2.02001121E8</v>
      </c>
      <c r="E138" s="19" t="s">
        <v>3</v>
      </c>
      <c r="F138" s="19">
        <v>8.129749735E9</v>
      </c>
      <c r="G138" s="19" t="s">
        <v>1533</v>
      </c>
      <c r="H138" s="19" t="s">
        <v>52</v>
      </c>
      <c r="I138" s="19" t="s">
        <v>922</v>
      </c>
      <c r="K138" s="19" t="s">
        <v>1534</v>
      </c>
      <c r="L138" s="20" t="s">
        <v>1535</v>
      </c>
      <c r="M138" s="20" t="s">
        <v>1536</v>
      </c>
      <c r="N138" s="19" t="s">
        <v>1537</v>
      </c>
      <c r="O138" s="19" t="s">
        <v>1538</v>
      </c>
      <c r="P138" s="19" t="s">
        <v>1534</v>
      </c>
      <c r="Q138" s="19">
        <v>9.645492625E9</v>
      </c>
      <c r="R138" s="19" t="s">
        <v>1539</v>
      </c>
      <c r="S138" s="19" t="s">
        <v>232</v>
      </c>
      <c r="T138" s="19" t="s">
        <v>1534</v>
      </c>
      <c r="U138" s="19">
        <v>9.895572035E9</v>
      </c>
      <c r="V138" s="19">
        <v>2.0</v>
      </c>
      <c r="W138" s="19" t="s">
        <v>1540</v>
      </c>
      <c r="X138" s="19" t="s">
        <v>145</v>
      </c>
      <c r="Y138" s="19" t="s">
        <v>1539</v>
      </c>
      <c r="Z138" s="19" t="s">
        <v>93</v>
      </c>
      <c r="AA138" s="19" t="s">
        <v>65</v>
      </c>
      <c r="AB138" s="19" t="s">
        <v>65</v>
      </c>
      <c r="AC138" s="19" t="s">
        <v>65</v>
      </c>
      <c r="AD138" s="19" t="s">
        <v>66</v>
      </c>
    </row>
    <row r="139" ht="22.5" customHeight="1">
      <c r="A139" s="18">
        <v>46265.716470266205</v>
      </c>
      <c r="B139" s="19" t="s">
        <v>1541</v>
      </c>
      <c r="C139" s="19" t="s">
        <v>1542</v>
      </c>
      <c r="D139" s="19">
        <v>2.021023E7</v>
      </c>
      <c r="E139" s="19" t="s">
        <v>5</v>
      </c>
      <c r="F139" s="19">
        <v>7.501758665E9</v>
      </c>
      <c r="G139" s="19" t="s">
        <v>1541</v>
      </c>
      <c r="H139" s="19" t="s">
        <v>52</v>
      </c>
      <c r="I139" s="19" t="s">
        <v>1543</v>
      </c>
      <c r="J139" s="19" t="s">
        <v>665</v>
      </c>
      <c r="K139" s="19" t="s">
        <v>374</v>
      </c>
      <c r="L139" s="20" t="s">
        <v>1544</v>
      </c>
      <c r="M139" s="20" t="s">
        <v>1545</v>
      </c>
      <c r="N139" s="19" t="s">
        <v>1546</v>
      </c>
      <c r="O139" s="19" t="s">
        <v>403</v>
      </c>
      <c r="P139" s="19" t="s">
        <v>1547</v>
      </c>
      <c r="Q139" s="19">
        <v>9.002210945E9</v>
      </c>
      <c r="R139" s="19" t="s">
        <v>1548</v>
      </c>
      <c r="S139" s="19" t="s">
        <v>130</v>
      </c>
      <c r="T139" s="19" t="s">
        <v>1547</v>
      </c>
      <c r="U139" s="19">
        <v>8.250597108E9</v>
      </c>
      <c r="V139" s="19">
        <v>2.0</v>
      </c>
      <c r="W139" s="19" t="s">
        <v>1549</v>
      </c>
      <c r="X139" s="19" t="s">
        <v>145</v>
      </c>
      <c r="Y139" s="19" t="s">
        <v>1550</v>
      </c>
      <c r="Z139" s="19" t="s">
        <v>234</v>
      </c>
      <c r="AA139" s="19" t="s">
        <v>65</v>
      </c>
      <c r="AB139" s="19" t="s">
        <v>65</v>
      </c>
      <c r="AC139" s="19" t="s">
        <v>65</v>
      </c>
      <c r="AD139" s="19" t="s">
        <v>10</v>
      </c>
      <c r="AE139" s="19">
        <v>3.0</v>
      </c>
    </row>
    <row r="140" ht="22.5" customHeight="1">
      <c r="A140" s="18">
        <v>46265.71767813657</v>
      </c>
      <c r="B140" s="19" t="s">
        <v>1551</v>
      </c>
      <c r="C140" s="19" t="s">
        <v>1552</v>
      </c>
      <c r="D140" s="19" t="s">
        <v>1553</v>
      </c>
      <c r="E140" s="19" t="s">
        <v>3</v>
      </c>
      <c r="F140" s="19">
        <v>6.299592194E9</v>
      </c>
      <c r="G140" s="19" t="s">
        <v>1551</v>
      </c>
      <c r="H140" s="19" t="s">
        <v>52</v>
      </c>
      <c r="I140" s="19" t="s">
        <v>238</v>
      </c>
      <c r="J140" s="19" t="s">
        <v>1554</v>
      </c>
      <c r="K140" s="19" t="s">
        <v>841</v>
      </c>
      <c r="L140" s="20" t="s">
        <v>1555</v>
      </c>
      <c r="M140" s="20" t="s">
        <v>1556</v>
      </c>
      <c r="N140" s="19" t="s">
        <v>1557</v>
      </c>
      <c r="O140" s="19" t="s">
        <v>1558</v>
      </c>
      <c r="P140" s="19" t="s">
        <v>1559</v>
      </c>
      <c r="Q140" s="19">
        <v>9.771449249E9</v>
      </c>
      <c r="R140" s="19" t="s">
        <v>1560</v>
      </c>
      <c r="S140" s="19" t="s">
        <v>1561</v>
      </c>
      <c r="T140" s="19" t="s">
        <v>1559</v>
      </c>
      <c r="U140" s="19">
        <v>8.409443636E9</v>
      </c>
      <c r="V140" s="19">
        <v>0.0</v>
      </c>
      <c r="AA140" s="19" t="s">
        <v>65</v>
      </c>
      <c r="AE140" s="19">
        <v>0.0</v>
      </c>
    </row>
    <row r="141" ht="22.5" customHeight="1">
      <c r="A141" s="18">
        <v>46265.71878545139</v>
      </c>
      <c r="B141" s="19" t="s">
        <v>1562</v>
      </c>
      <c r="C141" s="19" t="s">
        <v>1563</v>
      </c>
      <c r="D141" s="19" t="s">
        <v>1564</v>
      </c>
      <c r="E141" s="19" t="s">
        <v>3</v>
      </c>
      <c r="F141" s="19">
        <v>7.665571951E9</v>
      </c>
      <c r="G141" s="19" t="s">
        <v>1562</v>
      </c>
      <c r="H141" s="19" t="s">
        <v>52</v>
      </c>
      <c r="K141" s="19" t="s">
        <v>1565</v>
      </c>
      <c r="L141" s="20" t="s">
        <v>1566</v>
      </c>
      <c r="M141" s="20" t="s">
        <v>1567</v>
      </c>
      <c r="N141" s="19" t="s">
        <v>1568</v>
      </c>
      <c r="O141" s="19" t="s">
        <v>1569</v>
      </c>
      <c r="P141" s="19" t="s">
        <v>1565</v>
      </c>
      <c r="Q141" s="19">
        <v>9.006118054E9</v>
      </c>
      <c r="R141" s="19" t="s">
        <v>1570</v>
      </c>
      <c r="S141" s="19" t="s">
        <v>525</v>
      </c>
      <c r="T141" s="19" t="s">
        <v>1565</v>
      </c>
      <c r="U141" s="19">
        <v>9.006118054E9</v>
      </c>
      <c r="V141" s="19">
        <v>1.0</v>
      </c>
      <c r="W141" s="19" t="s">
        <v>1571</v>
      </c>
      <c r="X141" s="19" t="s">
        <v>234</v>
      </c>
      <c r="AA141" s="19" t="s">
        <v>65</v>
      </c>
      <c r="AB141" s="19" t="s">
        <v>65</v>
      </c>
    </row>
    <row r="142" ht="22.5" customHeight="1">
      <c r="A142" s="18">
        <v>46265.71912721064</v>
      </c>
      <c r="B142" s="19" t="s">
        <v>1572</v>
      </c>
      <c r="C142" s="19" t="s">
        <v>1573</v>
      </c>
      <c r="D142" s="19">
        <v>2.02001128E8</v>
      </c>
      <c r="E142" s="19" t="s">
        <v>3</v>
      </c>
      <c r="F142" s="19">
        <v>7.890847759E9</v>
      </c>
      <c r="G142" s="19" t="s">
        <v>1574</v>
      </c>
      <c r="H142" s="19" t="s">
        <v>52</v>
      </c>
      <c r="K142" s="19" t="s">
        <v>309</v>
      </c>
      <c r="L142" s="20" t="s">
        <v>1575</v>
      </c>
      <c r="M142" s="20" t="s">
        <v>1576</v>
      </c>
      <c r="N142" s="19" t="s">
        <v>1577</v>
      </c>
      <c r="O142" s="19" t="s">
        <v>1578</v>
      </c>
      <c r="P142" s="19" t="s">
        <v>309</v>
      </c>
      <c r="Q142" s="19">
        <v>9.038862029E9</v>
      </c>
      <c r="R142" s="19" t="s">
        <v>1579</v>
      </c>
      <c r="S142" s="19" t="s">
        <v>118</v>
      </c>
      <c r="T142" s="19" t="s">
        <v>309</v>
      </c>
      <c r="U142" s="19">
        <v>9.330230651E9</v>
      </c>
      <c r="V142" s="19">
        <v>2.0</v>
      </c>
      <c r="W142" s="19" t="s">
        <v>1580</v>
      </c>
      <c r="X142" s="19" t="s">
        <v>91</v>
      </c>
      <c r="Y142" s="19" t="s">
        <v>1581</v>
      </c>
      <c r="Z142" s="19" t="s">
        <v>93</v>
      </c>
      <c r="AA142" s="19" t="s">
        <v>94</v>
      </c>
      <c r="AB142" s="19" t="s">
        <v>65</v>
      </c>
      <c r="AC142" s="19" t="s">
        <v>94</v>
      </c>
    </row>
    <row r="143" ht="22.5" customHeight="1">
      <c r="A143" s="18">
        <v>46265.72419847222</v>
      </c>
      <c r="B143" s="19" t="s">
        <v>1582</v>
      </c>
      <c r="C143" s="19" t="s">
        <v>1583</v>
      </c>
      <c r="D143" s="19">
        <v>2.0230314E7</v>
      </c>
      <c r="E143" s="19" t="s">
        <v>4</v>
      </c>
      <c r="F143" s="19">
        <v>6.380601641E9</v>
      </c>
      <c r="G143" s="19" t="s">
        <v>1584</v>
      </c>
      <c r="H143" s="19" t="s">
        <v>447</v>
      </c>
    </row>
    <row r="144" ht="22.5" customHeight="1">
      <c r="A144" s="18">
        <v>46265.724526122685</v>
      </c>
      <c r="B144" s="19" t="s">
        <v>1585</v>
      </c>
      <c r="C144" s="19" t="s">
        <v>1586</v>
      </c>
      <c r="D144" s="19">
        <v>2.0200173E7</v>
      </c>
      <c r="E144" s="19" t="s">
        <v>3</v>
      </c>
      <c r="F144" s="19">
        <v>9.142852466E9</v>
      </c>
      <c r="G144" s="19" t="s">
        <v>1585</v>
      </c>
      <c r="H144" s="19" t="s">
        <v>52</v>
      </c>
      <c r="I144" s="19" t="s">
        <v>1587</v>
      </c>
      <c r="J144" s="19" t="s">
        <v>1588</v>
      </c>
      <c r="K144" s="19" t="s">
        <v>1280</v>
      </c>
      <c r="L144" s="20" t="s">
        <v>1589</v>
      </c>
      <c r="M144" s="20" t="s">
        <v>1590</v>
      </c>
      <c r="N144" s="19" t="s">
        <v>1591</v>
      </c>
      <c r="O144" s="19" t="s">
        <v>611</v>
      </c>
      <c r="P144" s="19" t="s">
        <v>1592</v>
      </c>
      <c r="Q144" s="19">
        <v>9.229970275E9</v>
      </c>
      <c r="R144" s="19" t="s">
        <v>1593</v>
      </c>
      <c r="S144" s="19" t="s">
        <v>106</v>
      </c>
      <c r="T144" s="19" t="s">
        <v>1594</v>
      </c>
      <c r="U144" s="19">
        <v>6.201534568E9</v>
      </c>
      <c r="V144" s="19">
        <v>2.0</v>
      </c>
      <c r="W144" s="19" t="s">
        <v>1595</v>
      </c>
      <c r="X144" s="19" t="s">
        <v>91</v>
      </c>
      <c r="Y144" s="19" t="s">
        <v>1593</v>
      </c>
      <c r="Z144" s="19" t="s">
        <v>93</v>
      </c>
      <c r="AA144" s="19" t="s">
        <v>65</v>
      </c>
      <c r="AB144" s="19" t="s">
        <v>65</v>
      </c>
      <c r="AC144" s="19" t="s">
        <v>65</v>
      </c>
      <c r="AD144" s="19" t="s">
        <v>66</v>
      </c>
      <c r="AE144" s="19">
        <v>0.0</v>
      </c>
    </row>
    <row r="145" ht="22.5" customHeight="1">
      <c r="A145" s="18">
        <v>46265.72530863426</v>
      </c>
      <c r="B145" s="19" t="s">
        <v>1596</v>
      </c>
      <c r="C145" s="19" t="s">
        <v>1597</v>
      </c>
      <c r="D145" s="19">
        <v>2023035.0</v>
      </c>
      <c r="E145" s="19" t="s">
        <v>4</v>
      </c>
      <c r="F145" s="19">
        <v>8.723959725E9</v>
      </c>
      <c r="G145" s="19" t="s">
        <v>1598</v>
      </c>
      <c r="H145" s="19" t="s">
        <v>52</v>
      </c>
      <c r="I145" s="19" t="s">
        <v>1599</v>
      </c>
      <c r="K145" s="19" t="s">
        <v>1600</v>
      </c>
      <c r="L145" s="20" t="s">
        <v>1601</v>
      </c>
      <c r="M145" s="20" t="s">
        <v>1602</v>
      </c>
      <c r="N145" s="19" t="s">
        <v>1603</v>
      </c>
      <c r="O145" s="19" t="s">
        <v>1604</v>
      </c>
      <c r="P145" s="19" t="s">
        <v>1605</v>
      </c>
      <c r="Q145" s="19">
        <v>9.706221193E9</v>
      </c>
      <c r="R145" s="19" t="s">
        <v>1606</v>
      </c>
      <c r="S145" s="19" t="s">
        <v>1607</v>
      </c>
      <c r="T145" s="19" t="s">
        <v>1605</v>
      </c>
      <c r="U145" s="19">
        <v>8.822107243E9</v>
      </c>
      <c r="V145" s="19">
        <v>0.0</v>
      </c>
      <c r="AA145" s="19" t="s">
        <v>65</v>
      </c>
      <c r="AD145" s="19" t="s">
        <v>11</v>
      </c>
      <c r="AE145" s="19">
        <v>1.0</v>
      </c>
    </row>
    <row r="146" ht="22.5" customHeight="1">
      <c r="A146" s="18">
        <v>46265.72574436343</v>
      </c>
      <c r="B146" s="19" t="s">
        <v>1608</v>
      </c>
      <c r="C146" s="19" t="s">
        <v>1609</v>
      </c>
      <c r="D146" s="19" t="s">
        <v>1610</v>
      </c>
      <c r="E146" s="19" t="s">
        <v>3</v>
      </c>
      <c r="F146" s="19">
        <v>7.602481593E9</v>
      </c>
      <c r="G146" s="19" t="s">
        <v>1608</v>
      </c>
      <c r="H146" s="19" t="s">
        <v>52</v>
      </c>
      <c r="I146" s="19" t="s">
        <v>1611</v>
      </c>
      <c r="J146" s="19" t="s">
        <v>1612</v>
      </c>
      <c r="K146" s="19" t="s">
        <v>1613</v>
      </c>
      <c r="L146" s="20" t="s">
        <v>1614</v>
      </c>
      <c r="M146" s="20" t="s">
        <v>1615</v>
      </c>
      <c r="N146" s="19" t="s">
        <v>1616</v>
      </c>
      <c r="O146" s="19" t="s">
        <v>1617</v>
      </c>
      <c r="P146" s="19" t="s">
        <v>1618</v>
      </c>
      <c r="Q146" s="19">
        <v>9.475256007E9</v>
      </c>
      <c r="R146" s="19" t="s">
        <v>1619</v>
      </c>
      <c r="S146" s="19" t="s">
        <v>1620</v>
      </c>
      <c r="T146" s="19" t="s">
        <v>1621</v>
      </c>
      <c r="U146" s="19">
        <v>9.476480249E9</v>
      </c>
      <c r="V146" s="19">
        <v>2.0</v>
      </c>
      <c r="W146" s="19" t="s">
        <v>1616</v>
      </c>
      <c r="X146" s="19" t="s">
        <v>91</v>
      </c>
      <c r="Y146" s="19" t="s">
        <v>1619</v>
      </c>
      <c r="Z146" s="19" t="s">
        <v>93</v>
      </c>
      <c r="AA146" s="19" t="s">
        <v>65</v>
      </c>
      <c r="AB146" s="19" t="s">
        <v>65</v>
      </c>
      <c r="AC146" s="19" t="s">
        <v>65</v>
      </c>
      <c r="AD146" s="19" t="s">
        <v>66</v>
      </c>
    </row>
    <row r="147" ht="22.5" customHeight="1">
      <c r="A147" s="18">
        <v>46265.728773703704</v>
      </c>
      <c r="B147" s="19" t="s">
        <v>1622</v>
      </c>
      <c r="C147" s="19" t="s">
        <v>1623</v>
      </c>
      <c r="D147" s="19">
        <v>2.0210215E7</v>
      </c>
      <c r="E147" s="19" t="s">
        <v>5</v>
      </c>
      <c r="F147" s="19">
        <v>8.590791693E9</v>
      </c>
      <c r="G147" s="19" t="s">
        <v>1622</v>
      </c>
      <c r="H147" s="19" t="s">
        <v>447</v>
      </c>
    </row>
    <row r="148" ht="22.5" customHeight="1">
      <c r="A148" s="18">
        <v>46265.73187701389</v>
      </c>
      <c r="B148" s="19" t="s">
        <v>1624</v>
      </c>
      <c r="C148" s="19" t="s">
        <v>1625</v>
      </c>
      <c r="D148" s="19">
        <v>2.0200175E7</v>
      </c>
      <c r="E148" s="19" t="s">
        <v>3</v>
      </c>
      <c r="F148" s="19">
        <v>9.110037439E9</v>
      </c>
      <c r="G148" s="19" t="s">
        <v>1624</v>
      </c>
      <c r="H148" s="19" t="s">
        <v>52</v>
      </c>
      <c r="I148" s="19" t="s">
        <v>1626</v>
      </c>
      <c r="J148" s="19" t="s">
        <v>665</v>
      </c>
      <c r="K148" s="19" t="s">
        <v>1627</v>
      </c>
      <c r="L148" s="20" t="s">
        <v>1628</v>
      </c>
      <c r="M148" s="20" t="s">
        <v>1629</v>
      </c>
      <c r="N148" s="19" t="s">
        <v>1630</v>
      </c>
      <c r="O148" s="19" t="s">
        <v>60</v>
      </c>
      <c r="P148" s="19" t="s">
        <v>1627</v>
      </c>
      <c r="Q148" s="19">
        <v>9.110037439E9</v>
      </c>
      <c r="R148" s="19" t="s">
        <v>1631</v>
      </c>
      <c r="S148" s="19" t="s">
        <v>525</v>
      </c>
      <c r="T148" s="19" t="s">
        <v>1632</v>
      </c>
      <c r="U148" s="19">
        <v>9.110037439E9</v>
      </c>
      <c r="V148" s="19">
        <v>2.0</v>
      </c>
      <c r="W148" s="19" t="s">
        <v>1631</v>
      </c>
      <c r="X148" s="19" t="s">
        <v>133</v>
      </c>
      <c r="Y148" s="19" t="s">
        <v>1633</v>
      </c>
      <c r="Z148" s="19" t="s">
        <v>91</v>
      </c>
      <c r="AA148" s="19" t="s">
        <v>65</v>
      </c>
      <c r="AB148" s="19" t="s">
        <v>65</v>
      </c>
      <c r="AC148" s="19" t="s">
        <v>65</v>
      </c>
      <c r="AD148" s="19" t="s">
        <v>10</v>
      </c>
      <c r="AE148" s="19">
        <v>3.0</v>
      </c>
    </row>
    <row r="149" ht="22.5" customHeight="1">
      <c r="A149" s="18">
        <v>46265.73353038194</v>
      </c>
      <c r="B149" s="19" t="s">
        <v>1634</v>
      </c>
      <c r="C149" s="19" t="s">
        <v>1635</v>
      </c>
      <c r="D149" s="19" t="s">
        <v>1636</v>
      </c>
      <c r="E149" s="19" t="s">
        <v>3</v>
      </c>
      <c r="F149" s="19">
        <v>9.674313474E9</v>
      </c>
      <c r="G149" s="19" t="s">
        <v>1637</v>
      </c>
      <c r="H149" s="19" t="s">
        <v>52</v>
      </c>
      <c r="I149" s="19" t="s">
        <v>1638</v>
      </c>
      <c r="K149" s="19" t="s">
        <v>124</v>
      </c>
      <c r="L149" s="20" t="s">
        <v>1639</v>
      </c>
      <c r="M149" s="20" t="s">
        <v>1640</v>
      </c>
      <c r="N149" s="19" t="s">
        <v>1641</v>
      </c>
      <c r="O149" s="19" t="s">
        <v>1642</v>
      </c>
      <c r="P149" s="19" t="s">
        <v>124</v>
      </c>
      <c r="Q149" s="19">
        <v>9.433621899E9</v>
      </c>
      <c r="R149" s="19" t="s">
        <v>1643</v>
      </c>
      <c r="S149" s="19" t="s">
        <v>1644</v>
      </c>
      <c r="T149" s="19" t="s">
        <v>124</v>
      </c>
      <c r="U149" s="19">
        <v>9.674313292E9</v>
      </c>
      <c r="V149" s="19">
        <v>2.0</v>
      </c>
      <c r="W149" s="19" t="s">
        <v>1641</v>
      </c>
      <c r="X149" s="19" t="s">
        <v>91</v>
      </c>
      <c r="Y149" s="19" t="s">
        <v>1645</v>
      </c>
      <c r="Z149" s="19" t="s">
        <v>93</v>
      </c>
      <c r="AA149" s="19" t="s">
        <v>94</v>
      </c>
      <c r="AB149" s="19" t="s">
        <v>94</v>
      </c>
      <c r="AC149" s="19" t="s">
        <v>94</v>
      </c>
      <c r="AD149" s="19" t="s">
        <v>66</v>
      </c>
    </row>
    <row r="150" ht="22.5" customHeight="1">
      <c r="A150" s="18">
        <v>46265.73488120371</v>
      </c>
      <c r="B150" s="19" t="s">
        <v>1646</v>
      </c>
      <c r="C150" s="19" t="s">
        <v>1647</v>
      </c>
      <c r="D150" s="19">
        <v>2.0240408E7</v>
      </c>
      <c r="E150" s="19" t="s">
        <v>7</v>
      </c>
      <c r="F150" s="19">
        <v>9.134582166E9</v>
      </c>
      <c r="G150" s="19" t="s">
        <v>1648</v>
      </c>
      <c r="H150" s="19" t="s">
        <v>52</v>
      </c>
      <c r="K150" s="19" t="s">
        <v>453</v>
      </c>
      <c r="L150" s="20" t="s">
        <v>1649</v>
      </c>
      <c r="M150" s="20" t="s">
        <v>1650</v>
      </c>
      <c r="N150" s="19" t="s">
        <v>1651</v>
      </c>
      <c r="O150" s="19" t="s">
        <v>1652</v>
      </c>
      <c r="P150" s="19" t="s">
        <v>1653</v>
      </c>
      <c r="Q150" s="19">
        <v>8.967688577E9</v>
      </c>
      <c r="R150" s="19" t="s">
        <v>1654</v>
      </c>
      <c r="S150" s="19" t="s">
        <v>1655</v>
      </c>
      <c r="T150" s="19" t="s">
        <v>1653</v>
      </c>
      <c r="U150" s="19">
        <v>8.01669234E9</v>
      </c>
      <c r="V150" s="19">
        <v>2.0</v>
      </c>
      <c r="W150" s="19" t="s">
        <v>1656</v>
      </c>
      <c r="X150" s="19" t="s">
        <v>91</v>
      </c>
      <c r="Y150" s="19" t="s">
        <v>1657</v>
      </c>
      <c r="Z150" s="19" t="s">
        <v>93</v>
      </c>
      <c r="AA150" s="19" t="s">
        <v>65</v>
      </c>
      <c r="AB150" s="19" t="s">
        <v>65</v>
      </c>
      <c r="AC150" s="19" t="s">
        <v>94</v>
      </c>
      <c r="AD150" s="19" t="s">
        <v>66</v>
      </c>
      <c r="AE150" s="19">
        <v>0.0</v>
      </c>
    </row>
    <row r="151" ht="22.5" customHeight="1">
      <c r="A151" s="18">
        <v>46265.73607039352</v>
      </c>
      <c r="B151" s="19" t="s">
        <v>1658</v>
      </c>
      <c r="C151" s="19" t="s">
        <v>1659</v>
      </c>
      <c r="D151" s="19">
        <v>2.0240411E7</v>
      </c>
      <c r="E151" s="19" t="s">
        <v>7</v>
      </c>
      <c r="F151" s="19">
        <v>8.67700079E9</v>
      </c>
      <c r="G151" s="19" t="s">
        <v>1658</v>
      </c>
      <c r="H151" s="19" t="s">
        <v>52</v>
      </c>
      <c r="I151" s="19" t="s">
        <v>1660</v>
      </c>
      <c r="J151" s="19" t="s">
        <v>190</v>
      </c>
      <c r="K151" s="19" t="s">
        <v>84</v>
      </c>
      <c r="L151" s="20" t="s">
        <v>1661</v>
      </c>
      <c r="M151" s="20" t="s">
        <v>1662</v>
      </c>
      <c r="N151" s="19" t="s">
        <v>1663</v>
      </c>
      <c r="O151" s="19" t="s">
        <v>1664</v>
      </c>
      <c r="P151" s="19" t="s">
        <v>84</v>
      </c>
      <c r="Q151" s="19">
        <v>8.25242179E9</v>
      </c>
      <c r="R151" s="19" t="s">
        <v>1665</v>
      </c>
      <c r="S151" s="19" t="s">
        <v>1666</v>
      </c>
      <c r="T151" s="19" t="s">
        <v>84</v>
      </c>
      <c r="U151" s="19">
        <v>7.061375922E9</v>
      </c>
      <c r="V151" s="19">
        <v>2.0</v>
      </c>
      <c r="W151" s="19" t="s">
        <v>1667</v>
      </c>
      <c r="X151" s="19" t="s">
        <v>91</v>
      </c>
      <c r="Y151" s="19" t="s">
        <v>1665</v>
      </c>
      <c r="Z151" s="19" t="s">
        <v>93</v>
      </c>
      <c r="AA151" s="19" t="s">
        <v>65</v>
      </c>
      <c r="AB151" s="19" t="s">
        <v>65</v>
      </c>
      <c r="AC151" s="19" t="s">
        <v>65</v>
      </c>
      <c r="AD151" s="19" t="s">
        <v>66</v>
      </c>
      <c r="AE151" s="19">
        <v>0.0</v>
      </c>
    </row>
    <row r="152" ht="22.5" customHeight="1">
      <c r="A152" s="18">
        <v>46265.739547731486</v>
      </c>
      <c r="B152" s="19" t="s">
        <v>1668</v>
      </c>
      <c r="C152" s="19" t="s">
        <v>1669</v>
      </c>
      <c r="D152" s="19">
        <v>2.02001122E8</v>
      </c>
      <c r="E152" s="19" t="s">
        <v>3</v>
      </c>
      <c r="F152" s="19">
        <v>8.708840109E9</v>
      </c>
      <c r="G152" s="19" t="s">
        <v>1670</v>
      </c>
      <c r="H152" s="19" t="s">
        <v>52</v>
      </c>
      <c r="I152" s="19" t="s">
        <v>1671</v>
      </c>
      <c r="J152" s="19" t="s">
        <v>1672</v>
      </c>
      <c r="K152" s="19" t="s">
        <v>1673</v>
      </c>
      <c r="L152" s="20" t="s">
        <v>1674</v>
      </c>
      <c r="M152" s="20" t="s">
        <v>1675</v>
      </c>
      <c r="N152" s="19" t="s">
        <v>1676</v>
      </c>
      <c r="O152" s="19" t="s">
        <v>1677</v>
      </c>
      <c r="P152" s="19" t="s">
        <v>1673</v>
      </c>
      <c r="Q152" s="19">
        <v>9.354106596E9</v>
      </c>
      <c r="R152" s="19" t="s">
        <v>1678</v>
      </c>
      <c r="S152" s="19" t="s">
        <v>391</v>
      </c>
      <c r="T152" s="19" t="s">
        <v>1673</v>
      </c>
      <c r="U152" s="19">
        <v>9.03450506E9</v>
      </c>
      <c r="V152" s="19">
        <v>0.0</v>
      </c>
      <c r="AA152" s="19" t="s">
        <v>94</v>
      </c>
      <c r="AD152" s="19" t="s">
        <v>66</v>
      </c>
      <c r="AE152" s="19">
        <v>0.0</v>
      </c>
    </row>
    <row r="153" ht="22.5" customHeight="1">
      <c r="A153" s="18">
        <v>46265.7399896412</v>
      </c>
      <c r="B153" s="19" t="s">
        <v>769</v>
      </c>
      <c r="C153" s="19" t="s">
        <v>770</v>
      </c>
      <c r="D153" s="19">
        <v>2.0200186E7</v>
      </c>
      <c r="E153" s="19" t="s">
        <v>3</v>
      </c>
      <c r="F153" s="19">
        <v>9.526106877E9</v>
      </c>
      <c r="G153" s="19" t="s">
        <v>769</v>
      </c>
      <c r="H153" s="19" t="s">
        <v>52</v>
      </c>
      <c r="I153" s="19" t="s">
        <v>1679</v>
      </c>
      <c r="J153" s="19" t="s">
        <v>1680</v>
      </c>
      <c r="K153" s="19" t="s">
        <v>773</v>
      </c>
      <c r="L153" s="20" t="s">
        <v>1681</v>
      </c>
      <c r="M153" s="20" t="s">
        <v>1682</v>
      </c>
      <c r="N153" s="19" t="s">
        <v>1683</v>
      </c>
      <c r="O153" s="19" t="s">
        <v>1684</v>
      </c>
      <c r="P153" s="19" t="s">
        <v>1685</v>
      </c>
      <c r="Q153" s="19">
        <v>9.446106877E9</v>
      </c>
      <c r="R153" s="19" t="s">
        <v>779</v>
      </c>
      <c r="S153" s="19" t="s">
        <v>1686</v>
      </c>
      <c r="T153" s="19" t="s">
        <v>1685</v>
      </c>
      <c r="U153" s="19">
        <v>9.447289191E9</v>
      </c>
      <c r="V153" s="19">
        <v>1.0</v>
      </c>
      <c r="W153" s="19" t="s">
        <v>779</v>
      </c>
      <c r="X153" s="19" t="s">
        <v>93</v>
      </c>
      <c r="AA153" s="19" t="s">
        <v>65</v>
      </c>
      <c r="AB153" s="19" t="s">
        <v>65</v>
      </c>
      <c r="AD153" s="19" t="s">
        <v>66</v>
      </c>
      <c r="AE153" s="19">
        <v>0.0</v>
      </c>
    </row>
    <row r="154" ht="22.5" customHeight="1">
      <c r="A154" s="18">
        <v>46265.74221628472</v>
      </c>
      <c r="B154" s="19" t="s">
        <v>1687</v>
      </c>
      <c r="C154" s="19" t="s">
        <v>1688</v>
      </c>
      <c r="D154" s="19">
        <v>2.0210231E7</v>
      </c>
      <c r="E154" s="19" t="s">
        <v>5</v>
      </c>
      <c r="F154" s="19">
        <v>9.534028858E9</v>
      </c>
      <c r="G154" s="19" t="s">
        <v>1689</v>
      </c>
      <c r="H154" s="19" t="s">
        <v>52</v>
      </c>
      <c r="I154" s="19" t="s">
        <v>1690</v>
      </c>
      <c r="J154" s="19" t="s">
        <v>1691</v>
      </c>
      <c r="K154" s="19" t="s">
        <v>763</v>
      </c>
      <c r="L154" s="20" t="s">
        <v>1692</v>
      </c>
      <c r="M154" s="20" t="s">
        <v>1693</v>
      </c>
      <c r="N154" s="19" t="s">
        <v>1694</v>
      </c>
      <c r="O154" s="19" t="s">
        <v>1695</v>
      </c>
      <c r="P154" s="19" t="s">
        <v>71</v>
      </c>
      <c r="Q154" s="19">
        <v>9.760320316E9</v>
      </c>
      <c r="R154" s="19" t="s">
        <v>1696</v>
      </c>
      <c r="S154" s="19" t="s">
        <v>106</v>
      </c>
      <c r="T154" s="19" t="s">
        <v>71</v>
      </c>
      <c r="U154" s="19">
        <v>9.699868646E9</v>
      </c>
      <c r="V154" s="19">
        <v>0.0</v>
      </c>
      <c r="AA154" s="19" t="s">
        <v>65</v>
      </c>
      <c r="AD154" s="19" t="s">
        <v>66</v>
      </c>
      <c r="AE154" s="19">
        <v>0.0</v>
      </c>
    </row>
    <row r="155" ht="22.5" customHeight="1">
      <c r="A155" s="18">
        <v>46265.74408037037</v>
      </c>
      <c r="B155" s="19" t="s">
        <v>1697</v>
      </c>
      <c r="C155" s="19" t="s">
        <v>1698</v>
      </c>
      <c r="D155" s="19">
        <v>2.0210225E7</v>
      </c>
      <c r="E155" s="19" t="s">
        <v>5</v>
      </c>
      <c r="F155" s="19">
        <v>7.074559669E9</v>
      </c>
      <c r="G155" s="19" t="s">
        <v>1697</v>
      </c>
      <c r="H155" s="19" t="s">
        <v>52</v>
      </c>
      <c r="I155" s="19" t="s">
        <v>1699</v>
      </c>
      <c r="J155" s="19" t="s">
        <v>1700</v>
      </c>
      <c r="K155" s="19" t="s">
        <v>1701</v>
      </c>
      <c r="L155" s="20" t="s">
        <v>1702</v>
      </c>
      <c r="M155" s="20" t="s">
        <v>1703</v>
      </c>
      <c r="N155" s="19" t="s">
        <v>1704</v>
      </c>
      <c r="O155" s="19" t="s">
        <v>1705</v>
      </c>
      <c r="P155" s="19" t="s">
        <v>1706</v>
      </c>
      <c r="Q155" s="19">
        <v>7.986006157E9</v>
      </c>
      <c r="R155" s="19" t="s">
        <v>1707</v>
      </c>
      <c r="S155" s="19" t="s">
        <v>130</v>
      </c>
      <c r="T155" s="19" t="s">
        <v>1706</v>
      </c>
      <c r="U155" s="19">
        <v>9.749952213E9</v>
      </c>
      <c r="V155" s="19">
        <v>2.0</v>
      </c>
      <c r="W155" s="19" t="s">
        <v>1708</v>
      </c>
      <c r="X155" s="19" t="s">
        <v>133</v>
      </c>
      <c r="Y155" s="19" t="s">
        <v>1709</v>
      </c>
      <c r="Z155" s="19" t="s">
        <v>1710</v>
      </c>
      <c r="AA155" s="19" t="s">
        <v>94</v>
      </c>
      <c r="AB155" s="19" t="s">
        <v>94</v>
      </c>
      <c r="AC155" s="19" t="s">
        <v>94</v>
      </c>
      <c r="AD155" s="19" t="s">
        <v>66</v>
      </c>
      <c r="AE155" s="19">
        <v>0.0</v>
      </c>
    </row>
    <row r="156" ht="22.5" customHeight="1">
      <c r="A156" s="18">
        <v>46265.74620144676</v>
      </c>
      <c r="B156" s="19" t="s">
        <v>1711</v>
      </c>
      <c r="C156" s="19" t="s">
        <v>1712</v>
      </c>
      <c r="D156" s="19">
        <v>2.0210246E7</v>
      </c>
      <c r="E156" s="19" t="s">
        <v>5</v>
      </c>
      <c r="F156" s="19">
        <v>8.084922283E9</v>
      </c>
      <c r="G156" s="19" t="s">
        <v>1713</v>
      </c>
      <c r="H156" s="19" t="s">
        <v>447</v>
      </c>
    </row>
    <row r="157" ht="22.5" customHeight="1">
      <c r="A157" s="18">
        <v>46265.75187501157</v>
      </c>
      <c r="B157" s="19" t="s">
        <v>1714</v>
      </c>
      <c r="C157" s="19" t="s">
        <v>1715</v>
      </c>
      <c r="D157" s="19">
        <v>2.0230312E7</v>
      </c>
      <c r="E157" s="19" t="s">
        <v>4</v>
      </c>
      <c r="F157" s="19">
        <v>9.496900091E9</v>
      </c>
      <c r="G157" s="19" t="s">
        <v>1716</v>
      </c>
      <c r="H157" s="19" t="s">
        <v>52</v>
      </c>
      <c r="I157" s="19" t="s">
        <v>1717</v>
      </c>
      <c r="J157" s="19" t="s">
        <v>1718</v>
      </c>
      <c r="K157" s="19" t="s">
        <v>1719</v>
      </c>
      <c r="L157" s="20" t="s">
        <v>1720</v>
      </c>
      <c r="M157" s="20" t="s">
        <v>1721</v>
      </c>
      <c r="N157" s="19" t="s">
        <v>1722</v>
      </c>
      <c r="O157" s="19" t="s">
        <v>88</v>
      </c>
      <c r="P157" s="19" t="s">
        <v>1723</v>
      </c>
      <c r="Q157" s="19">
        <v>8.921105271E9</v>
      </c>
      <c r="R157" s="19" t="s">
        <v>1724</v>
      </c>
      <c r="S157" s="19" t="s">
        <v>467</v>
      </c>
      <c r="T157" s="19" t="s">
        <v>1723</v>
      </c>
      <c r="U157" s="19">
        <v>9.4963153E9</v>
      </c>
      <c r="V157" s="19">
        <v>1.0</v>
      </c>
      <c r="W157" s="19" t="s">
        <v>1725</v>
      </c>
      <c r="X157" s="19" t="s">
        <v>1726</v>
      </c>
      <c r="AA157" s="19" t="s">
        <v>65</v>
      </c>
      <c r="AB157" s="19" t="s">
        <v>65</v>
      </c>
      <c r="AE157" s="19">
        <v>0.0</v>
      </c>
    </row>
    <row r="158" ht="22.5" customHeight="1">
      <c r="A158" s="18">
        <v>46265.76405421297</v>
      </c>
      <c r="B158" s="19" t="s">
        <v>1727</v>
      </c>
      <c r="C158" s="19" t="s">
        <v>1728</v>
      </c>
      <c r="D158" s="19">
        <v>2.0240409E7</v>
      </c>
      <c r="E158" s="19" t="s">
        <v>7</v>
      </c>
      <c r="F158" s="19">
        <v>8.420623906E9</v>
      </c>
      <c r="G158" s="19" t="s">
        <v>1727</v>
      </c>
      <c r="H158" s="19" t="s">
        <v>52</v>
      </c>
      <c r="I158" s="19" t="s">
        <v>1729</v>
      </c>
      <c r="J158" s="19" t="s">
        <v>190</v>
      </c>
      <c r="K158" s="19" t="s">
        <v>1730</v>
      </c>
      <c r="L158" s="20" t="s">
        <v>1731</v>
      </c>
      <c r="M158" s="20" t="s">
        <v>1732</v>
      </c>
      <c r="N158" s="19" t="s">
        <v>1733</v>
      </c>
      <c r="O158" s="19" t="s">
        <v>1734</v>
      </c>
      <c r="P158" s="19" t="s">
        <v>1730</v>
      </c>
      <c r="Q158" s="19">
        <v>9.477026679E9</v>
      </c>
      <c r="R158" s="19" t="s">
        <v>1735</v>
      </c>
      <c r="S158" s="19" t="s">
        <v>326</v>
      </c>
      <c r="T158" s="19" t="s">
        <v>1730</v>
      </c>
      <c r="U158" s="19">
        <v>8.902338855E9</v>
      </c>
      <c r="V158" s="19">
        <v>2.0</v>
      </c>
      <c r="W158" s="19" t="s">
        <v>1733</v>
      </c>
      <c r="X158" s="19" t="s">
        <v>79</v>
      </c>
      <c r="Y158" s="19" t="s">
        <v>1735</v>
      </c>
      <c r="Z158" s="19" t="s">
        <v>80</v>
      </c>
      <c r="AA158" s="19" t="s">
        <v>65</v>
      </c>
      <c r="AB158" s="19" t="s">
        <v>65</v>
      </c>
      <c r="AC158" s="19" t="s">
        <v>65</v>
      </c>
      <c r="AD158" s="19" t="s">
        <v>10</v>
      </c>
      <c r="AE158" s="19">
        <v>3.0</v>
      </c>
    </row>
    <row r="159" ht="22.5" customHeight="1">
      <c r="A159" s="18">
        <v>46265.77362400463</v>
      </c>
      <c r="B159" s="19" t="s">
        <v>1736</v>
      </c>
      <c r="C159" s="19" t="s">
        <v>1737</v>
      </c>
      <c r="D159" s="19">
        <v>2.0210233E7</v>
      </c>
      <c r="E159" s="19" t="s">
        <v>5</v>
      </c>
      <c r="F159" s="19">
        <v>7.002544346E9</v>
      </c>
      <c r="G159" s="19" t="s">
        <v>1738</v>
      </c>
      <c r="H159" s="19" t="s">
        <v>447</v>
      </c>
    </row>
    <row r="160" ht="22.5" customHeight="1">
      <c r="A160" s="18">
        <v>46265.81132795139</v>
      </c>
      <c r="B160" s="19" t="s">
        <v>1739</v>
      </c>
      <c r="C160" s="19" t="s">
        <v>1740</v>
      </c>
      <c r="D160" s="19">
        <v>2.0240412E7</v>
      </c>
      <c r="E160" s="19" t="s">
        <v>7</v>
      </c>
      <c r="F160" s="19">
        <v>7.015693798E9</v>
      </c>
      <c r="G160" s="19" t="s">
        <v>1739</v>
      </c>
      <c r="H160" s="19" t="s">
        <v>52</v>
      </c>
      <c r="I160" s="19" t="s">
        <v>1741</v>
      </c>
      <c r="J160" s="19" t="s">
        <v>447</v>
      </c>
      <c r="K160" s="19" t="s">
        <v>1742</v>
      </c>
      <c r="L160" s="20" t="s">
        <v>1743</v>
      </c>
      <c r="M160" s="20" t="s">
        <v>1744</v>
      </c>
      <c r="N160" s="19" t="s">
        <v>1745</v>
      </c>
      <c r="O160" s="19" t="s">
        <v>1746</v>
      </c>
      <c r="P160" s="19" t="s">
        <v>1747</v>
      </c>
      <c r="Q160" s="19">
        <v>9.996577829E9</v>
      </c>
      <c r="R160" s="19" t="s">
        <v>1748</v>
      </c>
      <c r="S160" s="19" t="s">
        <v>90</v>
      </c>
      <c r="T160" s="19" t="s">
        <v>1749</v>
      </c>
      <c r="U160" s="19">
        <v>8.930544883E9</v>
      </c>
      <c r="V160" s="19">
        <v>2.0</v>
      </c>
      <c r="W160" s="19" t="s">
        <v>1750</v>
      </c>
      <c r="X160" s="19" t="s">
        <v>234</v>
      </c>
      <c r="Y160" s="19" t="s">
        <v>1751</v>
      </c>
      <c r="Z160" s="19" t="s">
        <v>198</v>
      </c>
      <c r="AA160" s="19" t="s">
        <v>94</v>
      </c>
      <c r="AB160" s="19" t="s">
        <v>94</v>
      </c>
      <c r="AC160" s="19" t="s">
        <v>94</v>
      </c>
      <c r="AD160" s="19" t="s">
        <v>66</v>
      </c>
      <c r="AE160" s="19">
        <v>0.0</v>
      </c>
    </row>
    <row r="161" ht="22.5" customHeight="1">
      <c r="A161" s="18">
        <v>46265.814711493054</v>
      </c>
      <c r="B161" s="19" t="s">
        <v>1752</v>
      </c>
      <c r="C161" s="19" t="s">
        <v>1753</v>
      </c>
      <c r="D161" s="19">
        <v>2.02001162E8</v>
      </c>
      <c r="E161" s="19" t="s">
        <v>3</v>
      </c>
      <c r="F161" s="19">
        <v>8.824036959E9</v>
      </c>
      <c r="G161" s="19" t="s">
        <v>1752</v>
      </c>
      <c r="H161" s="19" t="s">
        <v>52</v>
      </c>
      <c r="I161" s="19" t="s">
        <v>1754</v>
      </c>
      <c r="K161" s="19" t="s">
        <v>666</v>
      </c>
      <c r="L161" s="20" t="s">
        <v>1755</v>
      </c>
      <c r="M161" s="20" t="s">
        <v>1756</v>
      </c>
      <c r="N161" s="19" t="s">
        <v>1757</v>
      </c>
      <c r="O161" s="19" t="s">
        <v>1758</v>
      </c>
      <c r="P161" s="19" t="s">
        <v>666</v>
      </c>
      <c r="Q161" s="19">
        <v>8.112291832E9</v>
      </c>
      <c r="R161" s="19" t="s">
        <v>1759</v>
      </c>
      <c r="S161" s="19" t="s">
        <v>130</v>
      </c>
      <c r="T161" s="19" t="s">
        <v>666</v>
      </c>
      <c r="U161" s="19">
        <v>8.432815435E9</v>
      </c>
      <c r="V161" s="19">
        <v>2.0</v>
      </c>
      <c r="W161" s="19" t="s">
        <v>1757</v>
      </c>
      <c r="X161" s="19" t="s">
        <v>91</v>
      </c>
      <c r="Y161" s="19" t="s">
        <v>1760</v>
      </c>
      <c r="Z161" s="19" t="s">
        <v>198</v>
      </c>
      <c r="AA161" s="19" t="s">
        <v>94</v>
      </c>
      <c r="AB161" s="19" t="s">
        <v>94</v>
      </c>
      <c r="AC161" s="19" t="s">
        <v>94</v>
      </c>
      <c r="AD161" s="19" t="s">
        <v>11</v>
      </c>
      <c r="AE161" s="19">
        <v>1.0</v>
      </c>
    </row>
    <row r="162" ht="22.5" customHeight="1">
      <c r="A162" s="18">
        <v>46265.82132081018</v>
      </c>
      <c r="B162" s="19" t="s">
        <v>1448</v>
      </c>
      <c r="C162" s="19" t="s">
        <v>1449</v>
      </c>
      <c r="D162" s="19" t="s">
        <v>1761</v>
      </c>
      <c r="E162" s="19" t="s">
        <v>3</v>
      </c>
      <c r="F162" s="19">
        <v>6.383560594E9</v>
      </c>
      <c r="G162" s="19" t="s">
        <v>1451</v>
      </c>
      <c r="H162" s="19" t="s">
        <v>52</v>
      </c>
      <c r="I162" s="19" t="s">
        <v>1762</v>
      </c>
      <c r="J162" s="19" t="s">
        <v>1763</v>
      </c>
      <c r="K162" s="19" t="s">
        <v>1454</v>
      </c>
      <c r="L162" s="20" t="s">
        <v>1764</v>
      </c>
      <c r="M162" s="20" t="s">
        <v>1765</v>
      </c>
      <c r="N162" s="19" t="s">
        <v>1460</v>
      </c>
      <c r="O162" s="19" t="s">
        <v>1766</v>
      </c>
      <c r="P162" s="19" t="s">
        <v>1767</v>
      </c>
      <c r="Q162" s="19">
        <v>9.48640503E9</v>
      </c>
      <c r="R162" s="19" t="s">
        <v>1461</v>
      </c>
      <c r="S162" s="19" t="s">
        <v>391</v>
      </c>
      <c r="T162" s="19" t="s">
        <v>1454</v>
      </c>
      <c r="U162" s="19">
        <v>9.846603405E9</v>
      </c>
      <c r="V162" s="19">
        <v>2.0</v>
      </c>
      <c r="W162" s="19" t="s">
        <v>1459</v>
      </c>
      <c r="X162" s="19" t="s">
        <v>93</v>
      </c>
      <c r="Y162" s="19" t="s">
        <v>1768</v>
      </c>
      <c r="Z162" s="19" t="s">
        <v>91</v>
      </c>
      <c r="AA162" s="19" t="s">
        <v>65</v>
      </c>
      <c r="AB162" s="19" t="s">
        <v>65</v>
      </c>
      <c r="AC162" s="19" t="s">
        <v>65</v>
      </c>
      <c r="AD162" s="19" t="s">
        <v>66</v>
      </c>
      <c r="AE162" s="19">
        <v>0.0</v>
      </c>
    </row>
    <row r="163" ht="22.5" customHeight="1">
      <c r="A163" s="18">
        <v>46265.82512252315</v>
      </c>
      <c r="B163" s="19" t="s">
        <v>1769</v>
      </c>
      <c r="C163" s="19" t="s">
        <v>1770</v>
      </c>
      <c r="D163" s="19">
        <v>2.0201137E7</v>
      </c>
      <c r="E163" s="19" t="s">
        <v>3</v>
      </c>
      <c r="F163" s="19">
        <v>6.290592637E9</v>
      </c>
      <c r="G163" s="19" t="s">
        <v>1769</v>
      </c>
      <c r="H163" s="19" t="s">
        <v>52</v>
      </c>
      <c r="K163" s="19" t="s">
        <v>1771</v>
      </c>
      <c r="L163" s="20" t="s">
        <v>1772</v>
      </c>
      <c r="M163" s="20" t="s">
        <v>1773</v>
      </c>
      <c r="N163" s="19" t="s">
        <v>1774</v>
      </c>
      <c r="O163" s="19" t="s">
        <v>1775</v>
      </c>
      <c r="P163" s="19" t="s">
        <v>1771</v>
      </c>
      <c r="Q163" s="19">
        <v>9.831397625E9</v>
      </c>
      <c r="R163" s="19" t="s">
        <v>1776</v>
      </c>
      <c r="S163" s="19" t="s">
        <v>391</v>
      </c>
      <c r="T163" s="19" t="s">
        <v>1771</v>
      </c>
      <c r="U163" s="19">
        <v>9.163705141E9</v>
      </c>
      <c r="V163" s="19">
        <v>2.0</v>
      </c>
      <c r="W163" s="19" t="s">
        <v>1774</v>
      </c>
      <c r="X163" s="19" t="s">
        <v>91</v>
      </c>
      <c r="Y163" s="19" t="s">
        <v>1776</v>
      </c>
      <c r="Z163" s="19" t="s">
        <v>93</v>
      </c>
      <c r="AA163" s="19" t="s">
        <v>65</v>
      </c>
      <c r="AB163" s="19" t="s">
        <v>65</v>
      </c>
      <c r="AC163" s="19" t="s">
        <v>65</v>
      </c>
      <c r="AD163" s="19" t="s">
        <v>10</v>
      </c>
      <c r="AE163" s="19">
        <v>3.0</v>
      </c>
    </row>
    <row r="164" ht="22.5" customHeight="1">
      <c r="A164" s="18">
        <v>46265.83613523148</v>
      </c>
      <c r="B164" s="19" t="s">
        <v>1777</v>
      </c>
      <c r="C164" s="19" t="s">
        <v>1778</v>
      </c>
      <c r="D164" s="19">
        <v>2.0240407E7</v>
      </c>
      <c r="E164" s="19" t="s">
        <v>7</v>
      </c>
      <c r="F164" s="19">
        <v>8.900105792E9</v>
      </c>
      <c r="G164" s="19" t="s">
        <v>1779</v>
      </c>
      <c r="H164" s="19" t="s">
        <v>52</v>
      </c>
      <c r="K164" s="19" t="s">
        <v>1780</v>
      </c>
      <c r="L164" s="20" t="s">
        <v>1781</v>
      </c>
      <c r="M164" s="20" t="s">
        <v>1782</v>
      </c>
      <c r="N164" s="19" t="s">
        <v>1783</v>
      </c>
      <c r="O164" s="19" t="s">
        <v>1784</v>
      </c>
      <c r="P164" s="19" t="s">
        <v>1785</v>
      </c>
      <c r="Q164" s="19">
        <v>8.900477003E9</v>
      </c>
      <c r="R164" s="19" t="s">
        <v>1786</v>
      </c>
      <c r="S164" s="19" t="s">
        <v>293</v>
      </c>
      <c r="T164" s="19" t="s">
        <v>1785</v>
      </c>
      <c r="U164" s="19">
        <v>7.063529371E9</v>
      </c>
      <c r="V164" s="19">
        <v>0.0</v>
      </c>
      <c r="AA164" s="19" t="s">
        <v>65</v>
      </c>
      <c r="AD164" s="19" t="s">
        <v>10</v>
      </c>
      <c r="AE164" s="19">
        <v>1.0</v>
      </c>
    </row>
    <row r="165" ht="22.5" customHeight="1">
      <c r="A165" s="18">
        <v>46265.837623506945</v>
      </c>
      <c r="B165" s="19" t="s">
        <v>1787</v>
      </c>
      <c r="C165" s="19" t="s">
        <v>1788</v>
      </c>
      <c r="D165" s="19">
        <v>2.02001145E8</v>
      </c>
      <c r="E165" s="19" t="s">
        <v>3</v>
      </c>
      <c r="F165" s="19">
        <v>7.848805484E9</v>
      </c>
      <c r="G165" s="19" t="s">
        <v>1789</v>
      </c>
      <c r="H165" s="19" t="s">
        <v>52</v>
      </c>
      <c r="I165" s="19" t="s">
        <v>1790</v>
      </c>
      <c r="J165" s="19" t="s">
        <v>123</v>
      </c>
      <c r="K165" s="19" t="s">
        <v>399</v>
      </c>
      <c r="L165" s="20" t="s">
        <v>1791</v>
      </c>
      <c r="M165" s="20" t="s">
        <v>1792</v>
      </c>
      <c r="N165" s="19" t="s">
        <v>1793</v>
      </c>
      <c r="O165" s="19" t="s">
        <v>1794</v>
      </c>
      <c r="P165" s="19" t="s">
        <v>399</v>
      </c>
      <c r="Q165" s="19">
        <v>9.040091604E9</v>
      </c>
      <c r="R165" s="19" t="s">
        <v>1795</v>
      </c>
      <c r="S165" s="19" t="s">
        <v>118</v>
      </c>
      <c r="T165" s="19" t="s">
        <v>399</v>
      </c>
      <c r="U165" s="19">
        <v>9.040091604E9</v>
      </c>
      <c r="V165" s="19">
        <v>2.0</v>
      </c>
      <c r="W165" s="19" t="s">
        <v>1793</v>
      </c>
      <c r="X165" s="19" t="s">
        <v>145</v>
      </c>
      <c r="Y165" s="19" t="s">
        <v>1796</v>
      </c>
      <c r="Z165" s="19" t="s">
        <v>93</v>
      </c>
      <c r="AA165" s="19" t="s">
        <v>65</v>
      </c>
      <c r="AB165" s="19" t="s">
        <v>65</v>
      </c>
      <c r="AC165" s="19" t="s">
        <v>94</v>
      </c>
      <c r="AD165" s="19" t="s">
        <v>10</v>
      </c>
      <c r="AE165" s="19">
        <v>2.0</v>
      </c>
    </row>
    <row r="166" ht="22.5" customHeight="1">
      <c r="A166" s="18">
        <v>46265.850309560185</v>
      </c>
      <c r="B166" s="19" t="s">
        <v>1797</v>
      </c>
      <c r="C166" s="19" t="s">
        <v>1798</v>
      </c>
      <c r="D166" s="19" t="s">
        <v>1799</v>
      </c>
      <c r="E166" s="19" t="s">
        <v>3</v>
      </c>
      <c r="F166" s="19">
        <v>8.822602193E9</v>
      </c>
      <c r="G166" s="19" t="s">
        <v>1800</v>
      </c>
      <c r="H166" s="19" t="s">
        <v>52</v>
      </c>
      <c r="I166" s="19" t="s">
        <v>1801</v>
      </c>
      <c r="J166" s="19" t="s">
        <v>1802</v>
      </c>
      <c r="K166" s="19" t="s">
        <v>1803</v>
      </c>
      <c r="L166" s="20" t="s">
        <v>1804</v>
      </c>
      <c r="M166" s="20" t="s">
        <v>1805</v>
      </c>
      <c r="N166" s="19" t="s">
        <v>1806</v>
      </c>
      <c r="O166" s="19" t="s">
        <v>1807</v>
      </c>
      <c r="P166" s="19" t="s">
        <v>1808</v>
      </c>
      <c r="Q166" s="19">
        <v>9.435712779E9</v>
      </c>
      <c r="R166" s="19" t="s">
        <v>1809</v>
      </c>
      <c r="S166" s="19" t="s">
        <v>467</v>
      </c>
      <c r="T166" s="19" t="s">
        <v>1808</v>
      </c>
      <c r="U166" s="19">
        <v>9.387817114E9</v>
      </c>
      <c r="V166" s="19">
        <v>2.0</v>
      </c>
      <c r="W166" s="19" t="s">
        <v>1810</v>
      </c>
      <c r="X166" s="19" t="s">
        <v>91</v>
      </c>
      <c r="Y166" s="19" t="s">
        <v>1809</v>
      </c>
      <c r="Z166" s="19" t="s">
        <v>93</v>
      </c>
      <c r="AA166" s="19" t="s">
        <v>65</v>
      </c>
      <c r="AB166" s="19" t="s">
        <v>65</v>
      </c>
      <c r="AC166" s="19" t="s">
        <v>65</v>
      </c>
      <c r="AD166" s="19" t="s">
        <v>10</v>
      </c>
      <c r="AE166" s="19">
        <v>3.0</v>
      </c>
    </row>
    <row r="167" ht="22.5" customHeight="1">
      <c r="A167" s="18">
        <v>46265.85586752315</v>
      </c>
      <c r="B167" s="19" t="s">
        <v>1811</v>
      </c>
      <c r="C167" s="19" t="s">
        <v>1812</v>
      </c>
      <c r="D167" s="19">
        <v>2.0200153E7</v>
      </c>
      <c r="E167" s="19" t="s">
        <v>3</v>
      </c>
      <c r="F167" s="19">
        <v>8.590209664E9</v>
      </c>
      <c r="G167" s="19" t="s">
        <v>1813</v>
      </c>
      <c r="H167" s="19" t="s">
        <v>52</v>
      </c>
      <c r="I167" s="19" t="s">
        <v>1814</v>
      </c>
      <c r="K167" s="19" t="s">
        <v>1815</v>
      </c>
      <c r="L167" s="20" t="s">
        <v>1816</v>
      </c>
      <c r="M167" s="20" t="s">
        <v>1817</v>
      </c>
      <c r="N167" s="19" t="s">
        <v>1818</v>
      </c>
      <c r="O167" s="19" t="s">
        <v>1819</v>
      </c>
      <c r="P167" s="19" t="s">
        <v>1820</v>
      </c>
      <c r="Q167" s="19">
        <v>9.8466436E9</v>
      </c>
      <c r="R167" s="19" t="s">
        <v>1821</v>
      </c>
      <c r="S167" s="19" t="s">
        <v>1822</v>
      </c>
      <c r="T167" s="19" t="s">
        <v>1823</v>
      </c>
      <c r="U167" s="19">
        <v>9.846930343E9</v>
      </c>
      <c r="V167" s="19">
        <v>2.0</v>
      </c>
      <c r="W167" s="19" t="s">
        <v>1824</v>
      </c>
      <c r="X167" s="19" t="s">
        <v>234</v>
      </c>
      <c r="Y167" s="19" t="s">
        <v>1825</v>
      </c>
      <c r="Z167" s="19" t="s">
        <v>133</v>
      </c>
      <c r="AA167" s="19" t="s">
        <v>65</v>
      </c>
      <c r="AB167" s="19" t="s">
        <v>65</v>
      </c>
      <c r="AC167" s="19" t="s">
        <v>65</v>
      </c>
    </row>
    <row r="168" ht="22.5" customHeight="1">
      <c r="A168" s="18">
        <v>46265.857636064815</v>
      </c>
      <c r="B168" s="19" t="s">
        <v>1826</v>
      </c>
      <c r="C168" s="19" t="s">
        <v>1827</v>
      </c>
      <c r="D168" s="19">
        <v>2.0210257E7</v>
      </c>
      <c r="E168" s="19" t="s">
        <v>5</v>
      </c>
      <c r="F168" s="19">
        <v>9.351992812E9</v>
      </c>
      <c r="G168" s="19" t="s">
        <v>1826</v>
      </c>
      <c r="H168" s="19" t="s">
        <v>447</v>
      </c>
    </row>
    <row r="169" ht="22.5" customHeight="1">
      <c r="A169" s="18">
        <v>46265.86237112268</v>
      </c>
      <c r="B169" s="19" t="s">
        <v>1828</v>
      </c>
      <c r="C169" s="19" t="s">
        <v>1829</v>
      </c>
      <c r="D169" s="19">
        <v>2.0210261E7</v>
      </c>
      <c r="E169" s="19" t="s">
        <v>5</v>
      </c>
      <c r="F169" s="19">
        <v>9.660339459E9</v>
      </c>
      <c r="G169" s="19" t="s">
        <v>1830</v>
      </c>
      <c r="H169" s="19" t="s">
        <v>52</v>
      </c>
      <c r="I169" s="19" t="s">
        <v>1831</v>
      </c>
      <c r="J169" s="19" t="s">
        <v>1832</v>
      </c>
      <c r="K169" s="19" t="s">
        <v>841</v>
      </c>
      <c r="L169" s="20" t="s">
        <v>1833</v>
      </c>
      <c r="M169" s="20" t="s">
        <v>1834</v>
      </c>
      <c r="N169" s="19" t="s">
        <v>1835</v>
      </c>
      <c r="O169" s="19" t="s">
        <v>417</v>
      </c>
      <c r="P169" s="19" t="s">
        <v>841</v>
      </c>
      <c r="Q169" s="19">
        <v>7.488140191E9</v>
      </c>
      <c r="R169" s="19" t="s">
        <v>1836</v>
      </c>
      <c r="S169" s="19" t="s">
        <v>525</v>
      </c>
      <c r="T169" s="19" t="s">
        <v>1837</v>
      </c>
      <c r="U169" s="19">
        <v>7.439357998E9</v>
      </c>
      <c r="V169" s="19">
        <v>0.0</v>
      </c>
      <c r="AA169" s="19" t="s">
        <v>65</v>
      </c>
      <c r="AD169" s="19" t="s">
        <v>11</v>
      </c>
      <c r="AE169" s="19">
        <v>1.0</v>
      </c>
    </row>
    <row r="170" ht="22.5" customHeight="1">
      <c r="A170" s="18">
        <v>46265.887947372685</v>
      </c>
      <c r="B170" s="19" t="s">
        <v>1838</v>
      </c>
      <c r="C170" s="19" t="s">
        <v>1839</v>
      </c>
      <c r="D170" s="19" t="s">
        <v>1840</v>
      </c>
      <c r="E170" s="19" t="s">
        <v>3</v>
      </c>
      <c r="F170" s="19">
        <v>9.073368142E9</v>
      </c>
      <c r="G170" s="19" t="s">
        <v>1838</v>
      </c>
      <c r="H170" s="19" t="s">
        <v>52</v>
      </c>
      <c r="K170" s="19" t="s">
        <v>1841</v>
      </c>
      <c r="L170" s="20" t="s">
        <v>1842</v>
      </c>
      <c r="M170" s="20" t="s">
        <v>1843</v>
      </c>
      <c r="N170" s="19" t="s">
        <v>1844</v>
      </c>
      <c r="O170" s="19" t="s">
        <v>1845</v>
      </c>
      <c r="P170" s="19" t="s">
        <v>1846</v>
      </c>
      <c r="Q170" s="19">
        <v>9.433873092E9</v>
      </c>
      <c r="R170" s="19" t="s">
        <v>1847</v>
      </c>
      <c r="S170" s="19" t="s">
        <v>1848</v>
      </c>
      <c r="T170" s="19" t="s">
        <v>1849</v>
      </c>
      <c r="U170" s="19">
        <v>9.163445748E9</v>
      </c>
      <c r="V170" s="19">
        <v>2.0</v>
      </c>
      <c r="W170" s="19" t="s">
        <v>1850</v>
      </c>
      <c r="X170" s="19" t="s">
        <v>91</v>
      </c>
      <c r="Y170" s="19" t="s">
        <v>1847</v>
      </c>
      <c r="Z170" s="19" t="s">
        <v>93</v>
      </c>
      <c r="AA170" s="19" t="s">
        <v>65</v>
      </c>
      <c r="AB170" s="19" t="s">
        <v>65</v>
      </c>
      <c r="AC170" s="19" t="s">
        <v>65</v>
      </c>
      <c r="AD170" s="19" t="s">
        <v>66</v>
      </c>
      <c r="AE170" s="19">
        <v>0.0</v>
      </c>
    </row>
    <row r="171" ht="22.5" customHeight="1">
      <c r="A171" s="18">
        <v>46265.909878715276</v>
      </c>
      <c r="B171" s="19" t="s">
        <v>1851</v>
      </c>
      <c r="C171" s="19" t="s">
        <v>1852</v>
      </c>
      <c r="D171" s="19">
        <v>2.024041E7</v>
      </c>
      <c r="E171" s="19" t="s">
        <v>7</v>
      </c>
      <c r="F171" s="19">
        <v>6.291421596E9</v>
      </c>
      <c r="G171" s="19" t="s">
        <v>1853</v>
      </c>
      <c r="H171" s="19" t="s">
        <v>52</v>
      </c>
      <c r="I171" s="19" t="s">
        <v>1854</v>
      </c>
      <c r="J171" s="19" t="s">
        <v>1855</v>
      </c>
      <c r="K171" s="19" t="s">
        <v>1856</v>
      </c>
      <c r="L171" s="20" t="s">
        <v>1857</v>
      </c>
      <c r="M171" s="20" t="s">
        <v>1858</v>
      </c>
      <c r="N171" s="19" t="s">
        <v>1859</v>
      </c>
      <c r="O171" s="19" t="s">
        <v>128</v>
      </c>
      <c r="P171" s="19" t="s">
        <v>1856</v>
      </c>
      <c r="Q171" s="19">
        <v>7.654286296E9</v>
      </c>
      <c r="R171" s="19" t="s">
        <v>1860</v>
      </c>
      <c r="S171" s="19" t="s">
        <v>293</v>
      </c>
      <c r="T171" s="19" t="s">
        <v>1856</v>
      </c>
      <c r="U171" s="19">
        <v>6.289643354E9</v>
      </c>
      <c r="V171" s="19">
        <v>2.0</v>
      </c>
      <c r="W171" s="19" t="s">
        <v>1859</v>
      </c>
      <c r="X171" s="19" t="s">
        <v>91</v>
      </c>
      <c r="Y171" s="19" t="s">
        <v>1860</v>
      </c>
      <c r="Z171" s="19" t="s">
        <v>133</v>
      </c>
      <c r="AA171" s="19" t="s">
        <v>94</v>
      </c>
      <c r="AB171" s="19" t="s">
        <v>65</v>
      </c>
      <c r="AC171" s="19" t="s">
        <v>94</v>
      </c>
      <c r="AD171" s="19" t="s">
        <v>10</v>
      </c>
      <c r="AE171" s="19">
        <v>3.0</v>
      </c>
    </row>
    <row r="172" ht="22.5" customHeight="1">
      <c r="A172" s="18">
        <v>46265.912566122686</v>
      </c>
      <c r="B172" s="19" t="s">
        <v>1861</v>
      </c>
      <c r="C172" s="19" t="s">
        <v>1862</v>
      </c>
      <c r="D172" s="19">
        <v>2.0200155E7</v>
      </c>
      <c r="E172" s="19" t="s">
        <v>3</v>
      </c>
      <c r="F172" s="19">
        <v>8.102771334E9</v>
      </c>
      <c r="G172" s="19" t="s">
        <v>1863</v>
      </c>
      <c r="H172" s="19" t="s">
        <v>52</v>
      </c>
      <c r="K172" s="19" t="s">
        <v>1864</v>
      </c>
      <c r="L172" s="20" t="s">
        <v>1865</v>
      </c>
      <c r="M172" s="20" t="s">
        <v>1866</v>
      </c>
      <c r="N172" s="19" t="s">
        <v>1867</v>
      </c>
      <c r="O172" s="19" t="s">
        <v>1868</v>
      </c>
      <c r="P172" s="19" t="s">
        <v>1864</v>
      </c>
      <c r="Q172" s="19">
        <v>7.004307149E9</v>
      </c>
      <c r="R172" s="19" t="s">
        <v>1869</v>
      </c>
      <c r="S172" s="19" t="s">
        <v>106</v>
      </c>
      <c r="T172" s="19" t="s">
        <v>1864</v>
      </c>
      <c r="U172" s="19">
        <v>9.525919009E9</v>
      </c>
      <c r="V172" s="19">
        <v>1.0</v>
      </c>
      <c r="W172" s="19" t="s">
        <v>1869</v>
      </c>
      <c r="X172" s="19" t="s">
        <v>93</v>
      </c>
      <c r="AA172" s="19" t="s">
        <v>65</v>
      </c>
      <c r="AB172" s="19" t="s">
        <v>94</v>
      </c>
      <c r="AD172" s="19" t="s">
        <v>66</v>
      </c>
    </row>
    <row r="173" ht="22.5" customHeight="1">
      <c r="A173" s="18">
        <v>46265.92348233797</v>
      </c>
      <c r="B173" s="19" t="s">
        <v>1853</v>
      </c>
      <c r="C173" s="19" t="s">
        <v>1870</v>
      </c>
      <c r="D173" s="19">
        <v>2.024041E7</v>
      </c>
      <c r="E173" s="19" t="s">
        <v>7</v>
      </c>
      <c r="F173" s="19">
        <v>6.291421596E9</v>
      </c>
      <c r="G173" s="19" t="s">
        <v>1853</v>
      </c>
      <c r="H173" s="19" t="s">
        <v>52</v>
      </c>
      <c r="I173" s="19" t="s">
        <v>1854</v>
      </c>
      <c r="J173" s="19" t="s">
        <v>1871</v>
      </c>
      <c r="K173" s="19" t="s">
        <v>1856</v>
      </c>
      <c r="L173" s="20" t="s">
        <v>1872</v>
      </c>
      <c r="M173" s="20" t="s">
        <v>1873</v>
      </c>
      <c r="N173" s="19" t="s">
        <v>1859</v>
      </c>
      <c r="O173" s="19" t="s">
        <v>128</v>
      </c>
      <c r="P173" s="19" t="s">
        <v>1856</v>
      </c>
      <c r="Q173" s="19">
        <v>7.654286296E9</v>
      </c>
      <c r="R173" s="19" t="s">
        <v>1860</v>
      </c>
      <c r="S173" s="19" t="s">
        <v>293</v>
      </c>
      <c r="T173" s="19" t="s">
        <v>1856</v>
      </c>
      <c r="U173" s="19">
        <v>6.289643354E9</v>
      </c>
      <c r="V173" s="19">
        <v>2.0</v>
      </c>
      <c r="W173" s="19" t="s">
        <v>1859</v>
      </c>
      <c r="X173" s="19" t="s">
        <v>145</v>
      </c>
      <c r="Y173" s="19" t="s">
        <v>1860</v>
      </c>
      <c r="Z173" s="19" t="s">
        <v>133</v>
      </c>
      <c r="AA173" s="19" t="s">
        <v>94</v>
      </c>
      <c r="AB173" s="19" t="s">
        <v>65</v>
      </c>
      <c r="AC173" s="19" t="s">
        <v>94</v>
      </c>
      <c r="AD173" s="19" t="s">
        <v>10</v>
      </c>
      <c r="AE173" s="19">
        <v>3.0</v>
      </c>
    </row>
    <row r="174" ht="22.5" customHeight="1">
      <c r="A174" s="18">
        <v>46265.92494744213</v>
      </c>
      <c r="B174" s="19" t="s">
        <v>1874</v>
      </c>
      <c r="C174" s="19" t="s">
        <v>1875</v>
      </c>
      <c r="D174" s="19">
        <v>2.0200191E7</v>
      </c>
      <c r="E174" s="19" t="s">
        <v>3</v>
      </c>
      <c r="F174" s="19">
        <v>9.945925702E9</v>
      </c>
      <c r="G174" s="19" t="s">
        <v>1876</v>
      </c>
      <c r="H174" s="19" t="s">
        <v>52</v>
      </c>
      <c r="I174" s="19" t="s">
        <v>1877</v>
      </c>
      <c r="J174" s="19" t="s">
        <v>1878</v>
      </c>
      <c r="K174" s="19" t="s">
        <v>1879</v>
      </c>
      <c r="L174" s="20" t="s">
        <v>1880</v>
      </c>
      <c r="M174" s="20" t="s">
        <v>1881</v>
      </c>
      <c r="N174" s="19" t="s">
        <v>1882</v>
      </c>
      <c r="O174" s="19" t="s">
        <v>1883</v>
      </c>
      <c r="P174" s="19" t="s">
        <v>1884</v>
      </c>
      <c r="Q174" s="19">
        <v>9.53571546E9</v>
      </c>
      <c r="R174" s="19" t="s">
        <v>1885</v>
      </c>
      <c r="S174" s="19" t="s">
        <v>1886</v>
      </c>
      <c r="T174" s="19" t="s">
        <v>1884</v>
      </c>
      <c r="U174" s="19">
        <v>9.108893316E9</v>
      </c>
      <c r="V174" s="19">
        <v>2.0</v>
      </c>
      <c r="W174" s="19" t="s">
        <v>1887</v>
      </c>
      <c r="X174" s="19" t="s">
        <v>1888</v>
      </c>
      <c r="Y174" s="19" t="s">
        <v>1889</v>
      </c>
      <c r="Z174" s="19" t="s">
        <v>1890</v>
      </c>
      <c r="AA174" s="19" t="s">
        <v>65</v>
      </c>
      <c r="AB174" s="19" t="s">
        <v>94</v>
      </c>
      <c r="AC174" s="19" t="s">
        <v>65</v>
      </c>
      <c r="AD174" s="19" t="s">
        <v>11</v>
      </c>
      <c r="AE174" s="19">
        <v>3.0</v>
      </c>
    </row>
    <row r="175" ht="22.5" customHeight="1">
      <c r="A175" s="18">
        <v>46265.92654341435</v>
      </c>
      <c r="B175" s="19" t="s">
        <v>1891</v>
      </c>
      <c r="C175" s="19" t="s">
        <v>1892</v>
      </c>
      <c r="D175" s="19">
        <v>2.0200196E7</v>
      </c>
      <c r="E175" s="19" t="s">
        <v>3</v>
      </c>
      <c r="F175" s="19">
        <v>9.048548253E9</v>
      </c>
      <c r="G175" s="19" t="s">
        <v>1891</v>
      </c>
      <c r="H175" s="19" t="s">
        <v>52</v>
      </c>
      <c r="I175" s="19" t="s">
        <v>1893</v>
      </c>
      <c r="J175" s="19" t="s">
        <v>1894</v>
      </c>
      <c r="K175" s="19" t="s">
        <v>1895</v>
      </c>
      <c r="L175" s="20" t="s">
        <v>1896</v>
      </c>
      <c r="M175" s="20" t="s">
        <v>1897</v>
      </c>
      <c r="N175" s="19" t="s">
        <v>1898</v>
      </c>
      <c r="O175" s="19" t="s">
        <v>60</v>
      </c>
      <c r="P175" s="19" t="s">
        <v>1895</v>
      </c>
      <c r="Q175" s="19">
        <v>9.495174049E9</v>
      </c>
      <c r="R175" s="19" t="s">
        <v>1899</v>
      </c>
      <c r="S175" s="19" t="s">
        <v>106</v>
      </c>
      <c r="T175" s="19" t="s">
        <v>1900</v>
      </c>
      <c r="U175" s="19">
        <v>9.048497082E9</v>
      </c>
      <c r="V175" s="19">
        <v>2.0</v>
      </c>
      <c r="W175" s="19" t="s">
        <v>1898</v>
      </c>
      <c r="X175" s="19" t="s">
        <v>91</v>
      </c>
      <c r="Y175" s="19" t="s">
        <v>1901</v>
      </c>
      <c r="Z175" s="19" t="s">
        <v>93</v>
      </c>
      <c r="AA175" s="19" t="s">
        <v>65</v>
      </c>
      <c r="AB175" s="19" t="s">
        <v>65</v>
      </c>
      <c r="AC175" s="19" t="s">
        <v>65</v>
      </c>
    </row>
    <row r="176" ht="22.5" customHeight="1">
      <c r="A176" s="18">
        <v>46265.93915467593</v>
      </c>
      <c r="B176" s="19" t="s">
        <v>1902</v>
      </c>
      <c r="C176" s="19" t="s">
        <v>1903</v>
      </c>
      <c r="D176" s="19">
        <v>2.02001104E8</v>
      </c>
      <c r="E176" s="19" t="s">
        <v>3</v>
      </c>
      <c r="F176" s="19">
        <v>9.028844721E9</v>
      </c>
      <c r="G176" s="19" t="s">
        <v>1904</v>
      </c>
      <c r="H176" s="19" t="s">
        <v>52</v>
      </c>
      <c r="I176" s="19" t="s">
        <v>1905</v>
      </c>
      <c r="K176" s="19" t="s">
        <v>1906</v>
      </c>
      <c r="L176" s="20" t="s">
        <v>1907</v>
      </c>
      <c r="M176" s="20" t="s">
        <v>1908</v>
      </c>
      <c r="N176" s="19" t="s">
        <v>1909</v>
      </c>
      <c r="O176" s="19" t="s">
        <v>1910</v>
      </c>
      <c r="P176" s="19" t="s">
        <v>1906</v>
      </c>
      <c r="Q176" s="19">
        <v>9.422164721E9</v>
      </c>
      <c r="R176" s="19" t="s">
        <v>1911</v>
      </c>
      <c r="S176" s="19" t="s">
        <v>106</v>
      </c>
      <c r="T176" s="19" t="s">
        <v>1906</v>
      </c>
      <c r="U176" s="19">
        <v>9.42258866E9</v>
      </c>
      <c r="V176" s="19">
        <v>2.0</v>
      </c>
      <c r="W176" s="19" t="s">
        <v>1909</v>
      </c>
      <c r="X176" s="19" t="s">
        <v>91</v>
      </c>
      <c r="Y176" s="19" t="s">
        <v>1911</v>
      </c>
      <c r="Z176" s="19" t="s">
        <v>93</v>
      </c>
      <c r="AA176" s="19" t="s">
        <v>94</v>
      </c>
      <c r="AB176" s="19" t="s">
        <v>94</v>
      </c>
      <c r="AC176" s="19" t="s">
        <v>94</v>
      </c>
      <c r="AD176" s="19" t="s">
        <v>66</v>
      </c>
      <c r="AE176" s="19">
        <v>0.0</v>
      </c>
    </row>
    <row r="177" ht="22.5" customHeight="1">
      <c r="A177" s="18">
        <v>46265.95055366898</v>
      </c>
      <c r="B177" s="19" t="s">
        <v>1912</v>
      </c>
      <c r="C177" s="19" t="s">
        <v>1913</v>
      </c>
      <c r="D177" s="19">
        <v>81.0</v>
      </c>
      <c r="E177" s="19" t="s">
        <v>3</v>
      </c>
      <c r="F177" s="19">
        <v>9.334519662E9</v>
      </c>
      <c r="G177" s="19" t="s">
        <v>1914</v>
      </c>
      <c r="H177" s="19" t="s">
        <v>52</v>
      </c>
      <c r="I177" s="19" t="s">
        <v>1915</v>
      </c>
      <c r="K177" s="19" t="s">
        <v>84</v>
      </c>
      <c r="L177" s="20" t="s">
        <v>1916</v>
      </c>
      <c r="M177" s="20" t="s">
        <v>1917</v>
      </c>
      <c r="N177" s="19" t="s">
        <v>1918</v>
      </c>
      <c r="O177" s="19" t="s">
        <v>88</v>
      </c>
      <c r="P177" s="19" t="s">
        <v>84</v>
      </c>
      <c r="Q177" s="19">
        <v>7.992436561E9</v>
      </c>
      <c r="R177" s="19" t="s">
        <v>1919</v>
      </c>
      <c r="S177" s="19" t="s">
        <v>106</v>
      </c>
      <c r="T177" s="19" t="s">
        <v>84</v>
      </c>
      <c r="U177" s="19">
        <v>7.563980622E9</v>
      </c>
      <c r="V177" s="19">
        <v>2.0</v>
      </c>
      <c r="W177" s="19" t="s">
        <v>1918</v>
      </c>
      <c r="X177" s="19" t="s">
        <v>91</v>
      </c>
      <c r="Y177" s="19" t="s">
        <v>1920</v>
      </c>
      <c r="Z177" s="19" t="s">
        <v>93</v>
      </c>
      <c r="AA177" s="19" t="s">
        <v>65</v>
      </c>
      <c r="AB177" s="19" t="s">
        <v>65</v>
      </c>
      <c r="AC177" s="19" t="s">
        <v>65</v>
      </c>
    </row>
    <row r="178" ht="22.5" customHeight="1">
      <c r="A178" s="18">
        <v>46265.96573012731</v>
      </c>
      <c r="B178" s="19" t="s">
        <v>1921</v>
      </c>
      <c r="C178" s="19" t="s">
        <v>1922</v>
      </c>
      <c r="D178" s="19">
        <v>2.0190115E7</v>
      </c>
      <c r="E178" s="19" t="s">
        <v>2</v>
      </c>
      <c r="F178" s="19">
        <v>9.645919222E9</v>
      </c>
      <c r="G178" s="19" t="s">
        <v>1923</v>
      </c>
      <c r="H178" s="19" t="s">
        <v>52</v>
      </c>
      <c r="I178" s="19" t="s">
        <v>1924</v>
      </c>
      <c r="J178" s="19" t="s">
        <v>1925</v>
      </c>
      <c r="K178" s="19" t="s">
        <v>1454</v>
      </c>
      <c r="L178" s="20" t="s">
        <v>1926</v>
      </c>
      <c r="M178" s="20" t="s">
        <v>1927</v>
      </c>
      <c r="N178" s="19" t="s">
        <v>1928</v>
      </c>
      <c r="O178" s="19" t="s">
        <v>938</v>
      </c>
      <c r="P178" s="19" t="s">
        <v>1454</v>
      </c>
      <c r="Q178" s="19">
        <v>9.447338822E9</v>
      </c>
      <c r="R178" s="19" t="s">
        <v>1929</v>
      </c>
      <c r="S178" s="19" t="s">
        <v>1930</v>
      </c>
      <c r="T178" s="19" t="s">
        <v>1454</v>
      </c>
      <c r="U178" s="19">
        <v>8.547311424E9</v>
      </c>
      <c r="V178" s="19">
        <v>2.0</v>
      </c>
      <c r="W178" s="19" t="s">
        <v>1931</v>
      </c>
      <c r="X178" s="19" t="s">
        <v>145</v>
      </c>
      <c r="Y178" s="19" t="s">
        <v>1929</v>
      </c>
      <c r="Z178" s="19" t="s">
        <v>93</v>
      </c>
      <c r="AA178" s="19" t="s">
        <v>65</v>
      </c>
      <c r="AB178" s="19" t="s">
        <v>65</v>
      </c>
      <c r="AC178" s="19" t="s">
        <v>65</v>
      </c>
      <c r="AD178" s="19" t="s">
        <v>66</v>
      </c>
      <c r="AE178" s="19">
        <v>0.0</v>
      </c>
    </row>
    <row r="179" ht="22.5" customHeight="1">
      <c r="A179" s="18">
        <v>46265.96833175926</v>
      </c>
      <c r="B179" s="19" t="s">
        <v>1932</v>
      </c>
      <c r="C179" s="19" t="s">
        <v>1933</v>
      </c>
      <c r="D179" s="19">
        <v>2.020019E7</v>
      </c>
      <c r="E179" s="19" t="s">
        <v>3</v>
      </c>
      <c r="F179" s="19">
        <v>9.381481345E9</v>
      </c>
      <c r="G179" s="19" t="s">
        <v>1932</v>
      </c>
      <c r="H179" s="19" t="s">
        <v>52</v>
      </c>
      <c r="I179" s="19" t="s">
        <v>1934</v>
      </c>
      <c r="K179" s="19" t="s">
        <v>1935</v>
      </c>
      <c r="L179" s="20" t="s">
        <v>1936</v>
      </c>
      <c r="M179" s="20" t="s">
        <v>1937</v>
      </c>
      <c r="N179" s="19" t="s">
        <v>1938</v>
      </c>
      <c r="O179" s="19" t="s">
        <v>1939</v>
      </c>
      <c r="P179" s="19" t="s">
        <v>1935</v>
      </c>
      <c r="Q179" s="19">
        <v>9.701578607E9</v>
      </c>
      <c r="R179" s="19" t="s">
        <v>1940</v>
      </c>
      <c r="S179" s="19" t="s">
        <v>118</v>
      </c>
      <c r="T179" s="19" t="s">
        <v>1935</v>
      </c>
      <c r="U179" s="19">
        <v>8.520932901E9</v>
      </c>
      <c r="V179" s="19">
        <v>2.0</v>
      </c>
      <c r="W179" s="19" t="s">
        <v>1941</v>
      </c>
      <c r="X179" s="19" t="s">
        <v>91</v>
      </c>
      <c r="Y179" s="19" t="s">
        <v>1942</v>
      </c>
      <c r="Z179" s="19" t="s">
        <v>344</v>
      </c>
      <c r="AA179" s="19" t="s">
        <v>65</v>
      </c>
      <c r="AB179" s="19" t="s">
        <v>65</v>
      </c>
      <c r="AC179" s="19" t="s">
        <v>65</v>
      </c>
      <c r="AD179" s="19" t="s">
        <v>66</v>
      </c>
    </row>
    <row r="180" ht="22.5" customHeight="1">
      <c r="A180" s="18">
        <v>46265.97097018518</v>
      </c>
      <c r="B180" s="19" t="s">
        <v>1943</v>
      </c>
      <c r="C180" s="19" t="s">
        <v>1944</v>
      </c>
      <c r="D180" s="19">
        <v>2.02001111E8</v>
      </c>
      <c r="E180" s="19" t="s">
        <v>3</v>
      </c>
      <c r="F180" s="19">
        <v>6.367552915E9</v>
      </c>
      <c r="G180" s="19" t="s">
        <v>1943</v>
      </c>
      <c r="H180" s="19" t="s">
        <v>52</v>
      </c>
      <c r="I180" s="19" t="s">
        <v>1945</v>
      </c>
      <c r="J180" s="19" t="s">
        <v>1946</v>
      </c>
      <c r="K180" s="19" t="s">
        <v>1947</v>
      </c>
      <c r="L180" s="20" t="s">
        <v>1948</v>
      </c>
      <c r="M180" s="20" t="s">
        <v>1949</v>
      </c>
      <c r="N180" s="19" t="s">
        <v>1950</v>
      </c>
      <c r="O180" s="19" t="s">
        <v>611</v>
      </c>
      <c r="P180" s="19" t="s">
        <v>1947</v>
      </c>
      <c r="Q180" s="19">
        <v>9.829809231E9</v>
      </c>
      <c r="R180" s="19" t="s">
        <v>1951</v>
      </c>
      <c r="S180" s="19" t="s">
        <v>1952</v>
      </c>
      <c r="T180" s="19" t="s">
        <v>1947</v>
      </c>
      <c r="U180" s="19">
        <v>7.625789646E9</v>
      </c>
      <c r="V180" s="19">
        <v>2.0</v>
      </c>
      <c r="W180" s="19" t="s">
        <v>1953</v>
      </c>
      <c r="X180" s="19" t="s">
        <v>91</v>
      </c>
      <c r="Y180" s="19" t="s">
        <v>1951</v>
      </c>
      <c r="Z180" s="19" t="s">
        <v>133</v>
      </c>
      <c r="AA180" s="19" t="s">
        <v>94</v>
      </c>
      <c r="AB180" s="19" t="s">
        <v>94</v>
      </c>
      <c r="AC180" s="19" t="s">
        <v>94</v>
      </c>
      <c r="AD180" s="19" t="s">
        <v>66</v>
      </c>
      <c r="AE180" s="19">
        <v>0.0</v>
      </c>
    </row>
    <row r="181" ht="22.5" customHeight="1">
      <c r="A181" s="18">
        <v>46265.98220789352</v>
      </c>
      <c r="B181" s="19" t="s">
        <v>1954</v>
      </c>
      <c r="C181" s="19" t="s">
        <v>1955</v>
      </c>
      <c r="D181" s="19">
        <v>2.0200193E7</v>
      </c>
      <c r="E181" s="19" t="s">
        <v>3</v>
      </c>
      <c r="F181" s="19">
        <v>7.356912559E9</v>
      </c>
      <c r="G181" s="19" t="s">
        <v>1956</v>
      </c>
      <c r="H181" s="19" t="s">
        <v>52</v>
      </c>
      <c r="I181" s="19" t="s">
        <v>1957</v>
      </c>
      <c r="J181" s="19" t="s">
        <v>1958</v>
      </c>
      <c r="K181" s="19" t="s">
        <v>1959</v>
      </c>
      <c r="L181" s="20" t="s">
        <v>1960</v>
      </c>
      <c r="M181" s="20" t="s">
        <v>1961</v>
      </c>
      <c r="N181" s="19" t="s">
        <v>1962</v>
      </c>
      <c r="O181" s="19" t="s">
        <v>1963</v>
      </c>
      <c r="P181" s="19" t="s">
        <v>1959</v>
      </c>
      <c r="Q181" s="19">
        <v>9.88617735E9</v>
      </c>
      <c r="R181" s="19" t="s">
        <v>1964</v>
      </c>
      <c r="S181" s="19" t="s">
        <v>750</v>
      </c>
      <c r="T181" s="19" t="s">
        <v>1959</v>
      </c>
      <c r="U181" s="19">
        <v>9.886101921E9</v>
      </c>
      <c r="V181" s="19">
        <v>2.0</v>
      </c>
      <c r="W181" s="19" t="s">
        <v>1965</v>
      </c>
      <c r="X181" s="19" t="s">
        <v>80</v>
      </c>
      <c r="Y181" s="19" t="s">
        <v>1962</v>
      </c>
      <c r="Z181" s="19" t="s">
        <v>755</v>
      </c>
      <c r="AA181" s="19" t="s">
        <v>65</v>
      </c>
      <c r="AB181" s="19" t="s">
        <v>65</v>
      </c>
      <c r="AC181" s="19" t="s">
        <v>94</v>
      </c>
      <c r="AD181" s="19" t="s">
        <v>11</v>
      </c>
    </row>
    <row r="182" ht="22.5" customHeight="1">
      <c r="A182" s="18">
        <v>46265.98223854166</v>
      </c>
      <c r="B182" s="19" t="s">
        <v>1966</v>
      </c>
      <c r="C182" s="19" t="s">
        <v>1967</v>
      </c>
      <c r="D182" s="19" t="s">
        <v>1968</v>
      </c>
      <c r="E182" s="19" t="s">
        <v>3</v>
      </c>
      <c r="F182" s="19">
        <v>6.372093986E9</v>
      </c>
      <c r="G182" s="19" t="s">
        <v>1966</v>
      </c>
      <c r="H182" s="19" t="s">
        <v>52</v>
      </c>
      <c r="I182" s="19" t="s">
        <v>1969</v>
      </c>
      <c r="J182" s="19" t="s">
        <v>1970</v>
      </c>
      <c r="K182" s="19" t="s">
        <v>1971</v>
      </c>
      <c r="L182" s="20" t="s">
        <v>1972</v>
      </c>
      <c r="M182" s="20" t="s">
        <v>1973</v>
      </c>
      <c r="N182" s="19" t="s">
        <v>1974</v>
      </c>
      <c r="O182" s="19" t="s">
        <v>1975</v>
      </c>
      <c r="P182" s="19" t="s">
        <v>1976</v>
      </c>
      <c r="Q182" s="19">
        <v>9.437927325E9</v>
      </c>
      <c r="R182" s="19" t="s">
        <v>1977</v>
      </c>
      <c r="S182" s="19" t="s">
        <v>106</v>
      </c>
      <c r="T182" s="19" t="s">
        <v>1976</v>
      </c>
      <c r="U182" s="19">
        <v>9.438617625E9</v>
      </c>
      <c r="V182" s="19">
        <v>2.0</v>
      </c>
      <c r="W182" s="19" t="s">
        <v>1974</v>
      </c>
      <c r="X182" s="19" t="s">
        <v>91</v>
      </c>
      <c r="Y182" s="19" t="s">
        <v>1977</v>
      </c>
      <c r="Z182" s="19" t="s">
        <v>93</v>
      </c>
      <c r="AA182" s="19" t="s">
        <v>65</v>
      </c>
      <c r="AB182" s="19" t="s">
        <v>94</v>
      </c>
      <c r="AC182" s="19" t="s">
        <v>94</v>
      </c>
      <c r="AD182" s="19" t="s">
        <v>66</v>
      </c>
      <c r="AE182" s="19">
        <v>0.0</v>
      </c>
    </row>
    <row r="183" ht="22.5" customHeight="1">
      <c r="A183" s="18">
        <v>46265.986441030094</v>
      </c>
      <c r="B183" s="19" t="s">
        <v>1978</v>
      </c>
      <c r="C183" s="19" t="s">
        <v>1979</v>
      </c>
      <c r="D183" s="19">
        <v>94.0</v>
      </c>
      <c r="E183" s="19" t="s">
        <v>3</v>
      </c>
      <c r="F183" s="19">
        <v>8.696426826E9</v>
      </c>
      <c r="G183" s="19" t="s">
        <v>1980</v>
      </c>
      <c r="H183" s="19" t="s">
        <v>52</v>
      </c>
      <c r="I183" s="19" t="s">
        <v>1981</v>
      </c>
      <c r="J183" s="19" t="s">
        <v>1982</v>
      </c>
      <c r="K183" s="19" t="s">
        <v>1983</v>
      </c>
      <c r="L183" s="20" t="s">
        <v>1984</v>
      </c>
      <c r="M183" s="20" t="s">
        <v>1985</v>
      </c>
      <c r="N183" s="19" t="s">
        <v>1986</v>
      </c>
      <c r="O183" s="19" t="s">
        <v>1987</v>
      </c>
      <c r="P183" s="19" t="s">
        <v>1983</v>
      </c>
      <c r="Q183" s="19">
        <v>9.414948421E9</v>
      </c>
      <c r="R183" s="19" t="s">
        <v>1988</v>
      </c>
      <c r="S183" s="19" t="s">
        <v>106</v>
      </c>
      <c r="T183" s="19" t="s">
        <v>1989</v>
      </c>
      <c r="U183" s="19">
        <v>8.005540019E9</v>
      </c>
      <c r="V183" s="19">
        <v>2.0</v>
      </c>
      <c r="W183" s="19" t="s">
        <v>1990</v>
      </c>
      <c r="X183" s="19" t="s">
        <v>145</v>
      </c>
      <c r="Y183" s="19" t="s">
        <v>1991</v>
      </c>
      <c r="Z183" s="19" t="s">
        <v>93</v>
      </c>
      <c r="AA183" s="19" t="s">
        <v>94</v>
      </c>
      <c r="AB183" s="19" t="s">
        <v>94</v>
      </c>
      <c r="AC183" s="19" t="s">
        <v>94</v>
      </c>
      <c r="AD183" s="19" t="s">
        <v>11</v>
      </c>
      <c r="AE183" s="19">
        <v>3.0</v>
      </c>
    </row>
    <row r="184" ht="22.5" customHeight="1">
      <c r="A184" s="18">
        <v>46265.99744195602</v>
      </c>
      <c r="B184" s="19" t="s">
        <v>1992</v>
      </c>
      <c r="C184" s="19" t="s">
        <v>1993</v>
      </c>
      <c r="D184" s="19" t="s">
        <v>1994</v>
      </c>
      <c r="E184" s="19" t="s">
        <v>3</v>
      </c>
      <c r="F184" s="19">
        <v>8.858150858E9</v>
      </c>
      <c r="G184" s="19" t="s">
        <v>1992</v>
      </c>
      <c r="H184" s="19" t="s">
        <v>52</v>
      </c>
      <c r="I184" s="19" t="s">
        <v>1995</v>
      </c>
      <c r="J184" s="19" t="s">
        <v>1996</v>
      </c>
      <c r="K184" s="19" t="s">
        <v>1997</v>
      </c>
      <c r="L184" s="20" t="s">
        <v>1998</v>
      </c>
      <c r="M184" s="20" t="s">
        <v>1999</v>
      </c>
      <c r="N184" s="19" t="s">
        <v>2000</v>
      </c>
      <c r="O184" s="19" t="s">
        <v>2001</v>
      </c>
      <c r="P184" s="19" t="s">
        <v>1997</v>
      </c>
      <c r="Q184" s="19">
        <v>9.452691066E9</v>
      </c>
      <c r="R184" s="19" t="s">
        <v>2002</v>
      </c>
      <c r="S184" s="19" t="s">
        <v>525</v>
      </c>
      <c r="T184" s="19" t="s">
        <v>1997</v>
      </c>
      <c r="U184" s="19">
        <v>7.880797519E9</v>
      </c>
      <c r="V184" s="19">
        <v>0.0</v>
      </c>
      <c r="AA184" s="19" t="s">
        <v>94</v>
      </c>
      <c r="AD184" s="19" t="s">
        <v>66</v>
      </c>
      <c r="AE184" s="19">
        <v>0.0</v>
      </c>
    </row>
    <row r="185" ht="22.5" customHeight="1">
      <c r="A185" s="18">
        <v>46266.00153799768</v>
      </c>
      <c r="B185" s="19" t="s">
        <v>2003</v>
      </c>
      <c r="C185" s="19" t="s">
        <v>2004</v>
      </c>
      <c r="D185" s="19" t="s">
        <v>2005</v>
      </c>
      <c r="E185" s="19" t="s">
        <v>3</v>
      </c>
      <c r="F185" s="19">
        <v>6.290905708E9</v>
      </c>
      <c r="G185" s="19" t="s">
        <v>2003</v>
      </c>
      <c r="H185" s="19" t="s">
        <v>52</v>
      </c>
      <c r="I185" s="19" t="s">
        <v>2006</v>
      </c>
      <c r="J185" s="19" t="s">
        <v>2007</v>
      </c>
      <c r="K185" s="19" t="s">
        <v>71</v>
      </c>
      <c r="L185" s="20" t="s">
        <v>2008</v>
      </c>
      <c r="M185" s="20" t="s">
        <v>2009</v>
      </c>
      <c r="N185" s="19" t="s">
        <v>2010</v>
      </c>
      <c r="O185" s="19" t="s">
        <v>417</v>
      </c>
      <c r="P185" s="19" t="s">
        <v>71</v>
      </c>
      <c r="Q185" s="19">
        <v>9.051969119E9</v>
      </c>
      <c r="R185" s="19" t="s">
        <v>2011</v>
      </c>
      <c r="S185" s="19" t="s">
        <v>391</v>
      </c>
      <c r="T185" s="19" t="s">
        <v>71</v>
      </c>
      <c r="U185" s="19">
        <v>7.003264069E9</v>
      </c>
      <c r="V185" s="19">
        <v>2.0</v>
      </c>
      <c r="W185" s="19" t="s">
        <v>2010</v>
      </c>
      <c r="X185" s="19" t="s">
        <v>91</v>
      </c>
      <c r="Y185" s="19" t="s">
        <v>2011</v>
      </c>
      <c r="Z185" s="19" t="s">
        <v>93</v>
      </c>
      <c r="AA185" s="19" t="s">
        <v>65</v>
      </c>
      <c r="AB185" s="19" t="s">
        <v>65</v>
      </c>
      <c r="AC185" s="19" t="s">
        <v>65</v>
      </c>
      <c r="AD185" s="19" t="s">
        <v>66</v>
      </c>
    </row>
    <row r="186" ht="22.5" customHeight="1">
      <c r="A186" s="18">
        <v>46266.46422628472</v>
      </c>
      <c r="B186" s="19" t="s">
        <v>2012</v>
      </c>
      <c r="C186" s="19" t="s">
        <v>2013</v>
      </c>
      <c r="D186" s="19" t="s">
        <v>2014</v>
      </c>
      <c r="E186" s="19" t="s">
        <v>3</v>
      </c>
      <c r="F186" s="19">
        <v>8.709565947E9</v>
      </c>
      <c r="G186" s="19" t="s">
        <v>2012</v>
      </c>
      <c r="H186" s="19" t="s">
        <v>52</v>
      </c>
      <c r="I186" s="19" t="s">
        <v>2015</v>
      </c>
      <c r="J186" s="19" t="s">
        <v>2016</v>
      </c>
      <c r="K186" s="19" t="s">
        <v>2017</v>
      </c>
      <c r="L186" s="20" t="s">
        <v>2018</v>
      </c>
      <c r="M186" s="20" t="s">
        <v>2019</v>
      </c>
      <c r="N186" s="19" t="s">
        <v>2020</v>
      </c>
      <c r="O186" s="19" t="s">
        <v>88</v>
      </c>
      <c r="P186" s="19" t="s">
        <v>2017</v>
      </c>
      <c r="Q186" s="19">
        <v>8.084542094E9</v>
      </c>
      <c r="R186" s="19" t="s">
        <v>2021</v>
      </c>
      <c r="S186" s="19" t="s">
        <v>130</v>
      </c>
      <c r="T186" s="19" t="s">
        <v>2022</v>
      </c>
      <c r="U186" s="19">
        <v>7.739530495E9</v>
      </c>
      <c r="V186" s="19">
        <v>2.0</v>
      </c>
      <c r="W186" s="19" t="s">
        <v>2020</v>
      </c>
      <c r="X186" s="19" t="s">
        <v>145</v>
      </c>
      <c r="Y186" s="19" t="s">
        <v>2023</v>
      </c>
      <c r="Z186" s="19" t="s">
        <v>133</v>
      </c>
      <c r="AA186" s="19" t="s">
        <v>65</v>
      </c>
      <c r="AB186" s="19" t="s">
        <v>65</v>
      </c>
      <c r="AC186" s="19" t="s">
        <v>65</v>
      </c>
      <c r="AD186" s="19" t="s">
        <v>66</v>
      </c>
      <c r="AE186" s="19">
        <v>0.0</v>
      </c>
    </row>
    <row r="187" ht="22.5" customHeight="1">
      <c r="A187" s="18">
        <v>46266.481394965274</v>
      </c>
      <c r="B187" s="19" t="s">
        <v>2024</v>
      </c>
      <c r="C187" s="19" t="s">
        <v>2025</v>
      </c>
      <c r="D187" s="19" t="s">
        <v>2026</v>
      </c>
      <c r="E187" s="19" t="s">
        <v>3</v>
      </c>
      <c r="F187" s="19">
        <v>9.866469739E9</v>
      </c>
      <c r="G187" s="19" t="s">
        <v>2027</v>
      </c>
      <c r="H187" s="19" t="s">
        <v>52</v>
      </c>
      <c r="K187" s="19" t="s">
        <v>2028</v>
      </c>
      <c r="L187" s="20" t="s">
        <v>2029</v>
      </c>
      <c r="M187" s="20" t="s">
        <v>2030</v>
      </c>
      <c r="N187" s="19" t="s">
        <v>2031</v>
      </c>
      <c r="O187" s="19" t="s">
        <v>2032</v>
      </c>
      <c r="P187" s="19" t="s">
        <v>2033</v>
      </c>
      <c r="Q187" s="19">
        <v>9.985360834E9</v>
      </c>
      <c r="R187" s="19" t="s">
        <v>2034</v>
      </c>
      <c r="S187" s="19" t="s">
        <v>326</v>
      </c>
      <c r="T187" s="19" t="s">
        <v>71</v>
      </c>
      <c r="U187" s="19">
        <v>9.392563015E9</v>
      </c>
      <c r="V187" s="19">
        <v>2.0</v>
      </c>
      <c r="W187" s="19" t="s">
        <v>2035</v>
      </c>
      <c r="X187" s="19" t="s">
        <v>91</v>
      </c>
      <c r="Y187" s="19" t="s">
        <v>2036</v>
      </c>
      <c r="Z187" s="19" t="s">
        <v>93</v>
      </c>
      <c r="AA187" s="19" t="s">
        <v>65</v>
      </c>
      <c r="AB187" s="19" t="s">
        <v>65</v>
      </c>
      <c r="AC187" s="19" t="s">
        <v>65</v>
      </c>
      <c r="AD187" s="19" t="s">
        <v>66</v>
      </c>
      <c r="AE187" s="19">
        <v>0.0</v>
      </c>
    </row>
    <row r="188" ht="22.5" customHeight="1">
      <c r="A188" s="18">
        <v>46266.558665578705</v>
      </c>
      <c r="B188" s="19" t="s">
        <v>2037</v>
      </c>
      <c r="C188" s="19" t="s">
        <v>2038</v>
      </c>
      <c r="D188" s="19">
        <v>115.0</v>
      </c>
      <c r="E188" s="19" t="s">
        <v>3</v>
      </c>
      <c r="F188" s="19">
        <v>9.633760376E9</v>
      </c>
      <c r="G188" s="19" t="s">
        <v>2037</v>
      </c>
      <c r="H188" s="19" t="s">
        <v>52</v>
      </c>
      <c r="I188" s="19" t="s">
        <v>2039</v>
      </c>
      <c r="J188" s="19" t="s">
        <v>452</v>
      </c>
      <c r="K188" s="19" t="s">
        <v>773</v>
      </c>
      <c r="L188" s="20" t="s">
        <v>2040</v>
      </c>
      <c r="M188" s="20" t="s">
        <v>2041</v>
      </c>
      <c r="N188" s="19" t="s">
        <v>2042</v>
      </c>
      <c r="O188" s="19" t="s">
        <v>217</v>
      </c>
      <c r="P188" s="19" t="s">
        <v>2043</v>
      </c>
      <c r="Q188" s="19">
        <v>9.567736799E9</v>
      </c>
      <c r="R188" s="19" t="s">
        <v>2044</v>
      </c>
      <c r="S188" s="19" t="s">
        <v>2045</v>
      </c>
      <c r="T188" s="19" t="s">
        <v>2043</v>
      </c>
      <c r="U188" s="19">
        <v>9.746380679E9</v>
      </c>
      <c r="V188" s="19">
        <v>2.0</v>
      </c>
      <c r="W188" s="19" t="s">
        <v>2042</v>
      </c>
      <c r="X188" s="19" t="s">
        <v>91</v>
      </c>
      <c r="Y188" s="19" t="s">
        <v>2046</v>
      </c>
      <c r="Z188" s="19" t="s">
        <v>93</v>
      </c>
      <c r="AA188" s="19" t="s">
        <v>65</v>
      </c>
      <c r="AB188" s="19" t="s">
        <v>65</v>
      </c>
      <c r="AC188" s="19" t="s">
        <v>65</v>
      </c>
      <c r="AD188" s="19" t="s">
        <v>66</v>
      </c>
      <c r="AE188" s="19">
        <v>0.0</v>
      </c>
    </row>
    <row r="189" ht="22.5" customHeight="1">
      <c r="A189" s="18">
        <v>46266.66389927083</v>
      </c>
      <c r="B189" s="19" t="s">
        <v>2047</v>
      </c>
      <c r="C189" s="19" t="s">
        <v>2048</v>
      </c>
      <c r="D189" s="19">
        <v>2.0210224E7</v>
      </c>
      <c r="E189" s="19" t="s">
        <v>5</v>
      </c>
      <c r="F189" s="19">
        <v>9.593972644E9</v>
      </c>
      <c r="G189" s="19" t="s">
        <v>2049</v>
      </c>
      <c r="H189" s="19" t="s">
        <v>52</v>
      </c>
      <c r="I189" s="19" t="s">
        <v>2050</v>
      </c>
      <c r="J189" s="19" t="s">
        <v>2051</v>
      </c>
      <c r="K189" s="19" t="s">
        <v>2052</v>
      </c>
      <c r="L189" s="20" t="s">
        <v>2053</v>
      </c>
      <c r="M189" s="20" t="s">
        <v>2054</v>
      </c>
      <c r="N189" s="19" t="s">
        <v>2055</v>
      </c>
      <c r="O189" s="19" t="s">
        <v>181</v>
      </c>
      <c r="P189" s="19" t="s">
        <v>2056</v>
      </c>
      <c r="Q189" s="19">
        <v>9.735127557E9</v>
      </c>
      <c r="R189" s="19" t="s">
        <v>2057</v>
      </c>
      <c r="S189" s="19" t="s">
        <v>467</v>
      </c>
      <c r="T189" s="19" t="s">
        <v>2056</v>
      </c>
      <c r="U189" s="19">
        <v>9.735127557E9</v>
      </c>
      <c r="V189" s="19">
        <v>2.0</v>
      </c>
      <c r="W189" s="19" t="s">
        <v>2058</v>
      </c>
      <c r="X189" s="19" t="s">
        <v>91</v>
      </c>
      <c r="Y189" s="19" t="s">
        <v>2059</v>
      </c>
      <c r="Z189" s="19" t="s">
        <v>93</v>
      </c>
      <c r="AA189" s="19" t="s">
        <v>65</v>
      </c>
      <c r="AB189" s="19" t="s">
        <v>65</v>
      </c>
      <c r="AC189" s="19" t="s">
        <v>65</v>
      </c>
      <c r="AD189" s="19" t="s">
        <v>66</v>
      </c>
      <c r="AE189" s="19">
        <v>0.0</v>
      </c>
    </row>
    <row r="190" ht="22.5" customHeight="1">
      <c r="A190" s="18">
        <v>46266.86402688657</v>
      </c>
      <c r="B190" s="19" t="s">
        <v>639</v>
      </c>
      <c r="C190" s="19" t="s">
        <v>640</v>
      </c>
      <c r="D190" s="19">
        <v>2.0210244E7</v>
      </c>
      <c r="E190" s="19" t="s">
        <v>5</v>
      </c>
      <c r="F190" s="19">
        <v>9.330715505E9</v>
      </c>
      <c r="G190" s="19" t="s">
        <v>639</v>
      </c>
      <c r="H190" s="19" t="s">
        <v>52</v>
      </c>
      <c r="I190" s="19" t="s">
        <v>2060</v>
      </c>
      <c r="K190" s="19" t="s">
        <v>2061</v>
      </c>
      <c r="L190" s="20" t="s">
        <v>2062</v>
      </c>
      <c r="M190" s="20" t="s">
        <v>2063</v>
      </c>
      <c r="N190" s="19" t="s">
        <v>645</v>
      </c>
      <c r="O190" s="19" t="s">
        <v>2064</v>
      </c>
      <c r="P190" s="19" t="s">
        <v>2061</v>
      </c>
      <c r="Q190" s="19">
        <v>6.284416397E9</v>
      </c>
      <c r="R190" s="19" t="s">
        <v>647</v>
      </c>
      <c r="S190" s="19" t="s">
        <v>293</v>
      </c>
      <c r="T190" s="19" t="s">
        <v>2061</v>
      </c>
      <c r="U190" s="19">
        <v>8.910037049E9</v>
      </c>
      <c r="V190" s="19">
        <v>2.0</v>
      </c>
      <c r="W190" s="19" t="s">
        <v>645</v>
      </c>
      <c r="X190" s="19" t="s">
        <v>145</v>
      </c>
      <c r="Y190" s="19" t="s">
        <v>650</v>
      </c>
      <c r="Z190" s="19" t="s">
        <v>133</v>
      </c>
      <c r="AA190" s="19" t="s">
        <v>65</v>
      </c>
      <c r="AB190" s="19" t="s">
        <v>65</v>
      </c>
      <c r="AC190" s="19" t="s">
        <v>65</v>
      </c>
      <c r="AD190" s="19" t="s">
        <v>10</v>
      </c>
      <c r="AE190" s="19">
        <v>3.0</v>
      </c>
    </row>
    <row r="191" ht="22.5" customHeight="1">
      <c r="A191" s="18">
        <v>46266.935814675926</v>
      </c>
      <c r="B191" s="19" t="s">
        <v>2065</v>
      </c>
      <c r="C191" s="19" t="s">
        <v>2066</v>
      </c>
      <c r="D191" s="19">
        <v>2.0200188E7</v>
      </c>
      <c r="E191" s="19" t="s">
        <v>3</v>
      </c>
      <c r="F191" s="19">
        <v>7.011342677E9</v>
      </c>
      <c r="G191" s="19" t="s">
        <v>2065</v>
      </c>
      <c r="H191" s="19" t="s">
        <v>52</v>
      </c>
      <c r="I191" s="19" t="s">
        <v>2067</v>
      </c>
      <c r="J191" s="19" t="s">
        <v>2068</v>
      </c>
      <c r="K191" s="19" t="s">
        <v>2069</v>
      </c>
      <c r="L191" s="20" t="s">
        <v>2070</v>
      </c>
      <c r="M191" s="20" t="s">
        <v>2071</v>
      </c>
      <c r="N191" s="19" t="s">
        <v>2072</v>
      </c>
      <c r="O191" s="19" t="s">
        <v>2073</v>
      </c>
      <c r="P191" s="19" t="s">
        <v>2074</v>
      </c>
      <c r="Q191" s="19">
        <v>9.717515666E9</v>
      </c>
      <c r="R191" s="19" t="s">
        <v>2075</v>
      </c>
      <c r="S191" s="19" t="s">
        <v>106</v>
      </c>
      <c r="T191" s="19" t="s">
        <v>2074</v>
      </c>
      <c r="U191" s="19">
        <v>9.968443102E9</v>
      </c>
      <c r="V191" s="19">
        <v>2.0</v>
      </c>
      <c r="W191" s="19" t="s">
        <v>2072</v>
      </c>
      <c r="X191" s="19" t="s">
        <v>91</v>
      </c>
      <c r="Y191" s="19" t="s">
        <v>2076</v>
      </c>
      <c r="Z191" s="19" t="s">
        <v>481</v>
      </c>
      <c r="AA191" s="19" t="s">
        <v>65</v>
      </c>
      <c r="AB191" s="19" t="s">
        <v>65</v>
      </c>
      <c r="AC191" s="19" t="s">
        <v>65</v>
      </c>
      <c r="AD191" s="19" t="s">
        <v>66</v>
      </c>
      <c r="AE191" s="19">
        <v>0.0</v>
      </c>
    </row>
    <row r="192" ht="22.5" customHeight="1">
      <c r="A192" s="18">
        <v>46266.996902349536</v>
      </c>
      <c r="B192" s="19" t="s">
        <v>2077</v>
      </c>
      <c r="C192" s="19" t="s">
        <v>2078</v>
      </c>
      <c r="D192" s="19">
        <v>2.02001139E8</v>
      </c>
      <c r="E192" s="19" t="s">
        <v>3</v>
      </c>
      <c r="F192" s="19">
        <v>8.905157891E9</v>
      </c>
      <c r="G192" s="19" t="s">
        <v>2077</v>
      </c>
      <c r="H192" s="19" t="s">
        <v>52</v>
      </c>
      <c r="I192" s="19" t="s">
        <v>2079</v>
      </c>
      <c r="K192" s="19" t="s">
        <v>124</v>
      </c>
      <c r="L192" s="20" t="s">
        <v>2080</v>
      </c>
      <c r="M192" s="20" t="s">
        <v>2081</v>
      </c>
      <c r="N192" s="19" t="s">
        <v>2082</v>
      </c>
      <c r="O192" s="19" t="s">
        <v>2083</v>
      </c>
      <c r="P192" s="19" t="s">
        <v>124</v>
      </c>
      <c r="Q192" s="19">
        <v>8.905157891E9</v>
      </c>
      <c r="R192" s="19" t="s">
        <v>2084</v>
      </c>
      <c r="S192" s="19" t="s">
        <v>2085</v>
      </c>
      <c r="T192" s="19" t="s">
        <v>124</v>
      </c>
      <c r="U192" s="19">
        <v>8.905157891E9</v>
      </c>
      <c r="V192" s="19">
        <v>2.0</v>
      </c>
      <c r="W192" s="19" t="s">
        <v>2082</v>
      </c>
      <c r="X192" s="19" t="s">
        <v>91</v>
      </c>
      <c r="Y192" s="19" t="s">
        <v>2084</v>
      </c>
      <c r="Z192" s="19" t="s">
        <v>93</v>
      </c>
      <c r="AA192" s="19" t="s">
        <v>65</v>
      </c>
      <c r="AB192" s="19" t="s">
        <v>65</v>
      </c>
      <c r="AC192" s="19" t="s">
        <v>65</v>
      </c>
      <c r="AD192" s="19" t="s">
        <v>66</v>
      </c>
      <c r="AE192" s="19">
        <v>0.0</v>
      </c>
    </row>
    <row r="193" ht="22.5" customHeight="1">
      <c r="A193" s="18">
        <v>46267.344651527776</v>
      </c>
      <c r="B193" s="19" t="s">
        <v>2086</v>
      </c>
      <c r="C193" s="19" t="s">
        <v>2087</v>
      </c>
      <c r="D193" s="19">
        <v>106.0</v>
      </c>
      <c r="E193" s="19" t="s">
        <v>3</v>
      </c>
      <c r="F193" s="19">
        <v>8.107102662E9</v>
      </c>
      <c r="G193" s="19" t="s">
        <v>2086</v>
      </c>
      <c r="H193" s="19" t="s">
        <v>447</v>
      </c>
    </row>
    <row r="194" ht="22.5" customHeight="1">
      <c r="A194" s="18">
        <v>46268.72020755787</v>
      </c>
      <c r="B194" s="19" t="s">
        <v>2088</v>
      </c>
      <c r="C194" s="19" t="s">
        <v>2089</v>
      </c>
      <c r="D194" s="19">
        <v>2.0210203E7</v>
      </c>
      <c r="E194" s="19" t="s">
        <v>5</v>
      </c>
      <c r="F194" s="19">
        <v>6.296247051E9</v>
      </c>
      <c r="G194" s="19" t="s">
        <v>2088</v>
      </c>
      <c r="H194" s="19" t="s">
        <v>52</v>
      </c>
      <c r="I194" s="19" t="s">
        <v>2090</v>
      </c>
      <c r="K194" s="19" t="s">
        <v>2091</v>
      </c>
      <c r="L194" s="20" t="s">
        <v>2092</v>
      </c>
      <c r="M194" s="20" t="s">
        <v>2093</v>
      </c>
      <c r="N194" s="19" t="s">
        <v>2094</v>
      </c>
      <c r="O194" s="19" t="s">
        <v>232</v>
      </c>
      <c r="P194" s="19" t="s">
        <v>2095</v>
      </c>
      <c r="Q194" s="19">
        <v>6.29467189E9</v>
      </c>
      <c r="R194" s="19" t="s">
        <v>2096</v>
      </c>
      <c r="S194" s="19" t="s">
        <v>2097</v>
      </c>
      <c r="T194" s="19" t="s">
        <v>2091</v>
      </c>
      <c r="U194" s="19">
        <v>7.363871933E9</v>
      </c>
      <c r="V194" s="19">
        <v>2.0</v>
      </c>
      <c r="W194" s="19" t="s">
        <v>2098</v>
      </c>
      <c r="X194" s="19" t="s">
        <v>91</v>
      </c>
      <c r="Y194" s="19" t="s">
        <v>2099</v>
      </c>
      <c r="Z194" s="19" t="s">
        <v>93</v>
      </c>
      <c r="AA194" s="19" t="s">
        <v>94</v>
      </c>
      <c r="AB194" s="19" t="s">
        <v>65</v>
      </c>
      <c r="AC194" s="19" t="s">
        <v>65</v>
      </c>
      <c r="AD194" s="19" t="s">
        <v>66</v>
      </c>
      <c r="AE194" s="19">
        <v>0.0</v>
      </c>
    </row>
    <row r="195" ht="22.5" customHeight="1">
      <c r="A195" s="18">
        <v>46269.63215892361</v>
      </c>
      <c r="B195" s="19" t="s">
        <v>758</v>
      </c>
      <c r="C195" s="19" t="s">
        <v>759</v>
      </c>
      <c r="D195" s="19">
        <v>2.021025E7</v>
      </c>
      <c r="E195" s="19" t="s">
        <v>5</v>
      </c>
      <c r="F195" s="19">
        <v>8.404882688E9</v>
      </c>
      <c r="G195" s="19" t="s">
        <v>760</v>
      </c>
      <c r="H195" s="19" t="s">
        <v>52</v>
      </c>
      <c r="I195" s="19" t="s">
        <v>761</v>
      </c>
      <c r="J195" s="19" t="s">
        <v>572</v>
      </c>
      <c r="K195" s="19" t="s">
        <v>413</v>
      </c>
      <c r="L195" s="20" t="s">
        <v>2100</v>
      </c>
      <c r="M195" s="20" t="s">
        <v>2101</v>
      </c>
      <c r="N195" s="19" t="s">
        <v>766</v>
      </c>
      <c r="O195" s="19" t="s">
        <v>767</v>
      </c>
      <c r="P195" s="19" t="s">
        <v>2102</v>
      </c>
      <c r="Q195" s="19">
        <v>8.404882688E9</v>
      </c>
      <c r="R195" s="19" t="s">
        <v>2103</v>
      </c>
      <c r="S195" s="19" t="s">
        <v>106</v>
      </c>
      <c r="T195" s="19" t="s">
        <v>2104</v>
      </c>
      <c r="U195" s="19">
        <v>7.488505863E9</v>
      </c>
      <c r="V195" s="19">
        <v>2.0</v>
      </c>
      <c r="W195" s="19" t="s">
        <v>766</v>
      </c>
      <c r="X195" s="19" t="s">
        <v>91</v>
      </c>
      <c r="Y195" s="19" t="s">
        <v>2103</v>
      </c>
      <c r="Z195" s="19" t="s">
        <v>93</v>
      </c>
      <c r="AA195" s="19" t="s">
        <v>65</v>
      </c>
      <c r="AB195" s="19" t="s">
        <v>65</v>
      </c>
      <c r="AC195" s="19" t="s">
        <v>94</v>
      </c>
      <c r="AD195" s="19" t="s">
        <v>66</v>
      </c>
      <c r="AE195" s="19">
        <v>0.0</v>
      </c>
    </row>
    <row r="196" ht="22.5" customHeight="1">
      <c r="A196" s="18">
        <v>46269.758121631945</v>
      </c>
      <c r="B196" s="19" t="s">
        <v>1828</v>
      </c>
      <c r="C196" s="19" t="s">
        <v>1829</v>
      </c>
      <c r="D196" s="19">
        <v>2.0210261E7</v>
      </c>
      <c r="E196" s="19" t="s">
        <v>5</v>
      </c>
      <c r="F196" s="19">
        <v>9.660339459E9</v>
      </c>
      <c r="G196" s="19" t="s">
        <v>1830</v>
      </c>
      <c r="H196" s="19" t="s">
        <v>52</v>
      </c>
      <c r="I196" s="19" t="s">
        <v>2105</v>
      </c>
      <c r="J196" s="19" t="s">
        <v>2106</v>
      </c>
      <c r="K196" s="19" t="s">
        <v>1837</v>
      </c>
      <c r="L196" s="20" t="s">
        <v>2107</v>
      </c>
      <c r="M196" s="20" t="s">
        <v>2108</v>
      </c>
      <c r="N196" s="19" t="s">
        <v>2109</v>
      </c>
      <c r="O196" s="19" t="s">
        <v>743</v>
      </c>
      <c r="P196" s="19" t="s">
        <v>2110</v>
      </c>
      <c r="Q196" s="19">
        <v>7.488140191E9</v>
      </c>
      <c r="R196" s="19" t="s">
        <v>2111</v>
      </c>
      <c r="S196" s="19" t="s">
        <v>525</v>
      </c>
      <c r="T196" s="19" t="s">
        <v>841</v>
      </c>
      <c r="U196" s="19">
        <v>7.439357998E9</v>
      </c>
      <c r="V196" s="19">
        <v>1.0</v>
      </c>
      <c r="W196" s="19" t="s">
        <v>2112</v>
      </c>
      <c r="X196" s="19" t="s">
        <v>344</v>
      </c>
      <c r="AA196" s="19" t="s">
        <v>65</v>
      </c>
      <c r="AB196" s="19" t="s">
        <v>65</v>
      </c>
      <c r="AD196" s="19" t="s">
        <v>66</v>
      </c>
    </row>
    <row r="197" ht="22.5" customHeight="1">
      <c r="A197" s="18">
        <v>46270.99212284722</v>
      </c>
      <c r="B197" s="19" t="s">
        <v>2113</v>
      </c>
      <c r="C197" s="19" t="s">
        <v>2114</v>
      </c>
      <c r="D197" s="19">
        <v>2.02001117E8</v>
      </c>
      <c r="E197" s="19" t="s">
        <v>3</v>
      </c>
      <c r="F197" s="19">
        <v>7.644977977E9</v>
      </c>
      <c r="G197" s="19" t="s">
        <v>2115</v>
      </c>
      <c r="H197" s="19" t="s">
        <v>52</v>
      </c>
      <c r="I197" s="19" t="s">
        <v>2116</v>
      </c>
      <c r="J197" s="19" t="s">
        <v>2117</v>
      </c>
      <c r="K197" s="19" t="s">
        <v>2118</v>
      </c>
      <c r="L197" s="20" t="s">
        <v>2119</v>
      </c>
      <c r="M197" s="20" t="s">
        <v>2120</v>
      </c>
      <c r="N197" s="19" t="s">
        <v>2121</v>
      </c>
      <c r="O197" s="19" t="s">
        <v>2122</v>
      </c>
      <c r="P197" s="19" t="s">
        <v>2123</v>
      </c>
      <c r="Q197" s="19">
        <v>9.999999999E9</v>
      </c>
      <c r="R197" s="19" t="s">
        <v>2124</v>
      </c>
      <c r="S197" s="19" t="s">
        <v>2125</v>
      </c>
      <c r="T197" s="19" t="s">
        <v>2126</v>
      </c>
      <c r="U197" s="19">
        <v>9.429181978E9</v>
      </c>
      <c r="V197" s="19">
        <v>2.0</v>
      </c>
      <c r="W197" s="19" t="s">
        <v>2127</v>
      </c>
      <c r="X197" s="19" t="s">
        <v>133</v>
      </c>
      <c r="Y197" s="19" t="s">
        <v>2128</v>
      </c>
      <c r="Z197" s="19" t="s">
        <v>481</v>
      </c>
      <c r="AA197" s="19" t="s">
        <v>94</v>
      </c>
      <c r="AB197" s="19" t="s">
        <v>94</v>
      </c>
      <c r="AC197" s="19" t="s">
        <v>65</v>
      </c>
      <c r="AD197" s="19" t="s">
        <v>11</v>
      </c>
      <c r="AE197" s="19">
        <v>2.0</v>
      </c>
    </row>
  </sheetData>
  <conditionalFormatting sqref="B2:B297">
    <cfRule type="expression" dxfId="5" priority="1">
      <formula>COUNTIF($B$2:$B$297, $B2)&gt;1</formula>
    </cfRule>
  </conditionalFormatting>
  <conditionalFormatting sqref="C2:E297">
    <cfRule type="expression" dxfId="5" priority="2">
      <formula>COUNTIFS($C$2:$C$297, $C2, $E$2:$E$297,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4"/>
    <hyperlink r:id="rId64" ref="M34"/>
    <hyperlink r:id="rId65" ref="L35"/>
    <hyperlink r:id="rId66" ref="M35"/>
    <hyperlink r:id="rId67" ref="L36"/>
    <hyperlink r:id="rId68" ref="M36"/>
    <hyperlink r:id="rId69" ref="L37"/>
    <hyperlink r:id="rId70" ref="M37"/>
    <hyperlink r:id="rId71" ref="L38"/>
    <hyperlink r:id="rId72" ref="M38"/>
    <hyperlink r:id="rId73" ref="L39"/>
    <hyperlink r:id="rId74" ref="M39"/>
    <hyperlink r:id="rId75" ref="L40"/>
    <hyperlink r:id="rId76" ref="M40"/>
    <hyperlink r:id="rId77" ref="L41"/>
    <hyperlink r:id="rId78" ref="M41"/>
    <hyperlink r:id="rId79" ref="L44"/>
    <hyperlink r:id="rId80" ref="M44"/>
    <hyperlink r:id="rId81" ref="L45"/>
    <hyperlink r:id="rId82" ref="M45"/>
    <hyperlink r:id="rId83" ref="L46"/>
    <hyperlink r:id="rId84" ref="M46"/>
    <hyperlink r:id="rId85" ref="L47"/>
    <hyperlink r:id="rId86" ref="M47"/>
    <hyperlink r:id="rId87" ref="L48"/>
    <hyperlink r:id="rId88" ref="M48"/>
    <hyperlink r:id="rId89" ref="L50"/>
    <hyperlink r:id="rId90" ref="M50"/>
    <hyperlink r:id="rId91" ref="L51"/>
    <hyperlink r:id="rId92" ref="M51"/>
    <hyperlink r:id="rId93" ref="L52"/>
    <hyperlink r:id="rId94" ref="M52"/>
    <hyperlink r:id="rId95" ref="L53"/>
    <hyperlink r:id="rId96" ref="M53"/>
    <hyperlink r:id="rId97" ref="L54"/>
    <hyperlink r:id="rId98" ref="M54"/>
    <hyperlink r:id="rId99" ref="L55"/>
    <hyperlink r:id="rId100" ref="M55"/>
    <hyperlink r:id="rId101" ref="L56"/>
    <hyperlink r:id="rId102" ref="M56"/>
    <hyperlink r:id="rId103" ref="L57"/>
    <hyperlink r:id="rId104" ref="M57"/>
    <hyperlink r:id="rId105" ref="L59"/>
    <hyperlink r:id="rId106" ref="M59"/>
    <hyperlink r:id="rId107" ref="L60"/>
    <hyperlink r:id="rId108" ref="M60"/>
    <hyperlink r:id="rId109" ref="L61"/>
    <hyperlink r:id="rId110" ref="M61"/>
    <hyperlink r:id="rId111" ref="L64"/>
    <hyperlink r:id="rId112" ref="M64"/>
    <hyperlink r:id="rId113" ref="L65"/>
    <hyperlink r:id="rId114" ref="M65"/>
    <hyperlink r:id="rId115" ref="L66"/>
    <hyperlink r:id="rId116" ref="M66"/>
    <hyperlink r:id="rId117" ref="L67"/>
    <hyperlink r:id="rId118" ref="M67"/>
    <hyperlink r:id="rId119" ref="L68"/>
    <hyperlink r:id="rId120" ref="M68"/>
    <hyperlink r:id="rId121" ref="L69"/>
    <hyperlink r:id="rId122" ref="M69"/>
    <hyperlink r:id="rId123" ref="L70"/>
    <hyperlink r:id="rId124" ref="M70"/>
    <hyperlink r:id="rId125" ref="L71"/>
    <hyperlink r:id="rId126" ref="M71"/>
    <hyperlink r:id="rId127" ref="L72"/>
    <hyperlink r:id="rId128" ref="M72"/>
    <hyperlink r:id="rId129" ref="L73"/>
    <hyperlink r:id="rId130" ref="M73"/>
    <hyperlink r:id="rId131" ref="L74"/>
    <hyperlink r:id="rId132" ref="M74"/>
    <hyperlink r:id="rId133" ref="L75"/>
    <hyperlink r:id="rId134" ref="M75"/>
    <hyperlink r:id="rId135" ref="L76"/>
    <hyperlink r:id="rId136" ref="M76"/>
    <hyperlink r:id="rId137" ref="L77"/>
    <hyperlink r:id="rId138" ref="M77"/>
    <hyperlink r:id="rId139" ref="L78"/>
    <hyperlink r:id="rId140" ref="M78"/>
    <hyperlink r:id="rId141" ref="L79"/>
    <hyperlink r:id="rId142" ref="M79"/>
    <hyperlink r:id="rId143" ref="L80"/>
    <hyperlink r:id="rId144" ref="M80"/>
    <hyperlink r:id="rId145" ref="L81"/>
    <hyperlink r:id="rId146" ref="M81"/>
    <hyperlink r:id="rId147" ref="L82"/>
    <hyperlink r:id="rId148" ref="M82"/>
    <hyperlink r:id="rId149" ref="L83"/>
    <hyperlink r:id="rId150" ref="M83"/>
    <hyperlink r:id="rId151" ref="L84"/>
    <hyperlink r:id="rId152" ref="M84"/>
    <hyperlink r:id="rId153" ref="L85"/>
    <hyperlink r:id="rId154" ref="M85"/>
    <hyperlink r:id="rId155" ref="L86"/>
    <hyperlink r:id="rId156" ref="M86"/>
    <hyperlink r:id="rId157" ref="L87"/>
    <hyperlink r:id="rId158" ref="M87"/>
    <hyperlink r:id="rId159" ref="L88"/>
    <hyperlink r:id="rId160" ref="M88"/>
    <hyperlink r:id="rId161" ref="L89"/>
    <hyperlink r:id="rId162" ref="M89"/>
    <hyperlink r:id="rId163" ref="L90"/>
    <hyperlink r:id="rId164" ref="M90"/>
    <hyperlink r:id="rId165" ref="L91"/>
    <hyperlink r:id="rId166" ref="M91"/>
    <hyperlink r:id="rId167" ref="L92"/>
    <hyperlink r:id="rId168" ref="M92"/>
    <hyperlink r:id="rId169" ref="L93"/>
    <hyperlink r:id="rId170" ref="M93"/>
    <hyperlink r:id="rId171" ref="L94"/>
    <hyperlink r:id="rId172" ref="M94"/>
    <hyperlink r:id="rId173" ref="L95"/>
    <hyperlink r:id="rId174" ref="M95"/>
    <hyperlink r:id="rId175" ref="L96"/>
    <hyperlink r:id="rId176" ref="M96"/>
    <hyperlink r:id="rId177" ref="L97"/>
    <hyperlink r:id="rId178" ref="M97"/>
    <hyperlink r:id="rId179" ref="L98"/>
    <hyperlink r:id="rId180" ref="M98"/>
    <hyperlink r:id="rId181" ref="L99"/>
    <hyperlink r:id="rId182" ref="M99"/>
    <hyperlink r:id="rId183" ref="L100"/>
    <hyperlink r:id="rId184" ref="M100"/>
    <hyperlink r:id="rId185" ref="L101"/>
    <hyperlink r:id="rId186" ref="M101"/>
    <hyperlink r:id="rId187" ref="L102"/>
    <hyperlink r:id="rId188" ref="M102"/>
    <hyperlink r:id="rId189" ref="L103"/>
    <hyperlink r:id="rId190" ref="M103"/>
    <hyperlink r:id="rId191" ref="L104"/>
    <hyperlink r:id="rId192" ref="M104"/>
    <hyperlink r:id="rId193" ref="L105"/>
    <hyperlink r:id="rId194" ref="M105"/>
    <hyperlink r:id="rId195" ref="L106"/>
    <hyperlink r:id="rId196" ref="M106"/>
    <hyperlink r:id="rId197" ref="L107"/>
    <hyperlink r:id="rId198" ref="M107"/>
    <hyperlink r:id="rId199" ref="L108"/>
    <hyperlink r:id="rId200" ref="M108"/>
    <hyperlink r:id="rId201" ref="L109"/>
    <hyperlink r:id="rId202" ref="M109"/>
    <hyperlink r:id="rId203" ref="L110"/>
    <hyperlink r:id="rId204" ref="M110"/>
    <hyperlink r:id="rId205" ref="L111"/>
    <hyperlink r:id="rId206" ref="M111"/>
    <hyperlink r:id="rId207" ref="L112"/>
    <hyperlink r:id="rId208" ref="M112"/>
    <hyperlink r:id="rId209" ref="L113"/>
    <hyperlink r:id="rId210" ref="M113"/>
    <hyperlink r:id="rId211" ref="L114"/>
    <hyperlink r:id="rId212" ref="M114"/>
    <hyperlink r:id="rId213" ref="L115"/>
    <hyperlink r:id="rId214" ref="M115"/>
    <hyperlink r:id="rId215" ref="L116"/>
    <hyperlink r:id="rId216" ref="M116"/>
    <hyperlink r:id="rId217" ref="L117"/>
    <hyperlink r:id="rId218" ref="M117"/>
    <hyperlink r:id="rId219" ref="L118"/>
    <hyperlink r:id="rId220" ref="M118"/>
    <hyperlink r:id="rId221" ref="L119"/>
    <hyperlink r:id="rId222" ref="M119"/>
    <hyperlink r:id="rId223" ref="L120"/>
    <hyperlink r:id="rId224" ref="M120"/>
    <hyperlink r:id="rId225" ref="L121"/>
    <hyperlink r:id="rId226" ref="M121"/>
    <hyperlink r:id="rId227" ref="L122"/>
    <hyperlink r:id="rId228" ref="M122"/>
    <hyperlink r:id="rId229" ref="L123"/>
    <hyperlink r:id="rId230" ref="M123"/>
    <hyperlink r:id="rId231" ref="L124"/>
    <hyperlink r:id="rId232" ref="M124"/>
    <hyperlink r:id="rId233" ref="L125"/>
    <hyperlink r:id="rId234" ref="M125"/>
    <hyperlink r:id="rId235" ref="L126"/>
    <hyperlink r:id="rId236" ref="M126"/>
    <hyperlink r:id="rId237" ref="L127"/>
    <hyperlink r:id="rId238" ref="M127"/>
    <hyperlink r:id="rId239" ref="L128"/>
    <hyperlink r:id="rId240" ref="M128"/>
    <hyperlink r:id="rId241" ref="L129"/>
    <hyperlink r:id="rId242" ref="M129"/>
    <hyperlink r:id="rId243" ref="L130"/>
    <hyperlink r:id="rId244" ref="M130"/>
    <hyperlink r:id="rId245" ref="L131"/>
    <hyperlink r:id="rId246" ref="M131"/>
    <hyperlink r:id="rId247" ref="L132"/>
    <hyperlink r:id="rId248" ref="M132"/>
    <hyperlink r:id="rId249" ref="L135"/>
    <hyperlink r:id="rId250" ref="M135"/>
    <hyperlink r:id="rId251" ref="L138"/>
    <hyperlink r:id="rId252" ref="M138"/>
    <hyperlink r:id="rId253" ref="L139"/>
    <hyperlink r:id="rId254" ref="M139"/>
    <hyperlink r:id="rId255" ref="L140"/>
    <hyperlink r:id="rId256" ref="M140"/>
    <hyperlink r:id="rId257" ref="L141"/>
    <hyperlink r:id="rId258" ref="M141"/>
    <hyperlink r:id="rId259" ref="L142"/>
    <hyperlink r:id="rId260" ref="M142"/>
    <hyperlink r:id="rId261" ref="L144"/>
    <hyperlink r:id="rId262" ref="M144"/>
    <hyperlink r:id="rId263" ref="L145"/>
    <hyperlink r:id="rId264" ref="M145"/>
    <hyperlink r:id="rId265" ref="L146"/>
    <hyperlink r:id="rId266" ref="M146"/>
    <hyperlink r:id="rId267" ref="L148"/>
    <hyperlink r:id="rId268" ref="M148"/>
    <hyperlink r:id="rId269" ref="L149"/>
    <hyperlink r:id="rId270" ref="M149"/>
    <hyperlink r:id="rId271" ref="L150"/>
    <hyperlink r:id="rId272" ref="M150"/>
    <hyperlink r:id="rId273" ref="L151"/>
    <hyperlink r:id="rId274" ref="M151"/>
    <hyperlink r:id="rId275" ref="L152"/>
    <hyperlink r:id="rId276" ref="M152"/>
    <hyperlink r:id="rId277" ref="L153"/>
    <hyperlink r:id="rId278" ref="M153"/>
    <hyperlink r:id="rId279" ref="L154"/>
    <hyperlink r:id="rId280" ref="M154"/>
    <hyperlink r:id="rId281" ref="L155"/>
    <hyperlink r:id="rId282" ref="M155"/>
    <hyperlink r:id="rId283" ref="L157"/>
    <hyperlink r:id="rId284" ref="M157"/>
    <hyperlink r:id="rId285" ref="L158"/>
    <hyperlink r:id="rId286" ref="M158"/>
    <hyperlink r:id="rId287" ref="L160"/>
    <hyperlink r:id="rId288" ref="M160"/>
    <hyperlink r:id="rId289" ref="L161"/>
    <hyperlink r:id="rId290" ref="M161"/>
    <hyperlink r:id="rId291" ref="L162"/>
    <hyperlink r:id="rId292" ref="M162"/>
    <hyperlink r:id="rId293" ref="L163"/>
    <hyperlink r:id="rId294" ref="M163"/>
    <hyperlink r:id="rId295" ref="L164"/>
    <hyperlink r:id="rId296" ref="M164"/>
    <hyperlink r:id="rId297" ref="L165"/>
    <hyperlink r:id="rId298" ref="M165"/>
    <hyperlink r:id="rId299" ref="L166"/>
    <hyperlink r:id="rId300" ref="M166"/>
    <hyperlink r:id="rId301" ref="L167"/>
    <hyperlink r:id="rId302" ref="M167"/>
    <hyperlink r:id="rId303" ref="L169"/>
    <hyperlink r:id="rId304" ref="M169"/>
    <hyperlink r:id="rId305" ref="L170"/>
    <hyperlink r:id="rId306" ref="M170"/>
    <hyperlink r:id="rId307" ref="L171"/>
    <hyperlink r:id="rId308" ref="M171"/>
    <hyperlink r:id="rId309" ref="L172"/>
    <hyperlink r:id="rId310" ref="M172"/>
    <hyperlink r:id="rId311" ref="L173"/>
    <hyperlink r:id="rId312" ref="M173"/>
    <hyperlink r:id="rId313" ref="L174"/>
    <hyperlink r:id="rId314" ref="M174"/>
    <hyperlink r:id="rId315" ref="L175"/>
    <hyperlink r:id="rId316" ref="M175"/>
    <hyperlink r:id="rId317" ref="L176"/>
    <hyperlink r:id="rId318" ref="M176"/>
    <hyperlink r:id="rId319" ref="L177"/>
    <hyperlink r:id="rId320" ref="M177"/>
    <hyperlink r:id="rId321" ref="L178"/>
    <hyperlink r:id="rId322" ref="M178"/>
    <hyperlink r:id="rId323" ref="L179"/>
    <hyperlink r:id="rId324" ref="M179"/>
    <hyperlink r:id="rId325" ref="L180"/>
    <hyperlink r:id="rId326" ref="M180"/>
    <hyperlink r:id="rId327" ref="L181"/>
    <hyperlink r:id="rId328" ref="M181"/>
    <hyperlink r:id="rId329" ref="L182"/>
    <hyperlink r:id="rId330" ref="M182"/>
    <hyperlink r:id="rId331" ref="L183"/>
    <hyperlink r:id="rId332" ref="M183"/>
    <hyperlink r:id="rId333" ref="L184"/>
    <hyperlink r:id="rId334" ref="M184"/>
    <hyperlink r:id="rId335" ref="L185"/>
    <hyperlink r:id="rId336" ref="M185"/>
    <hyperlink r:id="rId337" ref="L186"/>
    <hyperlink r:id="rId338" ref="M186"/>
    <hyperlink r:id="rId339" ref="L187"/>
    <hyperlink r:id="rId340" ref="M187"/>
    <hyperlink r:id="rId341" ref="L188"/>
    <hyperlink r:id="rId342" ref="M188"/>
    <hyperlink r:id="rId343" ref="L189"/>
    <hyperlink r:id="rId344" ref="M189"/>
    <hyperlink r:id="rId345" ref="L190"/>
    <hyperlink r:id="rId346" ref="M190"/>
    <hyperlink r:id="rId347" ref="L191"/>
    <hyperlink r:id="rId348" ref="M191"/>
    <hyperlink r:id="rId349" ref="L192"/>
    <hyperlink r:id="rId350" ref="M192"/>
    <hyperlink r:id="rId351" ref="L194"/>
    <hyperlink r:id="rId352" ref="M194"/>
    <hyperlink r:id="rId353" ref="L195"/>
    <hyperlink r:id="rId354" ref="M195"/>
    <hyperlink r:id="rId355" ref="L196"/>
    <hyperlink r:id="rId356" ref="M196"/>
    <hyperlink r:id="rId357" ref="L197"/>
    <hyperlink r:id="rId358" ref="M197"/>
  </hyperlinks>
  <drawing r:id="rId359"/>
  <tableParts count="1">
    <tablePart r:id="rId36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12" t="s">
        <v>12</v>
      </c>
      <c r="B1" s="12" t="s">
        <v>13</v>
      </c>
      <c r="C1" s="13" t="s">
        <v>14</v>
      </c>
      <c r="D1" s="13" t="s">
        <v>15</v>
      </c>
      <c r="E1" s="12" t="s">
        <v>16</v>
      </c>
      <c r="F1" s="13" t="s">
        <v>17</v>
      </c>
      <c r="G1" s="13" t="s">
        <v>18</v>
      </c>
      <c r="H1" s="13" t="s">
        <v>19</v>
      </c>
      <c r="I1" s="13" t="s">
        <v>20</v>
      </c>
      <c r="J1" s="13" t="s">
        <v>21</v>
      </c>
      <c r="K1" s="13" t="s">
        <v>22</v>
      </c>
      <c r="L1" s="13" t="s">
        <v>23</v>
      </c>
      <c r="M1" s="13" t="s">
        <v>24</v>
      </c>
      <c r="N1" s="13" t="s">
        <v>25</v>
      </c>
      <c r="O1" s="13" t="s">
        <v>26</v>
      </c>
      <c r="P1" s="13" t="s">
        <v>27</v>
      </c>
      <c r="Q1" s="13" t="s">
        <v>28</v>
      </c>
      <c r="R1" s="13" t="s">
        <v>29</v>
      </c>
      <c r="S1" s="12" t="s">
        <v>38</v>
      </c>
      <c r="T1" s="12" t="s">
        <v>40</v>
      </c>
      <c r="U1" s="12" t="s">
        <v>43</v>
      </c>
      <c r="V1" s="13" t="s">
        <v>35</v>
      </c>
      <c r="W1" s="13" t="s">
        <v>37</v>
      </c>
      <c r="X1" s="13" t="s">
        <v>39</v>
      </c>
      <c r="Y1" s="13" t="s">
        <v>41</v>
      </c>
      <c r="Z1" s="13" t="s">
        <v>42</v>
      </c>
      <c r="AA1" s="13" t="s">
        <v>44</v>
      </c>
      <c r="AB1" s="13" t="s">
        <v>45</v>
      </c>
      <c r="AC1" s="13" t="s">
        <v>46</v>
      </c>
      <c r="AD1" s="12" t="s">
        <v>47</v>
      </c>
      <c r="AE1" s="12" t="s">
        <v>48</v>
      </c>
    </row>
    <row r="2" ht="22.5" customHeight="1">
      <c r="A2" s="14">
        <f>IFERROR(__xludf.DUMMYFUNCTION("LET(
  raw, FILTER('Form responses 1'!A2:AE293, 'Form responses 1'!H2:H293=""Yes""),
  sorted, SORT(raw, 1, FALSE),
  c, CHOOSECOLS(sorted, 3),
  e, CHOOSECOLS(sorted, 5),
  k, ARRAYFORMULA(c &amp; ""|"" &amp; e),
  FILTER(sorted, MATCH(k, k, 0) = SEQUENCE(ROWS(k"&amp;")))
)"),46270.99212284722)</f>
        <v>46270.99212</v>
      </c>
      <c r="B2" s="15" t="str">
        <f>IFERROR(__xludf.DUMMYFUNCTION("""COMPUTED_VALUE"""),"patel.mbbs-2020@aiimskalyani.edu.in")</f>
        <v>patel.mbbs-2020@aiimskalyani.edu.in</v>
      </c>
      <c r="C2" s="15" t="str">
        <f>IFERROR(__xludf.DUMMYFUNCTION("""COMPUTED_VALUE"""),"PATEL SHRUTI RUTANJU ")</f>
        <v>PATEL SHRUTI RUTANJU </v>
      </c>
      <c r="D2" s="15">
        <f>IFERROR(__xludf.DUMMYFUNCTION("""COMPUTED_VALUE"""),2.02001117E8)</f>
        <v>202001117</v>
      </c>
      <c r="E2" s="15" t="str">
        <f>IFERROR(__xludf.DUMMYFUNCTION("""COMPUTED_VALUE"""),"MBBS 2020")</f>
        <v>MBBS 2020</v>
      </c>
      <c r="F2" s="15">
        <f>IFERROR(__xludf.DUMMYFUNCTION("""COMPUTED_VALUE"""),7.644977977E9)</f>
        <v>7644977977</v>
      </c>
      <c r="G2" s="15" t="str">
        <f>IFERROR(__xludf.DUMMYFUNCTION("""COMPUTED_VALUE"""),"starv2888@gmail.com")</f>
        <v>starv2888@gmail.com</v>
      </c>
      <c r="H2" s="15" t="str">
        <f>IFERROR(__xludf.DUMMYFUNCTION("""COMPUTED_VALUE"""),"Yes")</f>
        <v>Yes</v>
      </c>
      <c r="I2" s="16" t="str">
        <f>IFERROR(__xludf.DUMMYFUNCTION("""COMPUTED_VALUE"""),"I love diving into board games and lively debates, goofing around with dogs, dabbling in performance arts and acting, and enjoying a little baking and swimming. I also love hands-on activities like LEGO, macramé, diamond art, and puzzles.")</f>
        <v>I love diving into board games and lively debates, goofing around with dogs, dabbling in performance arts and acting, and enjoying a little baking and swimming. I also love hands-on activities like LEGO, macramé, diamond art, and puzzles.</v>
      </c>
      <c r="J2" s="16" t="str">
        <f>IFERROR(__xludf.DUMMYFUNCTION("""COMPUTED_VALUE"""),"Participated in debates 
Although I have never competed professionally, I thoroughly enjoy swimming.")</f>
        <v>Participated in debates 
Although I have never competed professionally, I thoroughly enjoy swimming.</v>
      </c>
      <c r="K2" s="15" t="str">
        <f>IFERROR(__xludf.DUMMYFUNCTION("""COMPUTED_VALUE"""),"Scarborough, Maine &amp; Anand, Gujarat")</f>
        <v>Scarborough, Maine &amp; Anand, Gujarat</v>
      </c>
      <c r="L2" s="17" t="str">
        <f>IFERROR(__xludf.DUMMYFUNCTION("""COMPUTED_VALUE"""),"https://drive.google.com/open?id=1wvVMWKrnUjVgP1CfYWdd_E0vchEM9pi3")</f>
        <v>https://drive.google.com/open?id=1wvVMWKrnUjVgP1CfYWdd_E0vchEM9pi3</v>
      </c>
      <c r="M2" s="17" t="str">
        <f>IFERROR(__xludf.DUMMYFUNCTION("""COMPUTED_VALUE"""),"https://drive.google.com/open?id=1FD55F3mUjSvviBFvT0lmlP5qs97Jo6Rq")</f>
        <v>https://drive.google.com/open?id=1FD55F3mUjSvviBFvT0lmlP5qs97Jo6Rq</v>
      </c>
      <c r="N2" s="15" t="str">
        <f>IFERROR(__xludf.DUMMYFUNCTION("""COMPUTED_VALUE"""),"Late Rutanju Patel ")</f>
        <v>Late Rutanju Patel </v>
      </c>
      <c r="O2" s="15" t="str">
        <f>IFERROR(__xludf.DUMMYFUNCTION("""COMPUTED_VALUE"""),"Certified Public Accountant (CPA) ;")</f>
        <v>Certified Public Accountant (CPA) ;</v>
      </c>
      <c r="P2" s="15" t="str">
        <f>IFERROR(__xludf.DUMMYFUNCTION("""COMPUTED_VALUE"""),"N/A ")</f>
        <v>N/A </v>
      </c>
      <c r="Q2" s="15">
        <f>IFERROR(__xludf.DUMMYFUNCTION("""COMPUTED_VALUE"""),9.999999999E9)</f>
        <v>9999999999</v>
      </c>
      <c r="R2" s="15" t="str">
        <f>IFERROR(__xludf.DUMMYFUNCTION("""COMPUTED_VALUE"""),"Trupti Patel ")</f>
        <v>Trupti Patel </v>
      </c>
      <c r="S2" s="15" t="str">
        <f>IFERROR(__xludf.DUMMYFUNCTION("""COMPUTED_VALUE"""),"Entrepreneur &amp; Business Owner")</f>
        <v>Entrepreneur &amp; Business Owner</v>
      </c>
      <c r="T2" s="15" t="str">
        <f>IFERROR(__xludf.DUMMYFUNCTION("""COMPUTED_VALUE"""),"Scarborough, Maine &amp; Anand, Gujarat ")</f>
        <v>Scarborough, Maine &amp; Anand, Gujarat </v>
      </c>
      <c r="U2" s="15">
        <f>IFERROR(__xludf.DUMMYFUNCTION("""COMPUTED_VALUE"""),9.429181978E9)</f>
        <v>9429181978</v>
      </c>
      <c r="V2" s="15">
        <f>IFERROR(__xludf.DUMMYFUNCTION("""COMPUTED_VALUE"""),2.0)</f>
        <v>2</v>
      </c>
      <c r="W2" s="15" t="str">
        <f>IFERROR(__xludf.DUMMYFUNCTION("""COMPUTED_VALUE"""),"Trupti Patel")</f>
        <v>Trupti Patel</v>
      </c>
      <c r="X2" s="15" t="str">
        <f>IFERROR(__xludf.DUMMYFUNCTION("""COMPUTED_VALUE"""),"Mother ")</f>
        <v>Mother </v>
      </c>
      <c r="Y2" s="15" t="str">
        <f>IFERROR(__xludf.DUMMYFUNCTION("""COMPUTED_VALUE"""),"Pranathi Nambiar ")</f>
        <v>Pranathi Nambiar </v>
      </c>
      <c r="Z2" s="15" t="str">
        <f>IFERROR(__xludf.DUMMYFUNCTION("""COMPUTED_VALUE"""),"Cousin")</f>
        <v>Cousin</v>
      </c>
      <c r="AA2" s="15" t="str">
        <f>IFERROR(__xludf.DUMMYFUNCTION("""COMPUTED_VALUE"""),"Veg")</f>
        <v>Veg</v>
      </c>
      <c r="AB2" s="15" t="str">
        <f>IFERROR(__xludf.DUMMYFUNCTION("""COMPUTED_VALUE"""),"Veg")</f>
        <v>Veg</v>
      </c>
      <c r="AC2" s="15" t="str">
        <f>IFERROR(__xludf.DUMMYFUNCTION("""COMPUTED_VALUE"""),"Non-Veg")</f>
        <v>Non-Veg</v>
      </c>
      <c r="AD2" s="15" t="str">
        <f>IFERROR(__xludf.DUMMYFUNCTION("""COMPUTED_VALUE"""),"Drop at Kolkata Airport")</f>
        <v>Drop at Kolkata Airport</v>
      </c>
      <c r="AE2" s="15">
        <f>IFERROR(__xludf.DUMMYFUNCTION("""COMPUTED_VALUE"""),2.0)</f>
        <v>2</v>
      </c>
    </row>
    <row r="3" ht="22.5" customHeight="1">
      <c r="A3" s="18">
        <f>IFERROR(__xludf.DUMMYFUNCTION("""COMPUTED_VALUE"""),46269.758121631945)</f>
        <v>46269.75812</v>
      </c>
      <c r="B3" s="21" t="str">
        <f>IFERROR(__xludf.DUMMYFUNCTION("""COMPUTED_VALUE"""),"soni.bscnursing-2021@aiimskalyani.edu.in")</f>
        <v>soni.bscnursing-2021@aiimskalyani.edu.in</v>
      </c>
      <c r="C3" s="21" t="str">
        <f>IFERROR(__xludf.DUMMYFUNCTION("""COMPUTED_VALUE"""),"SONI KUMARI ")</f>
        <v>SONI KUMARI </v>
      </c>
      <c r="D3" s="21">
        <f>IFERROR(__xludf.DUMMYFUNCTION("""COMPUTED_VALUE"""),2.0210261E7)</f>
        <v>20210261</v>
      </c>
      <c r="E3" s="21" t="str">
        <f>IFERROR(__xludf.DUMMYFUNCTION("""COMPUTED_VALUE"""),"B.Sc (Hons) Nursing 2021")</f>
        <v>B.Sc (Hons) Nursing 2021</v>
      </c>
      <c r="F3" s="21">
        <f>IFERROR(__xludf.DUMMYFUNCTION("""COMPUTED_VALUE"""),9.660339459E9)</f>
        <v>9660339459</v>
      </c>
      <c r="G3" s="21" t="str">
        <f>IFERROR(__xludf.DUMMYFUNCTION("""COMPUTED_VALUE"""),"sahnisoni05@gmail.com")</f>
        <v>sahnisoni05@gmail.com</v>
      </c>
      <c r="H3" s="21" t="str">
        <f>IFERROR(__xludf.DUMMYFUNCTION("""COMPUTED_VALUE"""),"Yes")</f>
        <v>Yes</v>
      </c>
      <c r="I3" s="21" t="str">
        <f>IFERROR(__xludf.DUMMYFUNCTION("""COMPUTED_VALUE"""),"Playing various sports and exploring new places. ")</f>
        <v>Playing various sports and exploring new places. </v>
      </c>
      <c r="J3" s="21" t="str">
        <f>IFERROR(__xludf.DUMMYFUNCTION("""COMPUTED_VALUE"""),"Represented the Bihar Table Tennis Association in competitive events, achieving multiple championship titles across district and inter-school tournaments.
Additionally, secured 1st place in both the Singles and Doubles TT at the College Annual Sports Meet"&amp;".")</f>
        <v>Represented the Bihar Table Tennis Association in competitive events, achieving multiple championship titles across district and inter-school tournaments.
Additionally, secured 1st place in both the Singles and Doubles TT at the College Annual Sports Meet.</v>
      </c>
      <c r="K3" s="21" t="str">
        <f>IFERROR(__xludf.DUMMYFUNCTION("""COMPUTED_VALUE"""),"Patna, Bihar ")</f>
        <v>Patna, Bihar </v>
      </c>
      <c r="L3" s="22" t="str">
        <f>IFERROR(__xludf.DUMMYFUNCTION("""COMPUTED_VALUE"""),"https://drive.google.com/open?id=14Mpb3mx408Fe669jtBDA3eVsM3JQv8Ei")</f>
        <v>https://drive.google.com/open?id=14Mpb3mx408Fe669jtBDA3eVsM3JQv8Ei</v>
      </c>
      <c r="M3" s="22" t="str">
        <f>IFERROR(__xludf.DUMMYFUNCTION("""COMPUTED_VALUE"""),"https://drive.google.com/open?id=1ZXw5JDk3nfR9UiFRHkn90J-K9uCKlxRP")</f>
        <v>https://drive.google.com/open?id=1ZXw5JDk3nfR9UiFRHkn90J-K9uCKlxRP</v>
      </c>
      <c r="N3" s="21" t="str">
        <f>IFERROR(__xludf.DUMMYFUNCTION("""COMPUTED_VALUE"""),"Ramdeo Prasad")</f>
        <v>Ramdeo Prasad</v>
      </c>
      <c r="O3" s="21" t="str">
        <f>IFERROR(__xludf.DUMMYFUNCTION("""COMPUTED_VALUE"""),"Businessman")</f>
        <v>Businessman</v>
      </c>
      <c r="P3" s="21" t="str">
        <f>IFERROR(__xludf.DUMMYFUNCTION("""COMPUTED_VALUE"""),"Patna,Bihar")</f>
        <v>Patna,Bihar</v>
      </c>
      <c r="Q3" s="21">
        <f>IFERROR(__xludf.DUMMYFUNCTION("""COMPUTED_VALUE"""),7.488140191E9)</f>
        <v>7488140191</v>
      </c>
      <c r="R3" s="21" t="str">
        <f>IFERROR(__xludf.DUMMYFUNCTION("""COMPUTED_VALUE"""),"Mira Devi")</f>
        <v>Mira Devi</v>
      </c>
      <c r="S3" s="21" t="str">
        <f>IFERROR(__xludf.DUMMYFUNCTION("""COMPUTED_VALUE"""),"Homemaker ")</f>
        <v>Homemaker </v>
      </c>
      <c r="T3" s="21" t="str">
        <f>IFERROR(__xludf.DUMMYFUNCTION("""COMPUTED_VALUE"""),"Patna, Bihar")</f>
        <v>Patna, Bihar</v>
      </c>
      <c r="U3" s="21">
        <f>IFERROR(__xludf.DUMMYFUNCTION("""COMPUTED_VALUE"""),7.439357998E9)</f>
        <v>7439357998</v>
      </c>
      <c r="V3" s="21">
        <f>IFERROR(__xludf.DUMMYFUNCTION("""COMPUTED_VALUE"""),1.0)</f>
        <v>1</v>
      </c>
      <c r="W3" s="21" t="str">
        <f>IFERROR(__xludf.DUMMYFUNCTION("""COMPUTED_VALUE"""),"ABHAY KUMAR")</f>
        <v>ABHAY KUMAR</v>
      </c>
      <c r="X3" s="21" t="str">
        <f>IFERROR(__xludf.DUMMYFUNCTION("""COMPUTED_VALUE"""),"Brother")</f>
        <v>Brother</v>
      </c>
      <c r="Y3" s="21"/>
      <c r="Z3" s="21"/>
      <c r="AA3" s="21" t="str">
        <f>IFERROR(__xludf.DUMMYFUNCTION("""COMPUTED_VALUE"""),"Non-Veg")</f>
        <v>Non-Veg</v>
      </c>
      <c r="AB3" s="21" t="str">
        <f>IFERROR(__xludf.DUMMYFUNCTION("""COMPUTED_VALUE"""),"Non-Veg")</f>
        <v>Non-Veg</v>
      </c>
      <c r="AC3" s="21"/>
      <c r="AD3" s="21" t="str">
        <f>IFERROR(__xludf.DUMMYFUNCTION("""COMPUTED_VALUE"""),"Bus Drop Service not needed")</f>
        <v>Bus Drop Service not needed</v>
      </c>
      <c r="AE3" s="21"/>
    </row>
    <row r="4" ht="22.5" customHeight="1">
      <c r="A4" s="18">
        <f>IFERROR(__xludf.DUMMYFUNCTION("""COMPUTED_VALUE"""),46269.63215892361)</f>
        <v>46269.63216</v>
      </c>
      <c r="B4" s="21" t="str">
        <f>IFERROR(__xludf.DUMMYFUNCTION("""COMPUTED_VALUE"""),"sonam.bscnursing-2021@aiimskalyani.edu.in")</f>
        <v>sonam.bscnursing-2021@aiimskalyani.edu.in</v>
      </c>
      <c r="C4" s="21" t="str">
        <f>IFERROR(__xludf.DUMMYFUNCTION("""COMPUTED_VALUE"""),"SONAM KUMARI ")</f>
        <v>SONAM KUMARI </v>
      </c>
      <c r="D4" s="21">
        <f>IFERROR(__xludf.DUMMYFUNCTION("""COMPUTED_VALUE"""),2.021025E7)</f>
        <v>20210250</v>
      </c>
      <c r="E4" s="21" t="str">
        <f>IFERROR(__xludf.DUMMYFUNCTION("""COMPUTED_VALUE"""),"B.Sc (Hons) Nursing 2021")</f>
        <v>B.Sc (Hons) Nursing 2021</v>
      </c>
      <c r="F4" s="21">
        <f>IFERROR(__xludf.DUMMYFUNCTION("""COMPUTED_VALUE"""),8.404882688E9)</f>
        <v>8404882688</v>
      </c>
      <c r="G4" s="21" t="str">
        <f>IFERROR(__xludf.DUMMYFUNCTION("""COMPUTED_VALUE"""),"sonamriva20@gmail.com")</f>
        <v>sonamriva20@gmail.com</v>
      </c>
      <c r="H4" s="21" t="str">
        <f>IFERROR(__xludf.DUMMYFUNCTION("""COMPUTED_VALUE"""),"Yes")</f>
        <v>Yes</v>
      </c>
      <c r="I4" s="21" t="str">
        <f>IFERROR(__xludf.DUMMYFUNCTION("""COMPUTED_VALUE"""),"Traveling and photography ")</f>
        <v>Traveling and photography </v>
      </c>
      <c r="J4" s="21" t="str">
        <f>IFERROR(__xludf.DUMMYFUNCTION("""COMPUTED_VALUE"""),"Chess")</f>
        <v>Chess</v>
      </c>
      <c r="K4" s="21" t="str">
        <f>IFERROR(__xludf.DUMMYFUNCTION("""COMPUTED_VALUE"""),"Bhagalpur ")</f>
        <v>Bhagalpur </v>
      </c>
      <c r="L4" s="22" t="str">
        <f>IFERROR(__xludf.DUMMYFUNCTION("""COMPUTED_VALUE"""),"https://drive.google.com/open?id=1HVrHS_D5ahC18Hz1pfvs1DxJc9iE3i90")</f>
        <v>https://drive.google.com/open?id=1HVrHS_D5ahC18Hz1pfvs1DxJc9iE3i90</v>
      </c>
      <c r="M4" s="22" t="str">
        <f>IFERROR(__xludf.DUMMYFUNCTION("""COMPUTED_VALUE"""),"https://drive.google.com/open?id=1sVVHIaGT7Z-sRVXgXVs4t5l8lNrSP3Pe")</f>
        <v>https://drive.google.com/open?id=1sVVHIaGT7Z-sRVXgXVs4t5l8lNrSP3Pe</v>
      </c>
      <c r="N4" s="21" t="str">
        <f>IFERROR(__xludf.DUMMYFUNCTION("""COMPUTED_VALUE"""),"Ranjan Kumar ")</f>
        <v>Ranjan Kumar </v>
      </c>
      <c r="O4" s="21" t="str">
        <f>IFERROR(__xludf.DUMMYFUNCTION("""COMPUTED_VALUE"""),"Businessmen ")</f>
        <v>Businessmen </v>
      </c>
      <c r="P4" s="21" t="str">
        <f>IFERROR(__xludf.DUMMYFUNCTION("""COMPUTED_VALUE"""),"Shahkund ")</f>
        <v>Shahkund </v>
      </c>
      <c r="Q4" s="21">
        <f>IFERROR(__xludf.DUMMYFUNCTION("""COMPUTED_VALUE"""),8.404882688E9)</f>
        <v>8404882688</v>
      </c>
      <c r="R4" s="21" t="str">
        <f>IFERROR(__xludf.DUMMYFUNCTION("""COMPUTED_VALUE"""),"Rani Devi ")</f>
        <v>Rani Devi </v>
      </c>
      <c r="S4" s="21" t="str">
        <f>IFERROR(__xludf.DUMMYFUNCTION("""COMPUTED_VALUE"""),"Homemaker")</f>
        <v>Homemaker</v>
      </c>
      <c r="T4" s="21" t="str">
        <f>IFERROR(__xludf.DUMMYFUNCTION("""COMPUTED_VALUE"""),"Shahkund")</f>
        <v>Shahkund</v>
      </c>
      <c r="U4" s="21">
        <f>IFERROR(__xludf.DUMMYFUNCTION("""COMPUTED_VALUE"""),7.488505863E9)</f>
        <v>7488505863</v>
      </c>
      <c r="V4" s="21">
        <f>IFERROR(__xludf.DUMMYFUNCTION("""COMPUTED_VALUE"""),2.0)</f>
        <v>2</v>
      </c>
      <c r="W4" s="21" t="str">
        <f>IFERROR(__xludf.DUMMYFUNCTION("""COMPUTED_VALUE"""),"Ranjan Kumar ")</f>
        <v>Ranjan Kumar </v>
      </c>
      <c r="X4" s="21" t="str">
        <f>IFERROR(__xludf.DUMMYFUNCTION("""COMPUTED_VALUE"""),"Father")</f>
        <v>Father</v>
      </c>
      <c r="Y4" s="21" t="str">
        <f>IFERROR(__xludf.DUMMYFUNCTION("""COMPUTED_VALUE"""),"Rani Devi ")</f>
        <v>Rani Devi </v>
      </c>
      <c r="Z4" s="21" t="str">
        <f>IFERROR(__xludf.DUMMYFUNCTION("""COMPUTED_VALUE"""),"Mother")</f>
        <v>Mother</v>
      </c>
      <c r="AA4" s="21" t="str">
        <f>IFERROR(__xludf.DUMMYFUNCTION("""COMPUTED_VALUE"""),"Non-Veg")</f>
        <v>Non-Veg</v>
      </c>
      <c r="AB4" s="21" t="str">
        <f>IFERROR(__xludf.DUMMYFUNCTION("""COMPUTED_VALUE"""),"Non-Veg")</f>
        <v>Non-Veg</v>
      </c>
      <c r="AC4" s="21" t="str">
        <f>IFERROR(__xludf.DUMMYFUNCTION("""COMPUTED_VALUE"""),"Veg")</f>
        <v>Veg</v>
      </c>
      <c r="AD4" s="21" t="str">
        <f>IFERROR(__xludf.DUMMYFUNCTION("""COMPUTED_VALUE"""),"Bus Drop Service not needed")</f>
        <v>Bus Drop Service not needed</v>
      </c>
      <c r="AE4" s="21">
        <f>IFERROR(__xludf.DUMMYFUNCTION("""COMPUTED_VALUE"""),0.0)</f>
        <v>0</v>
      </c>
    </row>
    <row r="5" ht="22.5" customHeight="1">
      <c r="A5" s="18">
        <f>IFERROR(__xludf.DUMMYFUNCTION("""COMPUTED_VALUE"""),46268.72020755787)</f>
        <v>46268.72021</v>
      </c>
      <c r="B5" s="21" t="str">
        <f>IFERROR(__xludf.DUMMYFUNCTION("""COMPUTED_VALUE"""),"agnibha.bscnursing-2021@aiimskalyani.edu.in")</f>
        <v>agnibha.bscnursing-2021@aiimskalyani.edu.in</v>
      </c>
      <c r="C5" s="21" t="str">
        <f>IFERROR(__xludf.DUMMYFUNCTION("""COMPUTED_VALUE"""),"AGNIBHA PAUL ")</f>
        <v>AGNIBHA PAUL </v>
      </c>
      <c r="D5" s="21">
        <f>IFERROR(__xludf.DUMMYFUNCTION("""COMPUTED_VALUE"""),2.0210203E7)</f>
        <v>20210203</v>
      </c>
      <c r="E5" s="21" t="str">
        <f>IFERROR(__xludf.DUMMYFUNCTION("""COMPUTED_VALUE"""),"B.Sc (Hons) Nursing 2021")</f>
        <v>B.Sc (Hons) Nursing 2021</v>
      </c>
      <c r="F5" s="21">
        <f>IFERROR(__xludf.DUMMYFUNCTION("""COMPUTED_VALUE"""),6.296247051E9)</f>
        <v>6296247051</v>
      </c>
      <c r="G5" s="21" t="str">
        <f>IFERROR(__xludf.DUMMYFUNCTION("""COMPUTED_VALUE"""),"agnibha.bscnursing-2021@aiimskalyani.edu.in")</f>
        <v>agnibha.bscnursing-2021@aiimskalyani.edu.in</v>
      </c>
      <c r="H5" s="21" t="str">
        <f>IFERROR(__xludf.DUMMYFUNCTION("""COMPUTED_VALUE"""),"Yes")</f>
        <v>Yes</v>
      </c>
      <c r="I5" s="21" t="str">
        <f>IFERROR(__xludf.DUMMYFUNCTION("""COMPUTED_VALUE"""),"Sketching , watching movies ")</f>
        <v>Sketching , watching movies </v>
      </c>
      <c r="J5" s="21"/>
      <c r="K5" s="21" t="str">
        <f>IFERROR(__xludf.DUMMYFUNCTION("""COMPUTED_VALUE"""),"Coochbehar, West Bengal ")</f>
        <v>Coochbehar, West Bengal </v>
      </c>
      <c r="L5" s="22" t="str">
        <f>IFERROR(__xludf.DUMMYFUNCTION("""COMPUTED_VALUE"""),"https://drive.google.com/open?id=14ns53xW0g5r7rsAieCJaIPrfcLHXNG38")</f>
        <v>https://drive.google.com/open?id=14ns53xW0g5r7rsAieCJaIPrfcLHXNG38</v>
      </c>
      <c r="M5" s="22" t="str">
        <f>IFERROR(__xludf.DUMMYFUNCTION("""COMPUTED_VALUE"""),"https://drive.google.com/open?id=1gI65Z8yykq8K_GRtHkP7n8FulaboQPE-")</f>
        <v>https://drive.google.com/open?id=1gI65Z8yykq8K_GRtHkP7n8FulaboQPE-</v>
      </c>
      <c r="N5" s="21" t="str">
        <f>IFERROR(__xludf.DUMMYFUNCTION("""COMPUTED_VALUE"""),"Shyamal Chandra Paul")</f>
        <v>Shyamal Chandra Paul</v>
      </c>
      <c r="O5" s="21" t="str">
        <f>IFERROR(__xludf.DUMMYFUNCTION("""COMPUTED_VALUE"""),"Teacher ")</f>
        <v>Teacher </v>
      </c>
      <c r="P5" s="21" t="str">
        <f>IFERROR(__xludf.DUMMYFUNCTION("""COMPUTED_VALUE"""),"Coochbehar,West Bengal ")</f>
        <v>Coochbehar,West Bengal </v>
      </c>
      <c r="Q5" s="21">
        <f>IFERROR(__xludf.DUMMYFUNCTION("""COMPUTED_VALUE"""),6.29467189E9)</f>
        <v>6294671890</v>
      </c>
      <c r="R5" s="21" t="str">
        <f>IFERROR(__xludf.DUMMYFUNCTION("""COMPUTED_VALUE"""),"Jwelli Basu Paul")</f>
        <v>Jwelli Basu Paul</v>
      </c>
      <c r="S5" s="21" t="str">
        <f>IFERROR(__xludf.DUMMYFUNCTION("""COMPUTED_VALUE"""),"Health worker")</f>
        <v>Health worker</v>
      </c>
      <c r="T5" s="21" t="str">
        <f>IFERROR(__xludf.DUMMYFUNCTION("""COMPUTED_VALUE"""),"Coochbehar, West Bengal ")</f>
        <v>Coochbehar, West Bengal </v>
      </c>
      <c r="U5" s="21">
        <f>IFERROR(__xludf.DUMMYFUNCTION("""COMPUTED_VALUE"""),7.363871933E9)</f>
        <v>7363871933</v>
      </c>
      <c r="V5" s="21">
        <f>IFERROR(__xludf.DUMMYFUNCTION("""COMPUTED_VALUE"""),2.0)</f>
        <v>2</v>
      </c>
      <c r="W5" s="21" t="str">
        <f>IFERROR(__xludf.DUMMYFUNCTION("""COMPUTED_VALUE"""),"1. Shyamal Chandra Paul ")</f>
        <v>1. Shyamal Chandra Paul </v>
      </c>
      <c r="X5" s="21" t="str">
        <f>IFERROR(__xludf.DUMMYFUNCTION("""COMPUTED_VALUE"""),"Father")</f>
        <v>Father</v>
      </c>
      <c r="Y5" s="21" t="str">
        <f>IFERROR(__xludf.DUMMYFUNCTION("""COMPUTED_VALUE"""),"Jwelli Basu Paul ")</f>
        <v>Jwelli Basu Paul </v>
      </c>
      <c r="Z5" s="21" t="str">
        <f>IFERROR(__xludf.DUMMYFUNCTION("""COMPUTED_VALUE"""),"Mother")</f>
        <v>Mother</v>
      </c>
      <c r="AA5" s="21" t="str">
        <f>IFERROR(__xludf.DUMMYFUNCTION("""COMPUTED_VALUE"""),"Veg")</f>
        <v>Veg</v>
      </c>
      <c r="AB5" s="21" t="str">
        <f>IFERROR(__xludf.DUMMYFUNCTION("""COMPUTED_VALUE"""),"Non-Veg")</f>
        <v>Non-Veg</v>
      </c>
      <c r="AC5" s="21" t="str">
        <f>IFERROR(__xludf.DUMMYFUNCTION("""COMPUTED_VALUE"""),"Non-Veg")</f>
        <v>Non-Veg</v>
      </c>
      <c r="AD5" s="21" t="str">
        <f>IFERROR(__xludf.DUMMYFUNCTION("""COMPUTED_VALUE"""),"Bus Drop Service not needed")</f>
        <v>Bus Drop Service not needed</v>
      </c>
      <c r="AE5" s="21">
        <f>IFERROR(__xludf.DUMMYFUNCTION("""COMPUTED_VALUE"""),0.0)</f>
        <v>0</v>
      </c>
    </row>
    <row r="6" ht="22.5" customHeight="1">
      <c r="A6" s="18">
        <f>IFERROR(__xludf.DUMMYFUNCTION("""COMPUTED_VALUE"""),46266.996902349536)</f>
        <v>46266.9969</v>
      </c>
      <c r="B6" s="21" t="str">
        <f>IFERROR(__xludf.DUMMYFUNCTION("""COMPUTED_VALUE"""),"sharmistha.mbbs-2020@aiimskalyani.edu.in")</f>
        <v>sharmistha.mbbs-2020@aiimskalyani.edu.in</v>
      </c>
      <c r="C6" s="21" t="str">
        <f>IFERROR(__xludf.DUMMYFUNCTION("""COMPUTED_VALUE"""),"SHARMISTHA ROUT")</f>
        <v>SHARMISTHA ROUT</v>
      </c>
      <c r="D6" s="21">
        <f>IFERROR(__xludf.DUMMYFUNCTION("""COMPUTED_VALUE"""),2.02001139E8)</f>
        <v>202001139</v>
      </c>
      <c r="E6" s="21" t="str">
        <f>IFERROR(__xludf.DUMMYFUNCTION("""COMPUTED_VALUE"""),"MBBS 2020")</f>
        <v>MBBS 2020</v>
      </c>
      <c r="F6" s="21">
        <f>IFERROR(__xludf.DUMMYFUNCTION("""COMPUTED_VALUE"""),8.905157891E9)</f>
        <v>8905157891</v>
      </c>
      <c r="G6" s="21" t="str">
        <f>IFERROR(__xludf.DUMMYFUNCTION("""COMPUTED_VALUE"""),"sharmistha.mbbs-2020@aiimskalyani.edu.in")</f>
        <v>sharmistha.mbbs-2020@aiimskalyani.edu.in</v>
      </c>
      <c r="H6" s="21" t="str">
        <f>IFERROR(__xludf.DUMMYFUNCTION("""COMPUTED_VALUE"""),"Yes")</f>
        <v>Yes</v>
      </c>
      <c r="I6" s="21" t="str">
        <f>IFERROR(__xludf.DUMMYFUNCTION("""COMPUTED_VALUE"""),"My hobbies include painting , public speaking and academic quizzing .")</f>
        <v>My hobbies include painting , public speaking and academic quizzing .</v>
      </c>
      <c r="J6" s="21"/>
      <c r="K6" s="21" t="str">
        <f>IFERROR(__xludf.DUMMYFUNCTION("""COMPUTED_VALUE"""),"Bhubaneswar ")</f>
        <v>Bhubaneswar </v>
      </c>
      <c r="L6" s="22" t="str">
        <f>IFERROR(__xludf.DUMMYFUNCTION("""COMPUTED_VALUE"""),"https://drive.google.com/open?id=1nVM8n8zHwMihrktdkrp1SMFAISMWQPh3")</f>
        <v>https://drive.google.com/open?id=1nVM8n8zHwMihrktdkrp1SMFAISMWQPh3</v>
      </c>
      <c r="M6" s="22" t="str">
        <f>IFERROR(__xludf.DUMMYFUNCTION("""COMPUTED_VALUE"""),"https://drive.google.com/open?id=16kxxoRKzyYMnXX9WcQjINwavwF-UhTEN")</f>
        <v>https://drive.google.com/open?id=16kxxoRKzyYMnXX9WcQjINwavwF-UhTEN</v>
      </c>
      <c r="N6" s="21" t="str">
        <f>IFERROR(__xludf.DUMMYFUNCTION("""COMPUTED_VALUE"""),"Surendra Kumar Rout")</f>
        <v>Surendra Kumar Rout</v>
      </c>
      <c r="O6" s="21" t="str">
        <f>IFERROR(__xludf.DUMMYFUNCTION("""COMPUTED_VALUE"""),"Retired general manager at NTPC, Kaniha")</f>
        <v>Retired general manager at NTPC, Kaniha</v>
      </c>
      <c r="P6" s="21" t="str">
        <f>IFERROR(__xludf.DUMMYFUNCTION("""COMPUTED_VALUE"""),"Bhubaneswar ")</f>
        <v>Bhubaneswar </v>
      </c>
      <c r="Q6" s="21">
        <f>IFERROR(__xludf.DUMMYFUNCTION("""COMPUTED_VALUE"""),8.905157891E9)</f>
        <v>8905157891</v>
      </c>
      <c r="R6" s="21" t="str">
        <f>IFERROR(__xludf.DUMMYFUNCTION("""COMPUTED_VALUE"""),"Dr.Krishna Patro")</f>
        <v>Dr.Krishna Patro</v>
      </c>
      <c r="S6" s="21" t="str">
        <f>IFERROR(__xludf.DUMMYFUNCTION("""COMPUTED_VALUE"""),"Associate professor at Department of Ophthalmology, PGIMER Bhubaneswar ")</f>
        <v>Associate professor at Department of Ophthalmology, PGIMER Bhubaneswar </v>
      </c>
      <c r="T6" s="21" t="str">
        <f>IFERROR(__xludf.DUMMYFUNCTION("""COMPUTED_VALUE"""),"Bhubaneswar ")</f>
        <v>Bhubaneswar </v>
      </c>
      <c r="U6" s="21">
        <f>IFERROR(__xludf.DUMMYFUNCTION("""COMPUTED_VALUE"""),8.905157891E9)</f>
        <v>8905157891</v>
      </c>
      <c r="V6" s="21">
        <f>IFERROR(__xludf.DUMMYFUNCTION("""COMPUTED_VALUE"""),2.0)</f>
        <v>2</v>
      </c>
      <c r="W6" s="21" t="str">
        <f>IFERROR(__xludf.DUMMYFUNCTION("""COMPUTED_VALUE"""),"Surendra Kumar Rout")</f>
        <v>Surendra Kumar Rout</v>
      </c>
      <c r="X6" s="21" t="str">
        <f>IFERROR(__xludf.DUMMYFUNCTION("""COMPUTED_VALUE"""),"Father")</f>
        <v>Father</v>
      </c>
      <c r="Y6" s="21" t="str">
        <f>IFERROR(__xludf.DUMMYFUNCTION("""COMPUTED_VALUE"""),"Dr.Krishna Patro")</f>
        <v>Dr.Krishna Patro</v>
      </c>
      <c r="Z6" s="21" t="str">
        <f>IFERROR(__xludf.DUMMYFUNCTION("""COMPUTED_VALUE"""),"Mother")</f>
        <v>Mother</v>
      </c>
      <c r="AA6" s="21" t="str">
        <f>IFERROR(__xludf.DUMMYFUNCTION("""COMPUTED_VALUE"""),"Non-Veg")</f>
        <v>Non-Veg</v>
      </c>
      <c r="AB6" s="21" t="str">
        <f>IFERROR(__xludf.DUMMYFUNCTION("""COMPUTED_VALUE"""),"Non-Veg")</f>
        <v>Non-Veg</v>
      </c>
      <c r="AC6" s="21" t="str">
        <f>IFERROR(__xludf.DUMMYFUNCTION("""COMPUTED_VALUE"""),"Non-Veg")</f>
        <v>Non-Veg</v>
      </c>
      <c r="AD6" s="21" t="str">
        <f>IFERROR(__xludf.DUMMYFUNCTION("""COMPUTED_VALUE"""),"Bus Drop Service not needed")</f>
        <v>Bus Drop Service not needed</v>
      </c>
      <c r="AE6" s="21">
        <f>IFERROR(__xludf.DUMMYFUNCTION("""COMPUTED_VALUE"""),0.0)</f>
        <v>0</v>
      </c>
    </row>
    <row r="7" ht="22.5" customHeight="1">
      <c r="A7" s="18">
        <f>IFERROR(__xludf.DUMMYFUNCTION("""COMPUTED_VALUE"""),46266.935814675926)</f>
        <v>46266.93581</v>
      </c>
      <c r="B7" s="21" t="str">
        <f>IFERROR(__xludf.DUMMYFUNCTION("""COMPUTED_VALUE"""),"chongtham.mbbs-2020@aiimskalyani.edu.in")</f>
        <v>chongtham.mbbs-2020@aiimskalyani.edu.in</v>
      </c>
      <c r="C7" s="21" t="str">
        <f>IFERROR(__xludf.DUMMYFUNCTION("""COMPUTED_VALUE"""),"CHONGTHAM PARITIYA SINGH")</f>
        <v>CHONGTHAM PARITIYA SINGH</v>
      </c>
      <c r="D7" s="21">
        <f>IFERROR(__xludf.DUMMYFUNCTION("""COMPUTED_VALUE"""),2.0200188E7)</f>
        <v>20200188</v>
      </c>
      <c r="E7" s="21" t="str">
        <f>IFERROR(__xludf.DUMMYFUNCTION("""COMPUTED_VALUE"""),"MBBS 2020")</f>
        <v>MBBS 2020</v>
      </c>
      <c r="F7" s="21">
        <f>IFERROR(__xludf.DUMMYFUNCTION("""COMPUTED_VALUE"""),7.011342677E9)</f>
        <v>7011342677</v>
      </c>
      <c r="G7" s="21" t="str">
        <f>IFERROR(__xludf.DUMMYFUNCTION("""COMPUTED_VALUE"""),"chongtham.mbbs-2020@aiimskalyani.edu.in")</f>
        <v>chongtham.mbbs-2020@aiimskalyani.edu.in</v>
      </c>
      <c r="H7" s="21" t="str">
        <f>IFERROR(__xludf.DUMMYFUNCTION("""COMPUTED_VALUE"""),"Yes")</f>
        <v>Yes</v>
      </c>
      <c r="I7" s="21" t="str">
        <f>IFERROR(__xludf.DUMMYFUNCTION("""COMPUTED_VALUE"""),"Reading books, Watching anime")</f>
        <v>Reading books, Watching anime</v>
      </c>
      <c r="J7" s="21" t="str">
        <f>IFERROR(__xludf.DUMMYFUNCTION("""COMPUTED_VALUE"""),"Participated in and hosted multiple Quiz events")</f>
        <v>Participated in and hosted multiple Quiz events</v>
      </c>
      <c r="K7" s="21" t="str">
        <f>IFERROR(__xludf.DUMMYFUNCTION("""COMPUTED_VALUE"""),"Imphal, Manipur")</f>
        <v>Imphal, Manipur</v>
      </c>
      <c r="L7" s="22" t="str">
        <f>IFERROR(__xludf.DUMMYFUNCTION("""COMPUTED_VALUE"""),"https://drive.google.com/open?id=1N44T7YnTBgmkiTbItQKtEUNpjEDd0EUh")</f>
        <v>https://drive.google.com/open?id=1N44T7YnTBgmkiTbItQKtEUNpjEDd0EUh</v>
      </c>
      <c r="M7" s="22" t="str">
        <f>IFERROR(__xludf.DUMMYFUNCTION("""COMPUTED_VALUE"""),"https://drive.google.com/open?id=17f6tVYwvx4UzQXlhJ9Z6B_eDtJe69uqQ")</f>
        <v>https://drive.google.com/open?id=17f6tVYwvx4UzQXlhJ9Z6B_eDtJe69uqQ</v>
      </c>
      <c r="N7" s="21" t="str">
        <f>IFERROR(__xludf.DUMMYFUNCTION("""COMPUTED_VALUE"""),"Chongtham Pureihanba Singh ")</f>
        <v>Chongtham Pureihanba Singh </v>
      </c>
      <c r="O7" s="21" t="str">
        <f>IFERROR(__xludf.DUMMYFUNCTION("""COMPUTED_VALUE"""),"Assistant Director, FSL Delhi")</f>
        <v>Assistant Director, FSL Delhi</v>
      </c>
      <c r="P7" s="21" t="str">
        <f>IFERROR(__xludf.DUMMYFUNCTION("""COMPUTED_VALUE"""),"Rohini, Delhi")</f>
        <v>Rohini, Delhi</v>
      </c>
      <c r="Q7" s="21">
        <f>IFERROR(__xludf.DUMMYFUNCTION("""COMPUTED_VALUE"""),9.717515666E9)</f>
        <v>9717515666</v>
      </c>
      <c r="R7" s="21" t="str">
        <f>IFERROR(__xludf.DUMMYFUNCTION("""COMPUTED_VALUE"""),"Chongtham Lenjibala Devi")</f>
        <v>Chongtham Lenjibala Devi</v>
      </c>
      <c r="S7" s="21" t="str">
        <f>IFERROR(__xludf.DUMMYFUNCTION("""COMPUTED_VALUE"""),"Homemaker")</f>
        <v>Homemaker</v>
      </c>
      <c r="T7" s="21" t="str">
        <f>IFERROR(__xludf.DUMMYFUNCTION("""COMPUTED_VALUE"""),"Rohini, Delhi")</f>
        <v>Rohini, Delhi</v>
      </c>
      <c r="U7" s="21">
        <f>IFERROR(__xludf.DUMMYFUNCTION("""COMPUTED_VALUE"""),9.968443102E9)</f>
        <v>9968443102</v>
      </c>
      <c r="V7" s="21">
        <f>IFERROR(__xludf.DUMMYFUNCTION("""COMPUTED_VALUE"""),2.0)</f>
        <v>2</v>
      </c>
      <c r="W7" s="21" t="str">
        <f>IFERROR(__xludf.DUMMYFUNCTION("""COMPUTED_VALUE"""),"Chongtham Pureihanba Singh ")</f>
        <v>Chongtham Pureihanba Singh </v>
      </c>
      <c r="X7" s="21" t="str">
        <f>IFERROR(__xludf.DUMMYFUNCTION("""COMPUTED_VALUE"""),"Father")</f>
        <v>Father</v>
      </c>
      <c r="Y7" s="21" t="str">
        <f>IFERROR(__xludf.DUMMYFUNCTION("""COMPUTED_VALUE"""),"Sreeja Sarkar")</f>
        <v>Sreeja Sarkar</v>
      </c>
      <c r="Z7" s="21" t="str">
        <f>IFERROR(__xludf.DUMMYFUNCTION("""COMPUTED_VALUE"""),"Cousin")</f>
        <v>Cousin</v>
      </c>
      <c r="AA7" s="21" t="str">
        <f>IFERROR(__xludf.DUMMYFUNCTION("""COMPUTED_VALUE"""),"Non-Veg")</f>
        <v>Non-Veg</v>
      </c>
      <c r="AB7" s="21" t="str">
        <f>IFERROR(__xludf.DUMMYFUNCTION("""COMPUTED_VALUE"""),"Non-Veg")</f>
        <v>Non-Veg</v>
      </c>
      <c r="AC7" s="21" t="str">
        <f>IFERROR(__xludf.DUMMYFUNCTION("""COMPUTED_VALUE"""),"Non-Veg")</f>
        <v>Non-Veg</v>
      </c>
      <c r="AD7" s="21" t="str">
        <f>IFERROR(__xludf.DUMMYFUNCTION("""COMPUTED_VALUE"""),"Bus Drop Service not needed")</f>
        <v>Bus Drop Service not needed</v>
      </c>
      <c r="AE7" s="21">
        <f>IFERROR(__xludf.DUMMYFUNCTION("""COMPUTED_VALUE"""),0.0)</f>
        <v>0</v>
      </c>
    </row>
    <row r="8" ht="22.5" customHeight="1">
      <c r="A8" s="18">
        <f>IFERROR(__xludf.DUMMYFUNCTION("""COMPUTED_VALUE"""),46266.86402688657)</f>
        <v>46266.86403</v>
      </c>
      <c r="B8" s="21" t="str">
        <f>IFERROR(__xludf.DUMMYFUNCTION("""COMPUTED_VALUE"""),"sanandaavidipta@gmail.com")</f>
        <v>sanandaavidipta@gmail.com</v>
      </c>
      <c r="C8" s="21" t="str">
        <f>IFERROR(__xludf.DUMMYFUNCTION("""COMPUTED_VALUE"""),"SANANDA DAS")</f>
        <v>SANANDA DAS</v>
      </c>
      <c r="D8" s="21">
        <f>IFERROR(__xludf.DUMMYFUNCTION("""COMPUTED_VALUE"""),2.0210244E7)</f>
        <v>20210244</v>
      </c>
      <c r="E8" s="21" t="str">
        <f>IFERROR(__xludf.DUMMYFUNCTION("""COMPUTED_VALUE"""),"B.Sc (Hons) Nursing 2021")</f>
        <v>B.Sc (Hons) Nursing 2021</v>
      </c>
      <c r="F8" s="21">
        <f>IFERROR(__xludf.DUMMYFUNCTION("""COMPUTED_VALUE"""),9.330715505E9)</f>
        <v>9330715505</v>
      </c>
      <c r="G8" s="21" t="str">
        <f>IFERROR(__xludf.DUMMYFUNCTION("""COMPUTED_VALUE"""),"sanandaavidipta@gmail.com")</f>
        <v>sanandaavidipta@gmail.com</v>
      </c>
      <c r="H8" s="21" t="str">
        <f>IFERROR(__xludf.DUMMYFUNCTION("""COMPUTED_VALUE"""),"Yes")</f>
        <v>Yes</v>
      </c>
      <c r="I8" s="21" t="str">
        <f>IFERROR(__xludf.DUMMYFUNCTION("""COMPUTED_VALUE"""),"Listening music ")</f>
        <v>Listening music </v>
      </c>
      <c r="J8" s="21"/>
      <c r="K8" s="21" t="str">
        <f>IFERROR(__xludf.DUMMYFUNCTION("""COMPUTED_VALUE"""),"TARAKESWAR ")</f>
        <v>TARAKESWAR </v>
      </c>
      <c r="L8" s="22" t="str">
        <f>IFERROR(__xludf.DUMMYFUNCTION("""COMPUTED_VALUE"""),"https://drive.google.com/open?id=1q7vxH_QYaEU34MHppSGzd3NaWZVy8P2T")</f>
        <v>https://drive.google.com/open?id=1q7vxH_QYaEU34MHppSGzd3NaWZVy8P2T</v>
      </c>
      <c r="M8" s="22" t="str">
        <f>IFERROR(__xludf.DUMMYFUNCTION("""COMPUTED_VALUE"""),"https://drive.google.com/open?id=1X-UOXjb8Wn9jTSc3KAMcoMLGo_4sEAiO")</f>
        <v>https://drive.google.com/open?id=1X-UOXjb8Wn9jTSc3KAMcoMLGo_4sEAiO</v>
      </c>
      <c r="N8" s="21" t="str">
        <f>IFERROR(__xludf.DUMMYFUNCTION("""COMPUTED_VALUE"""),"Sushanta Das ")</f>
        <v>Sushanta Das </v>
      </c>
      <c r="O8" s="21" t="str">
        <f>IFERROR(__xludf.DUMMYFUNCTION("""COMPUTED_VALUE"""),"Retired Army person ")</f>
        <v>Retired Army person </v>
      </c>
      <c r="P8" s="21" t="str">
        <f>IFERROR(__xludf.DUMMYFUNCTION("""COMPUTED_VALUE"""),"TARAKESWAR ")</f>
        <v>TARAKESWAR </v>
      </c>
      <c r="Q8" s="21">
        <f>IFERROR(__xludf.DUMMYFUNCTION("""COMPUTED_VALUE"""),6.284416397E9)</f>
        <v>6284416397</v>
      </c>
      <c r="R8" s="21" t="str">
        <f>IFERROR(__xludf.DUMMYFUNCTION("""COMPUTED_VALUE"""),"Piyali Das")</f>
        <v>Piyali Das</v>
      </c>
      <c r="S8" s="21" t="str">
        <f>IFERROR(__xludf.DUMMYFUNCTION("""COMPUTED_VALUE"""),"House wife ")</f>
        <v>House wife </v>
      </c>
      <c r="T8" s="21" t="str">
        <f>IFERROR(__xludf.DUMMYFUNCTION("""COMPUTED_VALUE"""),"TARAKESWAR ")</f>
        <v>TARAKESWAR </v>
      </c>
      <c r="U8" s="21">
        <f>IFERROR(__xludf.DUMMYFUNCTION("""COMPUTED_VALUE"""),8.910037049E9)</f>
        <v>8910037049</v>
      </c>
      <c r="V8" s="21">
        <f>IFERROR(__xludf.DUMMYFUNCTION("""COMPUTED_VALUE"""),2.0)</f>
        <v>2</v>
      </c>
      <c r="W8" s="21" t="str">
        <f>IFERROR(__xludf.DUMMYFUNCTION("""COMPUTED_VALUE"""),"Sushanta Das ")</f>
        <v>Sushanta Das </v>
      </c>
      <c r="X8" s="21" t="str">
        <f>IFERROR(__xludf.DUMMYFUNCTION("""COMPUTED_VALUE"""),"Father ")</f>
        <v>Father </v>
      </c>
      <c r="Y8" s="21" t="str">
        <f>IFERROR(__xludf.DUMMYFUNCTION("""COMPUTED_VALUE"""),"Piyali Das ")</f>
        <v>Piyali Das </v>
      </c>
      <c r="Z8" s="21" t="str">
        <f>IFERROR(__xludf.DUMMYFUNCTION("""COMPUTED_VALUE"""),"Mother ")</f>
        <v>Mother </v>
      </c>
      <c r="AA8" s="21" t="str">
        <f>IFERROR(__xludf.DUMMYFUNCTION("""COMPUTED_VALUE"""),"Non-Veg")</f>
        <v>Non-Veg</v>
      </c>
      <c r="AB8" s="21" t="str">
        <f>IFERROR(__xludf.DUMMYFUNCTION("""COMPUTED_VALUE"""),"Non-Veg")</f>
        <v>Non-Veg</v>
      </c>
      <c r="AC8" s="21" t="str">
        <f>IFERROR(__xludf.DUMMYFUNCTION("""COMPUTED_VALUE"""),"Non-Veg")</f>
        <v>Non-Veg</v>
      </c>
      <c r="AD8" s="21" t="str">
        <f>IFERROR(__xludf.DUMMYFUNCTION("""COMPUTED_VALUE"""),"Drop at Kalyani Railway Station")</f>
        <v>Drop at Kalyani Railway Station</v>
      </c>
      <c r="AE8" s="21">
        <f>IFERROR(__xludf.DUMMYFUNCTION("""COMPUTED_VALUE"""),3.0)</f>
        <v>3</v>
      </c>
    </row>
    <row r="9" ht="22.5" customHeight="1">
      <c r="A9" s="18">
        <f>IFERROR(__xludf.DUMMYFUNCTION("""COMPUTED_VALUE"""),46266.66389927083)</f>
        <v>46266.6639</v>
      </c>
      <c r="B9" s="21" t="str">
        <f>IFERROR(__xludf.DUMMYFUNCTION("""COMPUTED_VALUE"""),"mobina.bscnursing-2021@aiimskalyani.edu.in")</f>
        <v>mobina.bscnursing-2021@aiimskalyani.edu.in</v>
      </c>
      <c r="C9" s="21" t="str">
        <f>IFERROR(__xludf.DUMMYFUNCTION("""COMPUTED_VALUE"""),"MOBINA PARVEEN ")</f>
        <v>MOBINA PARVEEN </v>
      </c>
      <c r="D9" s="21">
        <f>IFERROR(__xludf.DUMMYFUNCTION("""COMPUTED_VALUE"""),2.0210224E7)</f>
        <v>20210224</v>
      </c>
      <c r="E9" s="21" t="str">
        <f>IFERROR(__xludf.DUMMYFUNCTION("""COMPUTED_VALUE"""),"B.Sc (Hons) Nursing 2021")</f>
        <v>B.Sc (Hons) Nursing 2021</v>
      </c>
      <c r="F9" s="21">
        <f>IFERROR(__xludf.DUMMYFUNCTION("""COMPUTED_VALUE"""),9.593972644E9)</f>
        <v>9593972644</v>
      </c>
      <c r="G9" s="21" t="str">
        <f>IFERROR(__xludf.DUMMYFUNCTION("""COMPUTED_VALUE"""),"mobinaparveen12@gmail.com")</f>
        <v>mobinaparveen12@gmail.com</v>
      </c>
      <c r="H9" s="21" t="str">
        <f>IFERROR(__xludf.DUMMYFUNCTION("""COMPUTED_VALUE"""),"Yes")</f>
        <v>Yes</v>
      </c>
      <c r="I9" s="21" t="str">
        <f>IFERROR(__xludf.DUMMYFUNCTION("""COMPUTED_VALUE"""),"Cooking ")</f>
        <v>Cooking </v>
      </c>
      <c r="J9" s="21" t="str">
        <f>IFERROR(__xludf.DUMMYFUNCTION("""COMPUTED_VALUE"""),"Work as a organiser in poster competition ")</f>
        <v>Work as a organiser in poster competition </v>
      </c>
      <c r="K9" s="21" t="str">
        <f>IFERROR(__xludf.DUMMYFUNCTION("""COMPUTED_VALUE"""),"West bengal ")</f>
        <v>West bengal </v>
      </c>
      <c r="L9" s="22" t="str">
        <f>IFERROR(__xludf.DUMMYFUNCTION("""COMPUTED_VALUE"""),"https://drive.google.com/open?id=1PrxEnyumEcEKeHNEIieeKLWD7GBxKFFZ")</f>
        <v>https://drive.google.com/open?id=1PrxEnyumEcEKeHNEIieeKLWD7GBxKFFZ</v>
      </c>
      <c r="M9" s="22" t="str">
        <f>IFERROR(__xludf.DUMMYFUNCTION("""COMPUTED_VALUE"""),"https://drive.google.com/open?id=1idiuvmOFbXcY0TIpPj8RQpAiwxjxYWvp")</f>
        <v>https://drive.google.com/open?id=1idiuvmOFbXcY0TIpPj8RQpAiwxjxYWvp</v>
      </c>
      <c r="N9" s="21" t="str">
        <f>IFERROR(__xludf.DUMMYFUNCTION("""COMPUTED_VALUE"""),"Sk mahammad ali")</f>
        <v>Sk mahammad ali</v>
      </c>
      <c r="O9" s="21" t="str">
        <f>IFERROR(__xludf.DUMMYFUNCTION("""COMPUTED_VALUE"""),"Farmer")</f>
        <v>Farmer</v>
      </c>
      <c r="P9" s="21" t="str">
        <f>IFERROR(__xludf.DUMMYFUNCTION("""COMPUTED_VALUE"""),"West Bengal ")</f>
        <v>West Bengal </v>
      </c>
      <c r="Q9" s="21">
        <f>IFERROR(__xludf.DUMMYFUNCTION("""COMPUTED_VALUE"""),9.735127557E9)</f>
        <v>9735127557</v>
      </c>
      <c r="R9" s="21" t="str">
        <f>IFERROR(__xludf.DUMMYFUNCTION("""COMPUTED_VALUE"""),"Jahuran bibi")</f>
        <v>Jahuran bibi</v>
      </c>
      <c r="S9" s="21" t="str">
        <f>IFERROR(__xludf.DUMMYFUNCTION("""COMPUTED_VALUE"""),"House wife")</f>
        <v>House wife</v>
      </c>
      <c r="T9" s="21" t="str">
        <f>IFERROR(__xludf.DUMMYFUNCTION("""COMPUTED_VALUE"""),"West Bengal ")</f>
        <v>West Bengal </v>
      </c>
      <c r="U9" s="21">
        <f>IFERROR(__xludf.DUMMYFUNCTION("""COMPUTED_VALUE"""),9.735127557E9)</f>
        <v>9735127557</v>
      </c>
      <c r="V9" s="21">
        <f>IFERROR(__xludf.DUMMYFUNCTION("""COMPUTED_VALUE"""),2.0)</f>
        <v>2</v>
      </c>
      <c r="W9" s="21" t="str">
        <f>IFERROR(__xludf.DUMMYFUNCTION("""COMPUTED_VALUE"""),"Sk Mahammad ali")</f>
        <v>Sk Mahammad ali</v>
      </c>
      <c r="X9" s="21" t="str">
        <f>IFERROR(__xludf.DUMMYFUNCTION("""COMPUTED_VALUE"""),"Father")</f>
        <v>Father</v>
      </c>
      <c r="Y9" s="21" t="str">
        <f>IFERROR(__xludf.DUMMYFUNCTION("""COMPUTED_VALUE"""),"Mobina parveen")</f>
        <v>Mobina parveen</v>
      </c>
      <c r="Z9" s="21" t="str">
        <f>IFERROR(__xludf.DUMMYFUNCTION("""COMPUTED_VALUE"""),"Mother")</f>
        <v>Mother</v>
      </c>
      <c r="AA9" s="21" t="str">
        <f>IFERROR(__xludf.DUMMYFUNCTION("""COMPUTED_VALUE"""),"Non-Veg")</f>
        <v>Non-Veg</v>
      </c>
      <c r="AB9" s="21" t="str">
        <f>IFERROR(__xludf.DUMMYFUNCTION("""COMPUTED_VALUE"""),"Non-Veg")</f>
        <v>Non-Veg</v>
      </c>
      <c r="AC9" s="21" t="str">
        <f>IFERROR(__xludf.DUMMYFUNCTION("""COMPUTED_VALUE"""),"Non-Veg")</f>
        <v>Non-Veg</v>
      </c>
      <c r="AD9" s="21" t="str">
        <f>IFERROR(__xludf.DUMMYFUNCTION("""COMPUTED_VALUE"""),"Bus Drop Service not needed")</f>
        <v>Bus Drop Service not needed</v>
      </c>
      <c r="AE9" s="21">
        <f>IFERROR(__xludf.DUMMYFUNCTION("""COMPUTED_VALUE"""),0.0)</f>
        <v>0</v>
      </c>
    </row>
    <row r="10" ht="22.5" customHeight="1">
      <c r="A10" s="18">
        <f>IFERROR(__xludf.DUMMYFUNCTION("""COMPUTED_VALUE"""),46266.558665578705)</f>
        <v>46266.55867</v>
      </c>
      <c r="B10" s="21" t="str">
        <f>IFERROR(__xludf.DUMMYFUNCTION("""COMPUTED_VALUE"""),"zinadzidan04@gmail.com")</f>
        <v>zinadzidan04@gmail.com</v>
      </c>
      <c r="C10" s="21" t="str">
        <f>IFERROR(__xludf.DUMMYFUNCTION("""COMPUTED_VALUE"""),"Zinadin Zidan T K")</f>
        <v>Zinadin Zidan T K</v>
      </c>
      <c r="D10" s="21">
        <f>IFERROR(__xludf.DUMMYFUNCTION("""COMPUTED_VALUE"""),115.0)</f>
        <v>115</v>
      </c>
      <c r="E10" s="21" t="str">
        <f>IFERROR(__xludf.DUMMYFUNCTION("""COMPUTED_VALUE"""),"MBBS 2020")</f>
        <v>MBBS 2020</v>
      </c>
      <c r="F10" s="21">
        <f>IFERROR(__xludf.DUMMYFUNCTION("""COMPUTED_VALUE"""),9.633760376E9)</f>
        <v>9633760376</v>
      </c>
      <c r="G10" s="21" t="str">
        <f>IFERROR(__xludf.DUMMYFUNCTION("""COMPUTED_VALUE"""),"zinadzidan04@gmail.com")</f>
        <v>zinadzidan04@gmail.com</v>
      </c>
      <c r="H10" s="21" t="str">
        <f>IFERROR(__xludf.DUMMYFUNCTION("""COMPUTED_VALUE"""),"Yes")</f>
        <v>Yes</v>
      </c>
      <c r="I10" s="21" t="str">
        <f>IFERROR(__xludf.DUMMYFUNCTION("""COMPUTED_VALUE"""),"Sports, Arts, Music")</f>
        <v>Sports, Arts, Music</v>
      </c>
      <c r="J10" s="21" t="str">
        <f>IFERROR(__xludf.DUMMYFUNCTION("""COMPUTED_VALUE"""),"Football ")</f>
        <v>Football </v>
      </c>
      <c r="K10" s="21" t="str">
        <f>IFERROR(__xludf.DUMMYFUNCTION("""COMPUTED_VALUE"""),"Kerala")</f>
        <v>Kerala</v>
      </c>
      <c r="L10" s="22" t="str">
        <f>IFERROR(__xludf.DUMMYFUNCTION("""COMPUTED_VALUE"""),"https://drive.google.com/open?id=1M-D4W3wo5ygIcbAyfOurXfqgDnkj9rSQ")</f>
        <v>https://drive.google.com/open?id=1M-D4W3wo5ygIcbAyfOurXfqgDnkj9rSQ</v>
      </c>
      <c r="M10" s="22" t="str">
        <f>IFERROR(__xludf.DUMMYFUNCTION("""COMPUTED_VALUE"""),"https://drive.google.com/open?id=1989rqVJ9nuAXRtx40x4Jix1B8K1W6Ps5")</f>
        <v>https://drive.google.com/open?id=1989rqVJ9nuAXRtx40x4Jix1B8K1W6Ps5</v>
      </c>
      <c r="N10" s="21" t="str">
        <f>IFERROR(__xludf.DUMMYFUNCTION("""COMPUTED_VALUE"""),"Hamza T K")</f>
        <v>Hamza T K</v>
      </c>
      <c r="O10" s="21" t="str">
        <f>IFERROR(__xludf.DUMMYFUNCTION("""COMPUTED_VALUE"""),"Doctor")</f>
        <v>Doctor</v>
      </c>
      <c r="P10" s="21" t="str">
        <f>IFERROR(__xludf.DUMMYFUNCTION("""COMPUTED_VALUE"""),"Pattambi, Palakkad , Kerala")</f>
        <v>Pattambi, Palakkad , Kerala</v>
      </c>
      <c r="Q10" s="21">
        <f>IFERROR(__xludf.DUMMYFUNCTION("""COMPUTED_VALUE"""),9.567736799E9)</f>
        <v>9567736799</v>
      </c>
      <c r="R10" s="21" t="str">
        <f>IFERROR(__xludf.DUMMYFUNCTION("""COMPUTED_VALUE"""),"Rajeens K K")</f>
        <v>Rajeens K K</v>
      </c>
      <c r="S10" s="21" t="str">
        <f>IFERROR(__xludf.DUMMYFUNCTION("""COMPUTED_VALUE"""),"Administrator")</f>
        <v>Administrator</v>
      </c>
      <c r="T10" s="21" t="str">
        <f>IFERROR(__xludf.DUMMYFUNCTION("""COMPUTED_VALUE"""),"Pattambi, Palakkad , Kerala")</f>
        <v>Pattambi, Palakkad , Kerala</v>
      </c>
      <c r="U10" s="21">
        <f>IFERROR(__xludf.DUMMYFUNCTION("""COMPUTED_VALUE"""),9.746380679E9)</f>
        <v>9746380679</v>
      </c>
      <c r="V10" s="21">
        <f>IFERROR(__xludf.DUMMYFUNCTION("""COMPUTED_VALUE"""),2.0)</f>
        <v>2</v>
      </c>
      <c r="W10" s="21" t="str">
        <f>IFERROR(__xludf.DUMMYFUNCTION("""COMPUTED_VALUE"""),"Hamza T K")</f>
        <v>Hamza T K</v>
      </c>
      <c r="X10" s="21" t="str">
        <f>IFERROR(__xludf.DUMMYFUNCTION("""COMPUTED_VALUE"""),"Father")</f>
        <v>Father</v>
      </c>
      <c r="Y10" s="21" t="str">
        <f>IFERROR(__xludf.DUMMYFUNCTION("""COMPUTED_VALUE"""),"Rajeena  K K")</f>
        <v>Rajeena  K K</v>
      </c>
      <c r="Z10" s="21" t="str">
        <f>IFERROR(__xludf.DUMMYFUNCTION("""COMPUTED_VALUE"""),"Mother")</f>
        <v>Mother</v>
      </c>
      <c r="AA10" s="21" t="str">
        <f>IFERROR(__xludf.DUMMYFUNCTION("""COMPUTED_VALUE"""),"Non-Veg")</f>
        <v>Non-Veg</v>
      </c>
      <c r="AB10" s="21" t="str">
        <f>IFERROR(__xludf.DUMMYFUNCTION("""COMPUTED_VALUE"""),"Non-Veg")</f>
        <v>Non-Veg</v>
      </c>
      <c r="AC10" s="21" t="str">
        <f>IFERROR(__xludf.DUMMYFUNCTION("""COMPUTED_VALUE"""),"Non-Veg")</f>
        <v>Non-Veg</v>
      </c>
      <c r="AD10" s="21" t="str">
        <f>IFERROR(__xludf.DUMMYFUNCTION("""COMPUTED_VALUE"""),"Bus Drop Service not needed")</f>
        <v>Bus Drop Service not needed</v>
      </c>
      <c r="AE10" s="21">
        <f>IFERROR(__xludf.DUMMYFUNCTION("""COMPUTED_VALUE"""),0.0)</f>
        <v>0</v>
      </c>
    </row>
    <row r="11" ht="22.5" customHeight="1">
      <c r="A11" s="18">
        <f>IFERROR(__xludf.DUMMYFUNCTION("""COMPUTED_VALUE"""),46266.481394965274)</f>
        <v>46266.48139</v>
      </c>
      <c r="B11" s="21" t="str">
        <f>IFERROR(__xludf.DUMMYFUNCTION("""COMPUTED_VALUE"""),"siddharth.mbbs-2020@aiimskalyani.edu.in")</f>
        <v>siddharth.mbbs-2020@aiimskalyani.edu.in</v>
      </c>
      <c r="C11" s="21" t="str">
        <f>IFERROR(__xludf.DUMMYFUNCTION("""COMPUTED_VALUE"""),"VADDE SIDDHARTH ROY")</f>
        <v>VADDE SIDDHARTH ROY</v>
      </c>
      <c r="D11" s="21" t="str">
        <f>IFERROR(__xludf.DUMMYFUNCTION("""COMPUTED_VALUE"""),"109/ 202001159")</f>
        <v>109/ 202001159</v>
      </c>
      <c r="E11" s="21" t="str">
        <f>IFERROR(__xludf.DUMMYFUNCTION("""COMPUTED_VALUE"""),"MBBS 2020")</f>
        <v>MBBS 2020</v>
      </c>
      <c r="F11" s="21">
        <f>IFERROR(__xludf.DUMMYFUNCTION("""COMPUTED_VALUE"""),9.866469739E9)</f>
        <v>9866469739</v>
      </c>
      <c r="G11" s="21" t="str">
        <f>IFERROR(__xludf.DUMMYFUNCTION("""COMPUTED_VALUE"""),"imsidroy1@gmail.com")</f>
        <v>imsidroy1@gmail.com</v>
      </c>
      <c r="H11" s="21" t="str">
        <f>IFERROR(__xludf.DUMMYFUNCTION("""COMPUTED_VALUE"""),"Yes")</f>
        <v>Yes</v>
      </c>
      <c r="I11" s="21"/>
      <c r="J11" s="21"/>
      <c r="K11" s="21" t="str">
        <f>IFERROR(__xludf.DUMMYFUNCTION("""COMPUTED_VALUE"""),"Visakhapatnam")</f>
        <v>Visakhapatnam</v>
      </c>
      <c r="L11" s="22" t="str">
        <f>IFERROR(__xludf.DUMMYFUNCTION("""COMPUTED_VALUE"""),"https://drive.google.com/open?id=10xhv7vy3irtFqB4uwlalaHDfwFIwiAco")</f>
        <v>https://drive.google.com/open?id=10xhv7vy3irtFqB4uwlalaHDfwFIwiAco</v>
      </c>
      <c r="M11" s="22" t="str">
        <f>IFERROR(__xludf.DUMMYFUNCTION("""COMPUTED_VALUE"""),"https://drive.google.com/open?id=1i3I0yBWBZAUnQQN5VFngO53ZQQxoBL9S")</f>
        <v>https://drive.google.com/open?id=1i3I0yBWBZAUnQQN5VFngO53ZQQxoBL9S</v>
      </c>
      <c r="N11" s="21" t="str">
        <f>IFERROR(__xludf.DUMMYFUNCTION("""COMPUTED_VALUE"""),"DR VC SEKHAR")</f>
        <v>DR VC SEKHAR</v>
      </c>
      <c r="O11" s="21" t="str">
        <f>IFERROR(__xludf.DUMMYFUNCTION("""COMPUTED_VALUE"""),"DOCTOR, ADDITIONAL PROFESSOR, FMT, AIIMS DEOGARH")</f>
        <v>DOCTOR, ADDITIONAL PROFESSOR, FMT, AIIMS DEOGARH</v>
      </c>
      <c r="P11" s="21" t="str">
        <f>IFERROR(__xludf.DUMMYFUNCTION("""COMPUTED_VALUE"""),"Deogarh")</f>
        <v>Deogarh</v>
      </c>
      <c r="Q11" s="21">
        <f>IFERROR(__xludf.DUMMYFUNCTION("""COMPUTED_VALUE"""),9.985360834E9)</f>
        <v>9985360834</v>
      </c>
      <c r="R11" s="21" t="str">
        <f>IFERROR(__xludf.DUMMYFUNCTION("""COMPUTED_VALUE"""),"VADDE SHILA ROY")</f>
        <v>VADDE SHILA ROY</v>
      </c>
      <c r="S11" s="21" t="str">
        <f>IFERROR(__xludf.DUMMYFUNCTION("""COMPUTED_VALUE"""),"HOUSEWIFE")</f>
        <v>HOUSEWIFE</v>
      </c>
      <c r="T11" s="21" t="str">
        <f>IFERROR(__xludf.DUMMYFUNCTION("""COMPUTED_VALUE"""),"Kolkata")</f>
        <v>Kolkata</v>
      </c>
      <c r="U11" s="21">
        <f>IFERROR(__xludf.DUMMYFUNCTION("""COMPUTED_VALUE"""),9.392563015E9)</f>
        <v>9392563015</v>
      </c>
      <c r="V11" s="21">
        <f>IFERROR(__xludf.DUMMYFUNCTION("""COMPUTED_VALUE"""),2.0)</f>
        <v>2</v>
      </c>
      <c r="W11" s="21" t="str">
        <f>IFERROR(__xludf.DUMMYFUNCTION("""COMPUTED_VALUE"""),"Dr VC Sekhar")</f>
        <v>Dr VC Sekhar</v>
      </c>
      <c r="X11" s="21" t="str">
        <f>IFERROR(__xludf.DUMMYFUNCTION("""COMPUTED_VALUE"""),"Father")</f>
        <v>Father</v>
      </c>
      <c r="Y11" s="21" t="str">
        <f>IFERROR(__xludf.DUMMYFUNCTION("""COMPUTED_VALUE"""),"V Shila Roy")</f>
        <v>V Shila Roy</v>
      </c>
      <c r="Z11" s="21" t="str">
        <f>IFERROR(__xludf.DUMMYFUNCTION("""COMPUTED_VALUE"""),"Mother")</f>
        <v>Mother</v>
      </c>
      <c r="AA11" s="21" t="str">
        <f>IFERROR(__xludf.DUMMYFUNCTION("""COMPUTED_VALUE"""),"Non-Veg")</f>
        <v>Non-Veg</v>
      </c>
      <c r="AB11" s="21" t="str">
        <f>IFERROR(__xludf.DUMMYFUNCTION("""COMPUTED_VALUE"""),"Non-Veg")</f>
        <v>Non-Veg</v>
      </c>
      <c r="AC11" s="21" t="str">
        <f>IFERROR(__xludf.DUMMYFUNCTION("""COMPUTED_VALUE"""),"Non-Veg")</f>
        <v>Non-Veg</v>
      </c>
      <c r="AD11" s="21" t="str">
        <f>IFERROR(__xludf.DUMMYFUNCTION("""COMPUTED_VALUE"""),"Bus Drop Service not needed")</f>
        <v>Bus Drop Service not needed</v>
      </c>
      <c r="AE11" s="21">
        <f>IFERROR(__xludf.DUMMYFUNCTION("""COMPUTED_VALUE"""),0.0)</f>
        <v>0</v>
      </c>
    </row>
    <row r="12" ht="22.5" customHeight="1">
      <c r="A12" s="18">
        <f>IFERROR(__xludf.DUMMYFUNCTION("""COMPUTED_VALUE"""),46266.46422628472)</f>
        <v>46266.46423</v>
      </c>
      <c r="B12" s="21" t="str">
        <f>IFERROR(__xludf.DUMMYFUNCTION("""COMPUTED_VALUE"""),"sony.mbbs-2020@aiimskalyani.edu.in")</f>
        <v>sony.mbbs-2020@aiimskalyani.edu.in</v>
      </c>
      <c r="C12" s="21" t="str">
        <f>IFERROR(__xludf.DUMMYFUNCTION("""COMPUTED_VALUE"""),"SONY KHATOON ")</f>
        <v>SONY KHATOON </v>
      </c>
      <c r="D12" s="21" t="str">
        <f>IFERROR(__xludf.DUMMYFUNCTION("""COMPUTED_VALUE"""),"97/202001147")</f>
        <v>97/202001147</v>
      </c>
      <c r="E12" s="21" t="str">
        <f>IFERROR(__xludf.DUMMYFUNCTION("""COMPUTED_VALUE"""),"MBBS 2020")</f>
        <v>MBBS 2020</v>
      </c>
      <c r="F12" s="21">
        <f>IFERROR(__xludf.DUMMYFUNCTION("""COMPUTED_VALUE"""),8.709565947E9)</f>
        <v>8709565947</v>
      </c>
      <c r="G12" s="21" t="str">
        <f>IFERROR(__xludf.DUMMYFUNCTION("""COMPUTED_VALUE"""),"sony.mbbs-2020@aiimskalyani.edu.in")</f>
        <v>sony.mbbs-2020@aiimskalyani.edu.in</v>
      </c>
      <c r="H12" s="21" t="str">
        <f>IFERROR(__xludf.DUMMYFUNCTION("""COMPUTED_VALUE"""),"Yes")</f>
        <v>Yes</v>
      </c>
      <c r="I12" s="21" t="str">
        <f>IFERROR(__xludf.DUMMYFUNCTION("""COMPUTED_VALUE"""),"Gyming and dance")</f>
        <v>Gyming and dance</v>
      </c>
      <c r="J12" s="21" t="str">
        <f>IFERROR(__xludf.DUMMYFUNCTION("""COMPUTED_VALUE"""),"Marathons ")</f>
        <v>Marathons </v>
      </c>
      <c r="K12" s="21" t="str">
        <f>IFERROR(__xludf.DUMMYFUNCTION("""COMPUTED_VALUE"""),"Siwan")</f>
        <v>Siwan</v>
      </c>
      <c r="L12" s="22" t="str">
        <f>IFERROR(__xludf.DUMMYFUNCTION("""COMPUTED_VALUE"""),"https://drive.google.com/open?id=1CZRSnWf_Tvwz_LZCA7mBxfN3PmHu60v-")</f>
        <v>https://drive.google.com/open?id=1CZRSnWf_Tvwz_LZCA7mBxfN3PmHu60v-</v>
      </c>
      <c r="M12" s="22" t="str">
        <f>IFERROR(__xludf.DUMMYFUNCTION("""COMPUTED_VALUE"""),"https://drive.google.com/open?id=1-0aJHuCjtlKlezrTUbLXkRpkdhAF4M-v")</f>
        <v>https://drive.google.com/open?id=1-0aJHuCjtlKlezrTUbLXkRpkdhAF4M-v</v>
      </c>
      <c r="N12" s="21" t="str">
        <f>IFERROR(__xludf.DUMMYFUNCTION("""COMPUTED_VALUE"""),"MD Aslam ")</f>
        <v>MD Aslam </v>
      </c>
      <c r="O12" s="21" t="str">
        <f>IFERROR(__xludf.DUMMYFUNCTION("""COMPUTED_VALUE"""),"Business man")</f>
        <v>Business man</v>
      </c>
      <c r="P12" s="21" t="str">
        <f>IFERROR(__xludf.DUMMYFUNCTION("""COMPUTED_VALUE"""),"Siwan")</f>
        <v>Siwan</v>
      </c>
      <c r="Q12" s="21">
        <f>IFERROR(__xludf.DUMMYFUNCTION("""COMPUTED_VALUE"""),8.084542094E9)</f>
        <v>8084542094</v>
      </c>
      <c r="R12" s="21" t="str">
        <f>IFERROR(__xludf.DUMMYFUNCTION("""COMPUTED_VALUE"""),"Husan tara khatoon")</f>
        <v>Husan tara khatoon</v>
      </c>
      <c r="S12" s="21" t="str">
        <f>IFERROR(__xludf.DUMMYFUNCTION("""COMPUTED_VALUE"""),"Housewife ")</f>
        <v>Housewife </v>
      </c>
      <c r="T12" s="21" t="str">
        <f>IFERROR(__xludf.DUMMYFUNCTION("""COMPUTED_VALUE"""),"Siwan ")</f>
        <v>Siwan </v>
      </c>
      <c r="U12" s="21">
        <f>IFERROR(__xludf.DUMMYFUNCTION("""COMPUTED_VALUE"""),7.739530495E9)</f>
        <v>7739530495</v>
      </c>
      <c r="V12" s="21">
        <f>IFERROR(__xludf.DUMMYFUNCTION("""COMPUTED_VALUE"""),2.0)</f>
        <v>2</v>
      </c>
      <c r="W12" s="21" t="str">
        <f>IFERROR(__xludf.DUMMYFUNCTION("""COMPUTED_VALUE"""),"MD Aslam ")</f>
        <v>MD Aslam </v>
      </c>
      <c r="X12" s="21" t="str">
        <f>IFERROR(__xludf.DUMMYFUNCTION("""COMPUTED_VALUE"""),"Father ")</f>
        <v>Father </v>
      </c>
      <c r="Y12" s="21" t="str">
        <f>IFERROR(__xludf.DUMMYFUNCTION("""COMPUTED_VALUE"""),"Husan tara khatoon ")</f>
        <v>Husan tara khatoon </v>
      </c>
      <c r="Z12" s="21" t="str">
        <f>IFERROR(__xludf.DUMMYFUNCTION("""COMPUTED_VALUE"""),"Mother ")</f>
        <v>Mother </v>
      </c>
      <c r="AA12" s="21" t="str">
        <f>IFERROR(__xludf.DUMMYFUNCTION("""COMPUTED_VALUE"""),"Non-Veg")</f>
        <v>Non-Veg</v>
      </c>
      <c r="AB12" s="21" t="str">
        <f>IFERROR(__xludf.DUMMYFUNCTION("""COMPUTED_VALUE"""),"Non-Veg")</f>
        <v>Non-Veg</v>
      </c>
      <c r="AC12" s="21" t="str">
        <f>IFERROR(__xludf.DUMMYFUNCTION("""COMPUTED_VALUE"""),"Non-Veg")</f>
        <v>Non-Veg</v>
      </c>
      <c r="AD12" s="21" t="str">
        <f>IFERROR(__xludf.DUMMYFUNCTION("""COMPUTED_VALUE"""),"Bus Drop Service not needed")</f>
        <v>Bus Drop Service not needed</v>
      </c>
      <c r="AE12" s="21">
        <f>IFERROR(__xludf.DUMMYFUNCTION("""COMPUTED_VALUE"""),0.0)</f>
        <v>0</v>
      </c>
    </row>
    <row r="13" ht="22.5" customHeight="1">
      <c r="A13" s="18">
        <f>IFERROR(__xludf.DUMMYFUNCTION("""COMPUTED_VALUE"""),46266.00153799768)</f>
        <v>46266.00154</v>
      </c>
      <c r="B13" s="21" t="str">
        <f>IFERROR(__xludf.DUMMYFUNCTION("""COMPUTED_VALUE"""),"tanmay.mbbs-2020@aiimskalyani.edu.in")</f>
        <v>tanmay.mbbs-2020@aiimskalyani.edu.in</v>
      </c>
      <c r="C13" s="21" t="str">
        <f>IFERROR(__xludf.DUMMYFUNCTION("""COMPUTED_VALUE"""),"TANMAY SAHA")</f>
        <v>TANMAY SAHA</v>
      </c>
      <c r="D13" s="21" t="str">
        <f>IFERROR(__xludf.DUMMYFUNCTION("""COMPUTED_VALUE"""),"105/202001155")</f>
        <v>105/202001155</v>
      </c>
      <c r="E13" s="21" t="str">
        <f>IFERROR(__xludf.DUMMYFUNCTION("""COMPUTED_VALUE"""),"MBBS 2020")</f>
        <v>MBBS 2020</v>
      </c>
      <c r="F13" s="21">
        <f>IFERROR(__xludf.DUMMYFUNCTION("""COMPUTED_VALUE"""),6.290905708E9)</f>
        <v>6290905708</v>
      </c>
      <c r="G13" s="21" t="str">
        <f>IFERROR(__xludf.DUMMYFUNCTION("""COMPUTED_VALUE"""),"tanmay.mbbs-2020@aiimskalyani.edu.in")</f>
        <v>tanmay.mbbs-2020@aiimskalyani.edu.in</v>
      </c>
      <c r="H13" s="21" t="str">
        <f>IFERROR(__xludf.DUMMYFUNCTION("""COMPUTED_VALUE"""),"Yes")</f>
        <v>Yes</v>
      </c>
      <c r="I13" s="21" t="str">
        <f>IFERROR(__xludf.DUMMYFUNCTION("""COMPUTED_VALUE"""),"Playing cricket and listening to songs ")</f>
        <v>Playing cricket and listening to songs </v>
      </c>
      <c r="J13" s="21" t="str">
        <f>IFERROR(__xludf.DUMMYFUNCTION("""COMPUTED_VALUE"""),"Cricket , football ")</f>
        <v>Cricket , football </v>
      </c>
      <c r="K13" s="21" t="str">
        <f>IFERROR(__xludf.DUMMYFUNCTION("""COMPUTED_VALUE"""),"Kolkata")</f>
        <v>Kolkata</v>
      </c>
      <c r="L13" s="22" t="str">
        <f>IFERROR(__xludf.DUMMYFUNCTION("""COMPUTED_VALUE"""),"https://drive.google.com/open?id=11goryPOB2TYIacdjkzHvRVM6d1KfI3y1")</f>
        <v>https://drive.google.com/open?id=11goryPOB2TYIacdjkzHvRVM6d1KfI3y1</v>
      </c>
      <c r="M13" s="22" t="str">
        <f>IFERROR(__xludf.DUMMYFUNCTION("""COMPUTED_VALUE"""),"https://drive.google.com/open?id=1FHcUgE3Nn-ylYv8bQf9lYQNBHDDDEIGg")</f>
        <v>https://drive.google.com/open?id=1FHcUgE3Nn-ylYv8bQf9lYQNBHDDDEIGg</v>
      </c>
      <c r="N13" s="21" t="str">
        <f>IFERROR(__xludf.DUMMYFUNCTION("""COMPUTED_VALUE"""),"Goutam Saha")</f>
        <v>Goutam Saha</v>
      </c>
      <c r="O13" s="21" t="str">
        <f>IFERROR(__xludf.DUMMYFUNCTION("""COMPUTED_VALUE"""),"Businessman ")</f>
        <v>Businessman </v>
      </c>
      <c r="P13" s="21" t="str">
        <f>IFERROR(__xludf.DUMMYFUNCTION("""COMPUTED_VALUE"""),"Kolkata")</f>
        <v>Kolkata</v>
      </c>
      <c r="Q13" s="21">
        <f>IFERROR(__xludf.DUMMYFUNCTION("""COMPUTED_VALUE"""),9.051969119E9)</f>
        <v>9051969119</v>
      </c>
      <c r="R13" s="21" t="str">
        <f>IFERROR(__xludf.DUMMYFUNCTION("""COMPUTED_VALUE"""),"Uma Saha")</f>
        <v>Uma Saha</v>
      </c>
      <c r="S13" s="21" t="str">
        <f>IFERROR(__xludf.DUMMYFUNCTION("""COMPUTED_VALUE"""),"Housewife")</f>
        <v>Housewife</v>
      </c>
      <c r="T13" s="21" t="str">
        <f>IFERROR(__xludf.DUMMYFUNCTION("""COMPUTED_VALUE"""),"Kolkata")</f>
        <v>Kolkata</v>
      </c>
      <c r="U13" s="21">
        <f>IFERROR(__xludf.DUMMYFUNCTION("""COMPUTED_VALUE"""),7.003264069E9)</f>
        <v>7003264069</v>
      </c>
      <c r="V13" s="21">
        <f>IFERROR(__xludf.DUMMYFUNCTION("""COMPUTED_VALUE"""),2.0)</f>
        <v>2</v>
      </c>
      <c r="W13" s="21" t="str">
        <f>IFERROR(__xludf.DUMMYFUNCTION("""COMPUTED_VALUE"""),"Goutam Saha")</f>
        <v>Goutam Saha</v>
      </c>
      <c r="X13" s="21" t="str">
        <f>IFERROR(__xludf.DUMMYFUNCTION("""COMPUTED_VALUE"""),"Father")</f>
        <v>Father</v>
      </c>
      <c r="Y13" s="21" t="str">
        <f>IFERROR(__xludf.DUMMYFUNCTION("""COMPUTED_VALUE"""),"Uma Saha")</f>
        <v>Uma Saha</v>
      </c>
      <c r="Z13" s="21" t="str">
        <f>IFERROR(__xludf.DUMMYFUNCTION("""COMPUTED_VALUE"""),"Mother")</f>
        <v>Mother</v>
      </c>
      <c r="AA13" s="21" t="str">
        <f>IFERROR(__xludf.DUMMYFUNCTION("""COMPUTED_VALUE"""),"Non-Veg")</f>
        <v>Non-Veg</v>
      </c>
      <c r="AB13" s="21" t="str">
        <f>IFERROR(__xludf.DUMMYFUNCTION("""COMPUTED_VALUE"""),"Non-Veg")</f>
        <v>Non-Veg</v>
      </c>
      <c r="AC13" s="21" t="str">
        <f>IFERROR(__xludf.DUMMYFUNCTION("""COMPUTED_VALUE"""),"Non-Veg")</f>
        <v>Non-Veg</v>
      </c>
      <c r="AD13" s="21" t="str">
        <f>IFERROR(__xludf.DUMMYFUNCTION("""COMPUTED_VALUE"""),"Bus Drop Service not needed")</f>
        <v>Bus Drop Service not needed</v>
      </c>
      <c r="AE13" s="21"/>
    </row>
    <row r="14" ht="22.5" customHeight="1">
      <c r="A14" s="18">
        <f>IFERROR(__xludf.DUMMYFUNCTION("""COMPUTED_VALUE"""),46265.99744195602)</f>
        <v>46265.99744</v>
      </c>
      <c r="B14" s="21" t="str">
        <f>IFERROR(__xludf.DUMMYFUNCTION("""COMPUTED_VALUE"""),"ambuj.mbbs-2020@aiimskalyani.edu.in")</f>
        <v>ambuj.mbbs-2020@aiimskalyani.edu.in</v>
      </c>
      <c r="C14" s="21" t="str">
        <f>IFERROR(__xludf.DUMMYFUNCTION("""COMPUTED_VALUE"""),"AMBUJ PANDEY ")</f>
        <v>AMBUJ PANDEY </v>
      </c>
      <c r="D14" s="21" t="str">
        <f>IFERROR(__xludf.DUMMYFUNCTION("""COMPUTED_VALUE"""),"12/20200162")</f>
        <v>12/20200162</v>
      </c>
      <c r="E14" s="21" t="str">
        <f>IFERROR(__xludf.DUMMYFUNCTION("""COMPUTED_VALUE"""),"MBBS 2020")</f>
        <v>MBBS 2020</v>
      </c>
      <c r="F14" s="21">
        <f>IFERROR(__xludf.DUMMYFUNCTION("""COMPUTED_VALUE"""),8.858150858E9)</f>
        <v>8858150858</v>
      </c>
      <c r="G14" s="21" t="str">
        <f>IFERROR(__xludf.DUMMYFUNCTION("""COMPUTED_VALUE"""),"ambuj.mbbs-2020@aiimskalyani.edu.in")</f>
        <v>ambuj.mbbs-2020@aiimskalyani.edu.in</v>
      </c>
      <c r="H14" s="21" t="str">
        <f>IFERROR(__xludf.DUMMYFUNCTION("""COMPUTED_VALUE"""),"Yes")</f>
        <v>Yes</v>
      </c>
      <c r="I14" s="21" t="str">
        <f>IFERROR(__xludf.DUMMYFUNCTION("""COMPUTED_VALUE"""),"Poem writing and traveling ")</f>
        <v>Poem writing and traveling </v>
      </c>
      <c r="J14" s="21" t="str">
        <f>IFERROR(__xludf.DUMMYFUNCTION("""COMPUTED_VALUE"""),"Badminton and cricket ")</f>
        <v>Badminton and cricket </v>
      </c>
      <c r="K14" s="21" t="str">
        <f>IFERROR(__xludf.DUMMYFUNCTION("""COMPUTED_VALUE"""),"Pratapgarh Uttar Pradesh ")</f>
        <v>Pratapgarh Uttar Pradesh </v>
      </c>
      <c r="L14" s="22" t="str">
        <f>IFERROR(__xludf.DUMMYFUNCTION("""COMPUTED_VALUE"""),"https://drive.google.com/open?id=1yxXcQgKHp03sbWdJCsMI1uVsI9eGmgzX")</f>
        <v>https://drive.google.com/open?id=1yxXcQgKHp03sbWdJCsMI1uVsI9eGmgzX</v>
      </c>
      <c r="M14" s="22" t="str">
        <f>IFERROR(__xludf.DUMMYFUNCTION("""COMPUTED_VALUE"""),"https://drive.google.com/open?id=1a5dDewq0XyzTJdj2lmkaQFredhPZ8oiu")</f>
        <v>https://drive.google.com/open?id=1a5dDewq0XyzTJdj2lmkaQFredhPZ8oiu</v>
      </c>
      <c r="N14" s="21" t="str">
        <f>IFERROR(__xludf.DUMMYFUNCTION("""COMPUTED_VALUE"""),"Rakesh kumar pandey ")</f>
        <v>Rakesh kumar pandey </v>
      </c>
      <c r="O14" s="21" t="str">
        <f>IFERROR(__xludf.DUMMYFUNCTION("""COMPUTED_VALUE"""),"UP government teacher ")</f>
        <v>UP government teacher </v>
      </c>
      <c r="P14" s="21" t="str">
        <f>IFERROR(__xludf.DUMMYFUNCTION("""COMPUTED_VALUE"""),"Pratapgarh Uttar Pradesh ")</f>
        <v>Pratapgarh Uttar Pradesh </v>
      </c>
      <c r="Q14" s="21">
        <f>IFERROR(__xludf.DUMMYFUNCTION("""COMPUTED_VALUE"""),9.452691066E9)</f>
        <v>9452691066</v>
      </c>
      <c r="R14" s="21" t="str">
        <f>IFERROR(__xludf.DUMMYFUNCTION("""COMPUTED_VALUE"""),"Anita Pandey ")</f>
        <v>Anita Pandey </v>
      </c>
      <c r="S14" s="21" t="str">
        <f>IFERROR(__xludf.DUMMYFUNCTION("""COMPUTED_VALUE"""),"Homemaker ")</f>
        <v>Homemaker </v>
      </c>
      <c r="T14" s="21" t="str">
        <f>IFERROR(__xludf.DUMMYFUNCTION("""COMPUTED_VALUE"""),"Pratapgarh Uttar Pradesh ")</f>
        <v>Pratapgarh Uttar Pradesh </v>
      </c>
      <c r="U14" s="21">
        <f>IFERROR(__xludf.DUMMYFUNCTION("""COMPUTED_VALUE"""),7.880797519E9)</f>
        <v>7880797519</v>
      </c>
      <c r="V14" s="21">
        <f>IFERROR(__xludf.DUMMYFUNCTION("""COMPUTED_VALUE"""),0.0)</f>
        <v>0</v>
      </c>
      <c r="W14" s="21"/>
      <c r="X14" s="21"/>
      <c r="Y14" s="21"/>
      <c r="Z14" s="21"/>
      <c r="AA14" s="21" t="str">
        <f>IFERROR(__xludf.DUMMYFUNCTION("""COMPUTED_VALUE"""),"Veg")</f>
        <v>Veg</v>
      </c>
      <c r="AB14" s="21"/>
      <c r="AC14" s="21"/>
      <c r="AD14" s="21" t="str">
        <f>IFERROR(__xludf.DUMMYFUNCTION("""COMPUTED_VALUE"""),"Bus Drop Service not needed")</f>
        <v>Bus Drop Service not needed</v>
      </c>
      <c r="AE14" s="21">
        <f>IFERROR(__xludf.DUMMYFUNCTION("""COMPUTED_VALUE"""),0.0)</f>
        <v>0</v>
      </c>
    </row>
    <row r="15" ht="22.5" customHeight="1">
      <c r="A15" s="18">
        <f>IFERROR(__xludf.DUMMYFUNCTION("""COMPUTED_VALUE"""),46265.986441030094)</f>
        <v>46265.98644</v>
      </c>
      <c r="B15" s="21" t="str">
        <f>IFERROR(__xludf.DUMMYFUNCTION("""COMPUTED_VALUE"""),"shruti.mbbs-2020@aiimskalyani.edu.in")</f>
        <v>shruti.mbbs-2020@aiimskalyani.edu.in</v>
      </c>
      <c r="C15" s="21" t="str">
        <f>IFERROR(__xludf.DUMMYFUNCTION("""COMPUTED_VALUE"""),"SHRUTI JOSHI")</f>
        <v>SHRUTI JOSHI</v>
      </c>
      <c r="D15" s="21">
        <f>IFERROR(__xludf.DUMMYFUNCTION("""COMPUTED_VALUE"""),94.0)</f>
        <v>94</v>
      </c>
      <c r="E15" s="21" t="str">
        <f>IFERROR(__xludf.DUMMYFUNCTION("""COMPUTED_VALUE"""),"MBBS 2020")</f>
        <v>MBBS 2020</v>
      </c>
      <c r="F15" s="21">
        <f>IFERROR(__xludf.DUMMYFUNCTION("""COMPUTED_VALUE"""),8.696426826E9)</f>
        <v>8696426826</v>
      </c>
      <c r="G15" s="21" t="str">
        <f>IFERROR(__xludf.DUMMYFUNCTION("""COMPUTED_VALUE"""),"shrutijoshi0304@gmail.com")</f>
        <v>shrutijoshi0304@gmail.com</v>
      </c>
      <c r="H15" s="21" t="str">
        <f>IFERROR(__xludf.DUMMYFUNCTION("""COMPUTED_VALUE"""),"Yes")</f>
        <v>Yes</v>
      </c>
      <c r="I15" s="21" t="str">
        <f>IFERROR(__xludf.DUMMYFUNCTION("""COMPUTED_VALUE"""),"I enjoy music, travelling, and discovering new cultures. Exploring new places and perspectives is something I find both enriching and inspiring.")</f>
        <v>I enjoy music, travelling, and discovering new cultures. Exploring new places and perspectives is something I find both enriching and inspiring.</v>
      </c>
      <c r="J15" s="21" t="str">
        <f>IFERROR(__xludf.DUMMYFUNCTION("""COMPUTED_VALUE"""),"I actively engaged in Table Tennis and Volleyball, while also participating in debates and academic seminars.")</f>
        <v>I actively engaged in Table Tennis and Volleyball, while also participating in debates and academic seminars.</v>
      </c>
      <c r="K15" s="21" t="str">
        <f>IFERROR(__xludf.DUMMYFUNCTION("""COMPUTED_VALUE"""),"Sriganganagar ")</f>
        <v>Sriganganagar </v>
      </c>
      <c r="L15" s="22" t="str">
        <f>IFERROR(__xludf.DUMMYFUNCTION("""COMPUTED_VALUE"""),"https://drive.google.com/open?id=1Iuo0d78nvubtjbvAZTUSrp3IIgHANyga")</f>
        <v>https://drive.google.com/open?id=1Iuo0d78nvubtjbvAZTUSrp3IIgHANyga</v>
      </c>
      <c r="M15" s="22" t="str">
        <f>IFERROR(__xludf.DUMMYFUNCTION("""COMPUTED_VALUE"""),"https://drive.google.com/open?id=1YRsoLSkvFvuYI3QOjozfRsPJ7tcT5nOU")</f>
        <v>https://drive.google.com/open?id=1YRsoLSkvFvuYI3QOjozfRsPJ7tcT5nOU</v>
      </c>
      <c r="N15" s="21" t="str">
        <f>IFERROR(__xludf.DUMMYFUNCTION("""COMPUTED_VALUE"""),"Ramesh Kumar Joshi")</f>
        <v>Ramesh Kumar Joshi</v>
      </c>
      <c r="O15" s="21" t="str">
        <f>IFERROR(__xludf.DUMMYFUNCTION("""COMPUTED_VALUE"""),"Business Manager")</f>
        <v>Business Manager</v>
      </c>
      <c r="P15" s="21" t="str">
        <f>IFERROR(__xludf.DUMMYFUNCTION("""COMPUTED_VALUE"""),"Sriganganagar ")</f>
        <v>Sriganganagar </v>
      </c>
      <c r="Q15" s="21">
        <f>IFERROR(__xludf.DUMMYFUNCTION("""COMPUTED_VALUE"""),9.414948421E9)</f>
        <v>9414948421</v>
      </c>
      <c r="R15" s="21" t="str">
        <f>IFERROR(__xludf.DUMMYFUNCTION("""COMPUTED_VALUE"""),"Harsha Joshi")</f>
        <v>Harsha Joshi</v>
      </c>
      <c r="S15" s="21" t="str">
        <f>IFERROR(__xludf.DUMMYFUNCTION("""COMPUTED_VALUE"""),"Homemaker")</f>
        <v>Homemaker</v>
      </c>
      <c r="T15" s="21" t="str">
        <f>IFERROR(__xludf.DUMMYFUNCTION("""COMPUTED_VALUE"""),"Sriganganagar")</f>
        <v>Sriganganagar</v>
      </c>
      <c r="U15" s="21">
        <f>IFERROR(__xludf.DUMMYFUNCTION("""COMPUTED_VALUE"""),8.005540019E9)</f>
        <v>8005540019</v>
      </c>
      <c r="V15" s="21">
        <f>IFERROR(__xludf.DUMMYFUNCTION("""COMPUTED_VALUE"""),2.0)</f>
        <v>2</v>
      </c>
      <c r="W15" s="21" t="str">
        <f>IFERROR(__xludf.DUMMYFUNCTION("""COMPUTED_VALUE"""),"Ramesh Kumar Joshi ")</f>
        <v>Ramesh Kumar Joshi </v>
      </c>
      <c r="X15" s="21" t="str">
        <f>IFERROR(__xludf.DUMMYFUNCTION("""COMPUTED_VALUE"""),"Father ")</f>
        <v>Father </v>
      </c>
      <c r="Y15" s="21" t="str">
        <f>IFERROR(__xludf.DUMMYFUNCTION("""COMPUTED_VALUE"""),"Harsha Joshi ")</f>
        <v>Harsha Joshi </v>
      </c>
      <c r="Z15" s="21" t="str">
        <f>IFERROR(__xludf.DUMMYFUNCTION("""COMPUTED_VALUE"""),"Mother")</f>
        <v>Mother</v>
      </c>
      <c r="AA15" s="21" t="str">
        <f>IFERROR(__xludf.DUMMYFUNCTION("""COMPUTED_VALUE"""),"Veg")</f>
        <v>Veg</v>
      </c>
      <c r="AB15" s="21" t="str">
        <f>IFERROR(__xludf.DUMMYFUNCTION("""COMPUTED_VALUE"""),"Veg")</f>
        <v>Veg</v>
      </c>
      <c r="AC15" s="21" t="str">
        <f>IFERROR(__xludf.DUMMYFUNCTION("""COMPUTED_VALUE"""),"Veg")</f>
        <v>Veg</v>
      </c>
      <c r="AD15" s="21" t="str">
        <f>IFERROR(__xludf.DUMMYFUNCTION("""COMPUTED_VALUE"""),"Drop at Kolkata Airport")</f>
        <v>Drop at Kolkata Airport</v>
      </c>
      <c r="AE15" s="21">
        <f>IFERROR(__xludf.DUMMYFUNCTION("""COMPUTED_VALUE"""),3.0)</f>
        <v>3</v>
      </c>
    </row>
    <row r="16" ht="22.5" customHeight="1">
      <c r="A16" s="18">
        <f>IFERROR(__xludf.DUMMYFUNCTION("""COMPUTED_VALUE"""),46265.98223854166)</f>
        <v>46265.98224</v>
      </c>
      <c r="B16" s="21" t="str">
        <f>IFERROR(__xludf.DUMMYFUNCTION("""COMPUTED_VALUE"""),"anurag.mbbs-2020@aiimskalyani.edu.in")</f>
        <v>anurag.mbbs-2020@aiimskalyani.edu.in</v>
      </c>
      <c r="C16" s="21" t="str">
        <f>IFERROR(__xludf.DUMMYFUNCTION("""COMPUTED_VALUE"""),"ANURAG DASH")</f>
        <v>ANURAG DASH</v>
      </c>
      <c r="D16" s="21" t="str">
        <f>IFERROR(__xludf.DUMMYFUNCTION("""COMPUTED_VALUE"""),"20/20200170")</f>
        <v>20/20200170</v>
      </c>
      <c r="E16" s="21" t="str">
        <f>IFERROR(__xludf.DUMMYFUNCTION("""COMPUTED_VALUE"""),"MBBS 2020")</f>
        <v>MBBS 2020</v>
      </c>
      <c r="F16" s="21">
        <f>IFERROR(__xludf.DUMMYFUNCTION("""COMPUTED_VALUE"""),6.372093986E9)</f>
        <v>6372093986</v>
      </c>
      <c r="G16" s="21" t="str">
        <f>IFERROR(__xludf.DUMMYFUNCTION("""COMPUTED_VALUE"""),"anurag.mbbs-2020@aiimskalyani.edu.in")</f>
        <v>anurag.mbbs-2020@aiimskalyani.edu.in</v>
      </c>
      <c r="H16" s="21" t="str">
        <f>IFERROR(__xludf.DUMMYFUNCTION("""COMPUTED_VALUE"""),"Yes")</f>
        <v>Yes</v>
      </c>
      <c r="I16" s="21" t="str">
        <f>IFERROR(__xludf.DUMMYFUNCTION("""COMPUTED_VALUE"""),"Playing chess")</f>
        <v>Playing chess</v>
      </c>
      <c r="J16" s="21" t="str">
        <f>IFERROR(__xludf.DUMMYFUNCTION("""COMPUTED_VALUE"""),"Quizzes ")</f>
        <v>Quizzes </v>
      </c>
      <c r="K16" s="21" t="str">
        <f>IFERROR(__xludf.DUMMYFUNCTION("""COMPUTED_VALUE"""),"Berhampur, Odisha")</f>
        <v>Berhampur, Odisha</v>
      </c>
      <c r="L16" s="22" t="str">
        <f>IFERROR(__xludf.DUMMYFUNCTION("""COMPUTED_VALUE"""),"https://drive.google.com/open?id=186LcgNOSkGAlU3RLkMn2rUPaWAjK7isa")</f>
        <v>https://drive.google.com/open?id=186LcgNOSkGAlU3RLkMn2rUPaWAjK7isa</v>
      </c>
      <c r="M16" s="22" t="str">
        <f>IFERROR(__xludf.DUMMYFUNCTION("""COMPUTED_VALUE"""),"https://drive.google.com/open?id=1gxavYVwvB4XMS9LExB-QV4jEsZX5sR-S")</f>
        <v>https://drive.google.com/open?id=1gxavYVwvB4XMS9LExB-QV4jEsZX5sR-S</v>
      </c>
      <c r="N16" s="21" t="str">
        <f>IFERROR(__xludf.DUMMYFUNCTION("""COMPUTED_VALUE"""),"Sushanta Kumar Dash")</f>
        <v>Sushanta Kumar Dash</v>
      </c>
      <c r="O16" s="21" t="str">
        <f>IFERROR(__xludf.DUMMYFUNCTION("""COMPUTED_VALUE"""),"Pensioner")</f>
        <v>Pensioner</v>
      </c>
      <c r="P16" s="21" t="str">
        <f>IFERROR(__xludf.DUMMYFUNCTION("""COMPUTED_VALUE"""),"Berhampur")</f>
        <v>Berhampur</v>
      </c>
      <c r="Q16" s="21">
        <f>IFERROR(__xludf.DUMMYFUNCTION("""COMPUTED_VALUE"""),9.437927325E9)</f>
        <v>9437927325</v>
      </c>
      <c r="R16" s="21" t="str">
        <f>IFERROR(__xludf.DUMMYFUNCTION("""COMPUTED_VALUE"""),"Swarnalata Dash")</f>
        <v>Swarnalata Dash</v>
      </c>
      <c r="S16" s="21" t="str">
        <f>IFERROR(__xludf.DUMMYFUNCTION("""COMPUTED_VALUE"""),"Homemaker")</f>
        <v>Homemaker</v>
      </c>
      <c r="T16" s="21" t="str">
        <f>IFERROR(__xludf.DUMMYFUNCTION("""COMPUTED_VALUE"""),"Berhampur")</f>
        <v>Berhampur</v>
      </c>
      <c r="U16" s="21">
        <f>IFERROR(__xludf.DUMMYFUNCTION("""COMPUTED_VALUE"""),9.438617625E9)</f>
        <v>9438617625</v>
      </c>
      <c r="V16" s="21">
        <f>IFERROR(__xludf.DUMMYFUNCTION("""COMPUTED_VALUE"""),2.0)</f>
        <v>2</v>
      </c>
      <c r="W16" s="21" t="str">
        <f>IFERROR(__xludf.DUMMYFUNCTION("""COMPUTED_VALUE"""),"Sushanta Kumar Dash")</f>
        <v>Sushanta Kumar Dash</v>
      </c>
      <c r="X16" s="21" t="str">
        <f>IFERROR(__xludf.DUMMYFUNCTION("""COMPUTED_VALUE"""),"Father")</f>
        <v>Father</v>
      </c>
      <c r="Y16" s="21" t="str">
        <f>IFERROR(__xludf.DUMMYFUNCTION("""COMPUTED_VALUE"""),"Swarnalata Dash")</f>
        <v>Swarnalata Dash</v>
      </c>
      <c r="Z16" s="21" t="str">
        <f>IFERROR(__xludf.DUMMYFUNCTION("""COMPUTED_VALUE"""),"Mother")</f>
        <v>Mother</v>
      </c>
      <c r="AA16" s="21" t="str">
        <f>IFERROR(__xludf.DUMMYFUNCTION("""COMPUTED_VALUE"""),"Non-Veg")</f>
        <v>Non-Veg</v>
      </c>
      <c r="AB16" s="21" t="str">
        <f>IFERROR(__xludf.DUMMYFUNCTION("""COMPUTED_VALUE"""),"Veg")</f>
        <v>Veg</v>
      </c>
      <c r="AC16" s="21" t="str">
        <f>IFERROR(__xludf.DUMMYFUNCTION("""COMPUTED_VALUE"""),"Veg")</f>
        <v>Veg</v>
      </c>
      <c r="AD16" s="21" t="str">
        <f>IFERROR(__xludf.DUMMYFUNCTION("""COMPUTED_VALUE"""),"Bus Drop Service not needed")</f>
        <v>Bus Drop Service not needed</v>
      </c>
      <c r="AE16" s="21">
        <f>IFERROR(__xludf.DUMMYFUNCTION("""COMPUTED_VALUE"""),0.0)</f>
        <v>0</v>
      </c>
    </row>
    <row r="17" ht="22.5" customHeight="1">
      <c r="A17" s="18">
        <f>IFERROR(__xludf.DUMMYFUNCTION("""COMPUTED_VALUE"""),46265.98220789352)</f>
        <v>46265.98221</v>
      </c>
      <c r="B17" s="21" t="str">
        <f>IFERROR(__xludf.DUMMYFUNCTION("""COMPUTED_VALUE"""),"devi.mbbs-2020@aiimskalyani.edu.in")</f>
        <v>devi.mbbs-2020@aiimskalyani.edu.in</v>
      </c>
      <c r="C17" s="21" t="str">
        <f>IFERROR(__xludf.DUMMYFUNCTION("""COMPUTED_VALUE"""),"DEVI NAMBIAR")</f>
        <v>DEVI NAMBIAR</v>
      </c>
      <c r="D17" s="21">
        <f>IFERROR(__xludf.DUMMYFUNCTION("""COMPUTED_VALUE"""),2.0200193E7)</f>
        <v>20200193</v>
      </c>
      <c r="E17" s="21" t="str">
        <f>IFERROR(__xludf.DUMMYFUNCTION("""COMPUTED_VALUE"""),"MBBS 2020")</f>
        <v>MBBS 2020</v>
      </c>
      <c r="F17" s="21">
        <f>IFERROR(__xludf.DUMMYFUNCTION("""COMPUTED_VALUE"""),7.356912559E9)</f>
        <v>7356912559</v>
      </c>
      <c r="G17" s="21" t="str">
        <f>IFERROR(__xludf.DUMMYFUNCTION("""COMPUTED_VALUE"""),"devi.d.nambiar@gmail.com")</f>
        <v>devi.d.nambiar@gmail.com</v>
      </c>
      <c r="H17" s="21" t="str">
        <f>IFERROR(__xludf.DUMMYFUNCTION("""COMPUTED_VALUE"""),"Yes")</f>
        <v>Yes</v>
      </c>
      <c r="I17" s="21" t="str">
        <f>IFERROR(__xludf.DUMMYFUNCTION("""COMPUTED_VALUE"""),"Bharatnatyam 
watercolor painting
Cat lover 
Literature
Quizzing
Swimming 
Tennis
")</f>
        <v>Bharatnatyam 
watercolor painting
Cat lover 
Literature
Quizzing
Swimming 
Tennis
</v>
      </c>
      <c r="J17" s="21" t="str">
        <f>IFERROR(__xludf.DUMMYFUNCTION("""COMPUTED_VALUE"""),"Ex Cultural secretary 
Ex SPIC MACAY Secretary 
Multiple intra college awards for Bharatnatyam 
watercolor painting Literature Quizzing
Ted x patna first prize poster making competition ")</f>
        <v>Ex Cultural secretary 
Ex SPIC MACAY Secretary 
Multiple intra college awards for Bharatnatyam 
watercolor painting Literature Quizzing
Ted x patna first prize poster making competition </v>
      </c>
      <c r="K17" s="21" t="str">
        <f>IFERROR(__xludf.DUMMYFUNCTION("""COMPUTED_VALUE"""),"BANGALORE ")</f>
        <v>BANGALORE </v>
      </c>
      <c r="L17" s="22" t="str">
        <f>IFERROR(__xludf.DUMMYFUNCTION("""COMPUTED_VALUE"""),"https://drive.google.com/open?id=1Y2dZr6oqriAc0VBw54p-NnkUfKaydew5")</f>
        <v>https://drive.google.com/open?id=1Y2dZr6oqriAc0VBw54p-NnkUfKaydew5</v>
      </c>
      <c r="M17" s="22" t="str">
        <f>IFERROR(__xludf.DUMMYFUNCTION("""COMPUTED_VALUE"""),"https://drive.google.com/open?id=11dQChh1KE1x2YIy-noS9o1we8DGi7Mfv")</f>
        <v>https://drive.google.com/open?id=11dQChh1KE1x2YIy-noS9o1we8DGi7Mfv</v>
      </c>
      <c r="N17" s="21" t="str">
        <f>IFERROR(__xludf.DUMMYFUNCTION("""COMPUTED_VALUE"""),"DILEEP PURAVANKARA ")</f>
        <v>DILEEP PURAVANKARA </v>
      </c>
      <c r="O17" s="21" t="str">
        <f>IFERROR(__xludf.DUMMYFUNCTION("""COMPUTED_VALUE"""),"SOFTWARE ENGINEER ")</f>
        <v>SOFTWARE ENGINEER </v>
      </c>
      <c r="P17" s="21" t="str">
        <f>IFERROR(__xludf.DUMMYFUNCTION("""COMPUTED_VALUE"""),"BANGALORE ")</f>
        <v>BANGALORE </v>
      </c>
      <c r="Q17" s="21">
        <f>IFERROR(__xludf.DUMMYFUNCTION("""COMPUTED_VALUE"""),9.88617735E9)</f>
        <v>9886177350</v>
      </c>
      <c r="R17" s="21" t="str">
        <f>IFERROR(__xludf.DUMMYFUNCTION("""COMPUTED_VALUE"""),"VEENA S N ")</f>
        <v>VEENA S N </v>
      </c>
      <c r="S17" s="21" t="str">
        <f>IFERROR(__xludf.DUMMYFUNCTION("""COMPUTED_VALUE"""),"CIVIL ENGINEER")</f>
        <v>CIVIL ENGINEER</v>
      </c>
      <c r="T17" s="21" t="str">
        <f>IFERROR(__xludf.DUMMYFUNCTION("""COMPUTED_VALUE"""),"BANGALORE ")</f>
        <v>BANGALORE </v>
      </c>
      <c r="U17" s="21">
        <f>IFERROR(__xludf.DUMMYFUNCTION("""COMPUTED_VALUE"""),9.886101921E9)</f>
        <v>9886101921</v>
      </c>
      <c r="V17" s="21">
        <f>IFERROR(__xludf.DUMMYFUNCTION("""COMPUTED_VALUE"""),2.0)</f>
        <v>2</v>
      </c>
      <c r="W17" s="21" t="str">
        <f>IFERROR(__xludf.DUMMYFUNCTION("""COMPUTED_VALUE"""),"VEENA S N")</f>
        <v>VEENA S N</v>
      </c>
      <c r="X17" s="21" t="str">
        <f>IFERROR(__xludf.DUMMYFUNCTION("""COMPUTED_VALUE"""),"MOTHER")</f>
        <v>MOTHER</v>
      </c>
      <c r="Y17" s="21" t="str">
        <f>IFERROR(__xludf.DUMMYFUNCTION("""COMPUTED_VALUE"""),"DILEEP PURAVANKARA ")</f>
        <v>DILEEP PURAVANKARA </v>
      </c>
      <c r="Z17" s="21" t="str">
        <f>IFERROR(__xludf.DUMMYFUNCTION("""COMPUTED_VALUE"""),"FATHER ")</f>
        <v>FATHER </v>
      </c>
      <c r="AA17" s="21" t="str">
        <f>IFERROR(__xludf.DUMMYFUNCTION("""COMPUTED_VALUE"""),"Non-Veg")</f>
        <v>Non-Veg</v>
      </c>
      <c r="AB17" s="21" t="str">
        <f>IFERROR(__xludf.DUMMYFUNCTION("""COMPUTED_VALUE"""),"Non-Veg")</f>
        <v>Non-Veg</v>
      </c>
      <c r="AC17" s="21" t="str">
        <f>IFERROR(__xludf.DUMMYFUNCTION("""COMPUTED_VALUE"""),"Veg")</f>
        <v>Veg</v>
      </c>
      <c r="AD17" s="21" t="str">
        <f>IFERROR(__xludf.DUMMYFUNCTION("""COMPUTED_VALUE"""),"Drop at Kolkata Airport")</f>
        <v>Drop at Kolkata Airport</v>
      </c>
      <c r="AE17" s="21"/>
    </row>
    <row r="18" ht="22.5" customHeight="1">
      <c r="A18" s="18">
        <f>IFERROR(__xludf.DUMMYFUNCTION("""COMPUTED_VALUE"""),46265.97097018518)</f>
        <v>46265.97097</v>
      </c>
      <c r="B18" s="21" t="str">
        <f>IFERROR(__xludf.DUMMYFUNCTION("""COMPUTED_VALUE"""),"meenakshi.mbbs-2020@aiimskalyani.edu.in")</f>
        <v>meenakshi.mbbs-2020@aiimskalyani.edu.in</v>
      </c>
      <c r="C18" s="21" t="str">
        <f>IFERROR(__xludf.DUMMYFUNCTION("""COMPUTED_VALUE"""),"MEENAKSHI MINA")</f>
        <v>MEENAKSHI MINA</v>
      </c>
      <c r="D18" s="21">
        <f>IFERROR(__xludf.DUMMYFUNCTION("""COMPUTED_VALUE"""),2.02001111E8)</f>
        <v>202001111</v>
      </c>
      <c r="E18" s="21" t="str">
        <f>IFERROR(__xludf.DUMMYFUNCTION("""COMPUTED_VALUE"""),"MBBS 2020")</f>
        <v>MBBS 2020</v>
      </c>
      <c r="F18" s="21">
        <f>IFERROR(__xludf.DUMMYFUNCTION("""COMPUTED_VALUE"""),6.367552915E9)</f>
        <v>6367552915</v>
      </c>
      <c r="G18" s="21" t="str">
        <f>IFERROR(__xludf.DUMMYFUNCTION("""COMPUTED_VALUE"""),"meenakshi.mbbs-2020@aiimskalyani.edu.in")</f>
        <v>meenakshi.mbbs-2020@aiimskalyani.edu.in</v>
      </c>
      <c r="H18" s="21" t="str">
        <f>IFERROR(__xludf.DUMMYFUNCTION("""COMPUTED_VALUE"""),"Yes")</f>
        <v>Yes</v>
      </c>
      <c r="I18" s="21" t="str">
        <f>IFERROR(__xludf.DUMMYFUNCTION("""COMPUTED_VALUE"""),"Arts , painting ")</f>
        <v>Arts , painting </v>
      </c>
      <c r="J18" s="21" t="str">
        <f>IFERROR(__xludf.DUMMYFUNCTION("""COMPUTED_VALUE"""),"Running, swiming,badminton ")</f>
        <v>Running, swiming,badminton </v>
      </c>
      <c r="K18" s="21" t="str">
        <f>IFERROR(__xludf.DUMMYFUNCTION("""COMPUTED_VALUE"""),"Jhalawar ")</f>
        <v>Jhalawar </v>
      </c>
      <c r="L18" s="22" t="str">
        <f>IFERROR(__xludf.DUMMYFUNCTION("""COMPUTED_VALUE"""),"https://drive.google.com/open?id=1Tpl57DoaUPa_GxVxbIOx1j_egxVgcI7H")</f>
        <v>https://drive.google.com/open?id=1Tpl57DoaUPa_GxVxbIOx1j_egxVgcI7H</v>
      </c>
      <c r="M18" s="22" t="str">
        <f>IFERROR(__xludf.DUMMYFUNCTION("""COMPUTED_VALUE"""),"https://drive.google.com/open?id=1HzBSs6YLa97rZJUyb8eoZBRTlxP_rFt8")</f>
        <v>https://drive.google.com/open?id=1HzBSs6YLa97rZJUyb8eoZBRTlxP_rFt8</v>
      </c>
      <c r="N18" s="21" t="str">
        <f>IFERROR(__xludf.DUMMYFUNCTION("""COMPUTED_VALUE"""),"Madan lal mina")</f>
        <v>Madan lal mina</v>
      </c>
      <c r="O18" s="21" t="str">
        <f>IFERROR(__xludf.DUMMYFUNCTION("""COMPUTED_VALUE"""),"Business")</f>
        <v>Business</v>
      </c>
      <c r="P18" s="21" t="str">
        <f>IFERROR(__xludf.DUMMYFUNCTION("""COMPUTED_VALUE"""),"Jhalawar ")</f>
        <v>Jhalawar </v>
      </c>
      <c r="Q18" s="21">
        <f>IFERROR(__xludf.DUMMYFUNCTION("""COMPUTED_VALUE"""),9.829809231E9)</f>
        <v>9829809231</v>
      </c>
      <c r="R18" s="21" t="str">
        <f>IFERROR(__xludf.DUMMYFUNCTION("""COMPUTED_VALUE"""),"Sona mina")</f>
        <v>Sona mina</v>
      </c>
      <c r="S18" s="21" t="str">
        <f>IFERROR(__xludf.DUMMYFUNCTION("""COMPUTED_VALUE"""),"Housemaker ")</f>
        <v>Housemaker </v>
      </c>
      <c r="T18" s="21" t="str">
        <f>IFERROR(__xludf.DUMMYFUNCTION("""COMPUTED_VALUE"""),"Jhalawar ")</f>
        <v>Jhalawar </v>
      </c>
      <c r="U18" s="21">
        <f>IFERROR(__xludf.DUMMYFUNCTION("""COMPUTED_VALUE"""),7.625789646E9)</f>
        <v>7625789646</v>
      </c>
      <c r="V18" s="21">
        <f>IFERROR(__xludf.DUMMYFUNCTION("""COMPUTED_VALUE"""),2.0)</f>
        <v>2</v>
      </c>
      <c r="W18" s="21" t="str">
        <f>IFERROR(__xludf.DUMMYFUNCTION("""COMPUTED_VALUE"""),"Madan lal mina ")</f>
        <v>Madan lal mina </v>
      </c>
      <c r="X18" s="21" t="str">
        <f>IFERROR(__xludf.DUMMYFUNCTION("""COMPUTED_VALUE"""),"Father")</f>
        <v>Father</v>
      </c>
      <c r="Y18" s="21" t="str">
        <f>IFERROR(__xludf.DUMMYFUNCTION("""COMPUTED_VALUE"""),"Sona mina")</f>
        <v>Sona mina</v>
      </c>
      <c r="Z18" s="21" t="str">
        <f>IFERROR(__xludf.DUMMYFUNCTION("""COMPUTED_VALUE"""),"Mother ")</f>
        <v>Mother </v>
      </c>
      <c r="AA18" s="21" t="str">
        <f>IFERROR(__xludf.DUMMYFUNCTION("""COMPUTED_VALUE"""),"Veg")</f>
        <v>Veg</v>
      </c>
      <c r="AB18" s="21" t="str">
        <f>IFERROR(__xludf.DUMMYFUNCTION("""COMPUTED_VALUE"""),"Veg")</f>
        <v>Veg</v>
      </c>
      <c r="AC18" s="21" t="str">
        <f>IFERROR(__xludf.DUMMYFUNCTION("""COMPUTED_VALUE"""),"Veg")</f>
        <v>Veg</v>
      </c>
      <c r="AD18" s="21" t="str">
        <f>IFERROR(__xludf.DUMMYFUNCTION("""COMPUTED_VALUE"""),"Bus Drop Service not needed")</f>
        <v>Bus Drop Service not needed</v>
      </c>
      <c r="AE18" s="21">
        <f>IFERROR(__xludf.DUMMYFUNCTION("""COMPUTED_VALUE"""),0.0)</f>
        <v>0</v>
      </c>
    </row>
    <row r="19" ht="22.5" customHeight="1">
      <c r="A19" s="18">
        <f>IFERROR(__xludf.DUMMYFUNCTION("""COMPUTED_VALUE"""),46265.96833175926)</f>
        <v>46265.96833</v>
      </c>
      <c r="B19" s="21" t="str">
        <f>IFERROR(__xludf.DUMMYFUNCTION("""COMPUTED_VALUE"""),"dannana.mbbs-2020@aiimskalyani.edu.in")</f>
        <v>dannana.mbbs-2020@aiimskalyani.edu.in</v>
      </c>
      <c r="C19" s="21" t="str">
        <f>IFERROR(__xludf.DUMMYFUNCTION("""COMPUTED_VALUE"""),"DANNANA GAYATHRI ")</f>
        <v>DANNANA GAYATHRI </v>
      </c>
      <c r="D19" s="21">
        <f>IFERROR(__xludf.DUMMYFUNCTION("""COMPUTED_VALUE"""),2.020019E7)</f>
        <v>20200190</v>
      </c>
      <c r="E19" s="21" t="str">
        <f>IFERROR(__xludf.DUMMYFUNCTION("""COMPUTED_VALUE"""),"MBBS 2020")</f>
        <v>MBBS 2020</v>
      </c>
      <c r="F19" s="21">
        <f>IFERROR(__xludf.DUMMYFUNCTION("""COMPUTED_VALUE"""),9.381481345E9)</f>
        <v>9381481345</v>
      </c>
      <c r="G19" s="21" t="str">
        <f>IFERROR(__xludf.DUMMYFUNCTION("""COMPUTED_VALUE"""),"dannana.mbbs-2020@aiimskalyani.edu.in")</f>
        <v>dannana.mbbs-2020@aiimskalyani.edu.in</v>
      </c>
      <c r="H19" s="21" t="str">
        <f>IFERROR(__xludf.DUMMYFUNCTION("""COMPUTED_VALUE"""),"Yes")</f>
        <v>Yes</v>
      </c>
      <c r="I19" s="21" t="str">
        <f>IFERROR(__xludf.DUMMYFUNCTION("""COMPUTED_VALUE"""),"Playing badminton, reading novels")</f>
        <v>Playing badminton, reading novels</v>
      </c>
      <c r="J19" s="21"/>
      <c r="K19" s="21" t="str">
        <f>IFERROR(__xludf.DUMMYFUNCTION("""COMPUTED_VALUE"""),"Srikakulam ")</f>
        <v>Srikakulam </v>
      </c>
      <c r="L19" s="22" t="str">
        <f>IFERROR(__xludf.DUMMYFUNCTION("""COMPUTED_VALUE"""),"https://drive.google.com/open?id=1QgNvJRjBx2uD2u8FCp2CWvw3gahNBdsB")</f>
        <v>https://drive.google.com/open?id=1QgNvJRjBx2uD2u8FCp2CWvw3gahNBdsB</v>
      </c>
      <c r="M19" s="22" t="str">
        <f>IFERROR(__xludf.DUMMYFUNCTION("""COMPUTED_VALUE"""),"https://drive.google.com/open?id=1w81KoCwLdyLKxJ-F8wznvKmVk_OBhZuK")</f>
        <v>https://drive.google.com/open?id=1w81KoCwLdyLKxJ-F8wznvKmVk_OBhZuK</v>
      </c>
      <c r="N19" s="21" t="str">
        <f>IFERROR(__xludf.DUMMYFUNCTION("""COMPUTED_VALUE"""),"D Gurunadham Naidu")</f>
        <v>D Gurunadham Naidu</v>
      </c>
      <c r="O19" s="21" t="str">
        <f>IFERROR(__xludf.DUMMYFUNCTION("""COMPUTED_VALUE"""),"Govt employe (police dept)")</f>
        <v>Govt employe (police dept)</v>
      </c>
      <c r="P19" s="21" t="str">
        <f>IFERROR(__xludf.DUMMYFUNCTION("""COMPUTED_VALUE"""),"Srikakulam ")</f>
        <v>Srikakulam </v>
      </c>
      <c r="Q19" s="21">
        <f>IFERROR(__xludf.DUMMYFUNCTION("""COMPUTED_VALUE"""),9.701578607E9)</f>
        <v>9701578607</v>
      </c>
      <c r="R19" s="21" t="str">
        <f>IFERROR(__xludf.DUMMYFUNCTION("""COMPUTED_VALUE"""),"D Bhanumathi")</f>
        <v>D Bhanumathi</v>
      </c>
      <c r="S19" s="21" t="str">
        <f>IFERROR(__xludf.DUMMYFUNCTION("""COMPUTED_VALUE"""),"Home maker")</f>
        <v>Home maker</v>
      </c>
      <c r="T19" s="21" t="str">
        <f>IFERROR(__xludf.DUMMYFUNCTION("""COMPUTED_VALUE"""),"Srikakulam ")</f>
        <v>Srikakulam </v>
      </c>
      <c r="U19" s="21">
        <f>IFERROR(__xludf.DUMMYFUNCTION("""COMPUTED_VALUE"""),8.520932901E9)</f>
        <v>8520932901</v>
      </c>
      <c r="V19" s="21">
        <f>IFERROR(__xludf.DUMMYFUNCTION("""COMPUTED_VALUE"""),2.0)</f>
        <v>2</v>
      </c>
      <c r="W19" s="21" t="str">
        <f>IFERROR(__xludf.DUMMYFUNCTION("""COMPUTED_VALUE"""),"D Gurunadham naidu")</f>
        <v>D Gurunadham naidu</v>
      </c>
      <c r="X19" s="21" t="str">
        <f>IFERROR(__xludf.DUMMYFUNCTION("""COMPUTED_VALUE"""),"Father")</f>
        <v>Father</v>
      </c>
      <c r="Y19" s="21" t="str">
        <f>IFERROR(__xludf.DUMMYFUNCTION("""COMPUTED_VALUE"""),"D Tarun kumar")</f>
        <v>D Tarun kumar</v>
      </c>
      <c r="Z19" s="21" t="str">
        <f>IFERROR(__xludf.DUMMYFUNCTION("""COMPUTED_VALUE"""),"Brother")</f>
        <v>Brother</v>
      </c>
      <c r="AA19" s="21" t="str">
        <f>IFERROR(__xludf.DUMMYFUNCTION("""COMPUTED_VALUE"""),"Non-Veg")</f>
        <v>Non-Veg</v>
      </c>
      <c r="AB19" s="21" t="str">
        <f>IFERROR(__xludf.DUMMYFUNCTION("""COMPUTED_VALUE"""),"Non-Veg")</f>
        <v>Non-Veg</v>
      </c>
      <c r="AC19" s="21" t="str">
        <f>IFERROR(__xludf.DUMMYFUNCTION("""COMPUTED_VALUE"""),"Non-Veg")</f>
        <v>Non-Veg</v>
      </c>
      <c r="AD19" s="21" t="str">
        <f>IFERROR(__xludf.DUMMYFUNCTION("""COMPUTED_VALUE"""),"Bus Drop Service not needed")</f>
        <v>Bus Drop Service not needed</v>
      </c>
      <c r="AE19" s="21"/>
    </row>
    <row r="20" ht="22.5" customHeight="1">
      <c r="A20" s="18">
        <f>IFERROR(__xludf.DUMMYFUNCTION("""COMPUTED_VALUE"""),46265.96573012731)</f>
        <v>46265.96573</v>
      </c>
      <c r="B20" s="21" t="str">
        <f>IFERROR(__xludf.DUMMYFUNCTION("""COMPUTED_VALUE"""),"adithyakiran.mbbs-2019@aiimskalyani.edu.in")</f>
        <v>adithyakiran.mbbs-2019@aiimskalyani.edu.in</v>
      </c>
      <c r="C20" s="21" t="str">
        <f>IFERROR(__xludf.DUMMYFUNCTION("""COMPUTED_VALUE"""),"J B ADITHYAKIRAN ")</f>
        <v>J B ADITHYAKIRAN </v>
      </c>
      <c r="D20" s="21">
        <f>IFERROR(__xludf.DUMMYFUNCTION("""COMPUTED_VALUE"""),2.0190115E7)</f>
        <v>20190115</v>
      </c>
      <c r="E20" s="21" t="str">
        <f>IFERROR(__xludf.DUMMYFUNCTION("""COMPUTED_VALUE"""),"MBBS 2019")</f>
        <v>MBBS 2019</v>
      </c>
      <c r="F20" s="21">
        <f>IFERROR(__xludf.DUMMYFUNCTION("""COMPUTED_VALUE"""),9.645919222E9)</f>
        <v>9645919222</v>
      </c>
      <c r="G20" s="21" t="str">
        <f>IFERROR(__xludf.DUMMYFUNCTION("""COMPUTED_VALUE"""),"adithyakiranjb@gmail.com")</f>
        <v>adithyakiranjb@gmail.com</v>
      </c>
      <c r="H20" s="21" t="str">
        <f>IFERROR(__xludf.DUMMYFUNCTION("""COMPUTED_VALUE"""),"Yes")</f>
        <v>Yes</v>
      </c>
      <c r="I20" s="21" t="str">
        <f>IFERROR(__xludf.DUMMYFUNCTION("""COMPUTED_VALUE"""),"Gym, Sports and gaming.")</f>
        <v>Gym, Sports and gaming.</v>
      </c>
      <c r="J20" s="21" t="str">
        <f>IFERROR(__xludf.DUMMYFUNCTION("""COMPUTED_VALUE"""),"Winner of 1st Intra college football tournament.
2 time winner in Interhouse football tournament.
Runner up of Inter College football tournament.")</f>
        <v>Winner of 1st Intra college football tournament.
2 time winner in Interhouse football tournament.
Runner up of Inter College football tournament.</v>
      </c>
      <c r="K20" s="21" t="str">
        <f>IFERROR(__xludf.DUMMYFUNCTION("""COMPUTED_VALUE"""),"Kozhikode ")</f>
        <v>Kozhikode </v>
      </c>
      <c r="L20" s="22" t="str">
        <f>IFERROR(__xludf.DUMMYFUNCTION("""COMPUTED_VALUE"""),"https://drive.google.com/open?id=1_uJ0G5RvCcmNXJ8HEPmjeBL_VlgBjVrz")</f>
        <v>https://drive.google.com/open?id=1_uJ0G5RvCcmNXJ8HEPmjeBL_VlgBjVrz</v>
      </c>
      <c r="M20" s="22" t="str">
        <f>IFERROR(__xludf.DUMMYFUNCTION("""COMPUTED_VALUE"""),"https://drive.google.com/open?id=1ZHmiZBpRgWbVEJgmEBxuWTKTJs9lHg7I")</f>
        <v>https://drive.google.com/open?id=1ZHmiZBpRgWbVEJgmEBxuWTKTJs9lHg7I</v>
      </c>
      <c r="N20" s="21" t="str">
        <f>IFERROR(__xludf.DUMMYFUNCTION("""COMPUTED_VALUE"""),"Jayakumar K N")</f>
        <v>Jayakumar K N</v>
      </c>
      <c r="O20" s="21" t="str">
        <f>IFERROR(__xludf.DUMMYFUNCTION("""COMPUTED_VALUE"""),"Advocate ")</f>
        <v>Advocate </v>
      </c>
      <c r="P20" s="21" t="str">
        <f>IFERROR(__xludf.DUMMYFUNCTION("""COMPUTED_VALUE"""),"Kozhikode ")</f>
        <v>Kozhikode </v>
      </c>
      <c r="Q20" s="21">
        <f>IFERROR(__xludf.DUMMYFUNCTION("""COMPUTED_VALUE"""),9.447338822E9)</f>
        <v>9447338822</v>
      </c>
      <c r="R20" s="21" t="str">
        <f>IFERROR(__xludf.DUMMYFUNCTION("""COMPUTED_VALUE"""),"Beena C K ")</f>
        <v>Beena C K </v>
      </c>
      <c r="S20" s="21" t="str">
        <f>IFERROR(__xludf.DUMMYFUNCTION("""COMPUTED_VALUE"""),"Joint Registrar, University of Calicut")</f>
        <v>Joint Registrar, University of Calicut</v>
      </c>
      <c r="T20" s="21" t="str">
        <f>IFERROR(__xludf.DUMMYFUNCTION("""COMPUTED_VALUE"""),"Kozhikode ")</f>
        <v>Kozhikode </v>
      </c>
      <c r="U20" s="21">
        <f>IFERROR(__xludf.DUMMYFUNCTION("""COMPUTED_VALUE"""),8.547311424E9)</f>
        <v>8547311424</v>
      </c>
      <c r="V20" s="21">
        <f>IFERROR(__xludf.DUMMYFUNCTION("""COMPUTED_VALUE"""),2.0)</f>
        <v>2</v>
      </c>
      <c r="W20" s="21" t="str">
        <f>IFERROR(__xludf.DUMMYFUNCTION("""COMPUTED_VALUE"""),"Jayakumar K N ")</f>
        <v>Jayakumar K N </v>
      </c>
      <c r="X20" s="21" t="str">
        <f>IFERROR(__xludf.DUMMYFUNCTION("""COMPUTED_VALUE"""),"Father ")</f>
        <v>Father </v>
      </c>
      <c r="Y20" s="21" t="str">
        <f>IFERROR(__xludf.DUMMYFUNCTION("""COMPUTED_VALUE"""),"Beena C K ")</f>
        <v>Beena C K </v>
      </c>
      <c r="Z20" s="21" t="str">
        <f>IFERROR(__xludf.DUMMYFUNCTION("""COMPUTED_VALUE"""),"Mother")</f>
        <v>Mother</v>
      </c>
      <c r="AA20" s="21" t="str">
        <f>IFERROR(__xludf.DUMMYFUNCTION("""COMPUTED_VALUE"""),"Non-Veg")</f>
        <v>Non-Veg</v>
      </c>
      <c r="AB20" s="21" t="str">
        <f>IFERROR(__xludf.DUMMYFUNCTION("""COMPUTED_VALUE"""),"Non-Veg")</f>
        <v>Non-Veg</v>
      </c>
      <c r="AC20" s="21" t="str">
        <f>IFERROR(__xludf.DUMMYFUNCTION("""COMPUTED_VALUE"""),"Non-Veg")</f>
        <v>Non-Veg</v>
      </c>
      <c r="AD20" s="21" t="str">
        <f>IFERROR(__xludf.DUMMYFUNCTION("""COMPUTED_VALUE"""),"Bus Drop Service not needed")</f>
        <v>Bus Drop Service not needed</v>
      </c>
      <c r="AE20" s="21">
        <f>IFERROR(__xludf.DUMMYFUNCTION("""COMPUTED_VALUE"""),0.0)</f>
        <v>0</v>
      </c>
    </row>
    <row r="21" ht="22.5" customHeight="1">
      <c r="A21" s="18">
        <f>IFERROR(__xludf.DUMMYFUNCTION("""COMPUTED_VALUE"""),46265.95055366898)</f>
        <v>46265.95055</v>
      </c>
      <c r="B21" s="21" t="str">
        <f>IFERROR(__xludf.DUMMYFUNCTION("""COMPUTED_VALUE"""),"sadia.mbbs-2020@aiimskalyani.edu.in")</f>
        <v>sadia.mbbs-2020@aiimskalyani.edu.in</v>
      </c>
      <c r="C21" s="21" t="str">
        <f>IFERROR(__xludf.DUMMYFUNCTION("""COMPUTED_VALUE"""),"SADIA ASAD")</f>
        <v>SADIA ASAD</v>
      </c>
      <c r="D21" s="21">
        <f>IFERROR(__xludf.DUMMYFUNCTION("""COMPUTED_VALUE"""),81.0)</f>
        <v>81</v>
      </c>
      <c r="E21" s="21" t="str">
        <f>IFERROR(__xludf.DUMMYFUNCTION("""COMPUTED_VALUE"""),"MBBS 2020")</f>
        <v>MBBS 2020</v>
      </c>
      <c r="F21" s="21">
        <f>IFERROR(__xludf.DUMMYFUNCTION("""COMPUTED_VALUE"""),9.334519662E9)</f>
        <v>9334519662</v>
      </c>
      <c r="G21" s="21" t="str">
        <f>IFERROR(__xludf.DUMMYFUNCTION("""COMPUTED_VALUE"""),"asad.sadia145@gmail.com")</f>
        <v>asad.sadia145@gmail.com</v>
      </c>
      <c r="H21" s="21" t="str">
        <f>IFERROR(__xludf.DUMMYFUNCTION("""COMPUTED_VALUE"""),"Yes")</f>
        <v>Yes</v>
      </c>
      <c r="I21" s="21" t="str">
        <f>IFERROR(__xludf.DUMMYFUNCTION("""COMPUTED_VALUE"""),"Reading")</f>
        <v>Reading</v>
      </c>
      <c r="J21" s="21"/>
      <c r="K21" s="21" t="str">
        <f>IFERROR(__xludf.DUMMYFUNCTION("""COMPUTED_VALUE"""),"Patna")</f>
        <v>Patna</v>
      </c>
      <c r="L21" s="22" t="str">
        <f>IFERROR(__xludf.DUMMYFUNCTION("""COMPUTED_VALUE"""),"https://drive.google.com/open?id=1OboaLdslWSE_VFpgS6LQ6bbGtwL4HwVZ")</f>
        <v>https://drive.google.com/open?id=1OboaLdslWSE_VFpgS6LQ6bbGtwL4HwVZ</v>
      </c>
      <c r="M21" s="22" t="str">
        <f>IFERROR(__xludf.DUMMYFUNCTION("""COMPUTED_VALUE"""),"https://drive.google.com/open?id=1M4hyYkBu6Cwfqdle_Jz4K-P6tWLEcVKj")</f>
        <v>https://drive.google.com/open?id=1M4hyYkBu6Cwfqdle_Jz4K-P6tWLEcVKj</v>
      </c>
      <c r="N21" s="21" t="str">
        <f>IFERROR(__xludf.DUMMYFUNCTION("""COMPUTED_VALUE"""),"Asad Ahmad")</f>
        <v>Asad Ahmad</v>
      </c>
      <c r="O21" s="21" t="str">
        <f>IFERROR(__xludf.DUMMYFUNCTION("""COMPUTED_VALUE"""),"Business man")</f>
        <v>Business man</v>
      </c>
      <c r="P21" s="21" t="str">
        <f>IFERROR(__xludf.DUMMYFUNCTION("""COMPUTED_VALUE"""),"Patna")</f>
        <v>Patna</v>
      </c>
      <c r="Q21" s="21">
        <f>IFERROR(__xludf.DUMMYFUNCTION("""COMPUTED_VALUE"""),7.992436561E9)</f>
        <v>7992436561</v>
      </c>
      <c r="R21" s="21" t="str">
        <f>IFERROR(__xludf.DUMMYFUNCTION("""COMPUTED_VALUE"""),"NIKHAT SULTANA")</f>
        <v>NIKHAT SULTANA</v>
      </c>
      <c r="S21" s="21" t="str">
        <f>IFERROR(__xludf.DUMMYFUNCTION("""COMPUTED_VALUE"""),"Homemaker")</f>
        <v>Homemaker</v>
      </c>
      <c r="T21" s="21" t="str">
        <f>IFERROR(__xludf.DUMMYFUNCTION("""COMPUTED_VALUE"""),"Patna")</f>
        <v>Patna</v>
      </c>
      <c r="U21" s="21">
        <f>IFERROR(__xludf.DUMMYFUNCTION("""COMPUTED_VALUE"""),7.563980622E9)</f>
        <v>7563980622</v>
      </c>
      <c r="V21" s="21">
        <f>IFERROR(__xludf.DUMMYFUNCTION("""COMPUTED_VALUE"""),2.0)</f>
        <v>2</v>
      </c>
      <c r="W21" s="21" t="str">
        <f>IFERROR(__xludf.DUMMYFUNCTION("""COMPUTED_VALUE"""),"Asad Ahmad")</f>
        <v>Asad Ahmad</v>
      </c>
      <c r="X21" s="21" t="str">
        <f>IFERROR(__xludf.DUMMYFUNCTION("""COMPUTED_VALUE"""),"Father")</f>
        <v>Father</v>
      </c>
      <c r="Y21" s="21" t="str">
        <f>IFERROR(__xludf.DUMMYFUNCTION("""COMPUTED_VALUE"""),"Nikhat Sultana")</f>
        <v>Nikhat Sultana</v>
      </c>
      <c r="Z21" s="21" t="str">
        <f>IFERROR(__xludf.DUMMYFUNCTION("""COMPUTED_VALUE"""),"Mother")</f>
        <v>Mother</v>
      </c>
      <c r="AA21" s="21" t="str">
        <f>IFERROR(__xludf.DUMMYFUNCTION("""COMPUTED_VALUE"""),"Non-Veg")</f>
        <v>Non-Veg</v>
      </c>
      <c r="AB21" s="21" t="str">
        <f>IFERROR(__xludf.DUMMYFUNCTION("""COMPUTED_VALUE"""),"Non-Veg")</f>
        <v>Non-Veg</v>
      </c>
      <c r="AC21" s="21" t="str">
        <f>IFERROR(__xludf.DUMMYFUNCTION("""COMPUTED_VALUE"""),"Non-Veg")</f>
        <v>Non-Veg</v>
      </c>
      <c r="AD21" s="21"/>
      <c r="AE21" s="21"/>
    </row>
    <row r="22" ht="22.5" customHeight="1">
      <c r="A22" s="18">
        <f>IFERROR(__xludf.DUMMYFUNCTION("""COMPUTED_VALUE"""),46265.93915467593)</f>
        <v>46265.93915</v>
      </c>
      <c r="B22" s="21" t="str">
        <f>IFERROR(__xludf.DUMMYFUNCTION("""COMPUTED_VALUE"""),"raghav.mbbs-2020@aiimskalyani.edu.in")</f>
        <v>raghav.mbbs-2020@aiimskalyani.edu.in</v>
      </c>
      <c r="C22" s="21" t="str">
        <f>IFERROR(__xludf.DUMMYFUNCTION("""COMPUTED_VALUE"""),"Jajoo Raghav Bhushan")</f>
        <v>Jajoo Raghav Bhushan</v>
      </c>
      <c r="D22" s="21">
        <f>IFERROR(__xludf.DUMMYFUNCTION("""COMPUTED_VALUE"""),2.02001104E8)</f>
        <v>202001104</v>
      </c>
      <c r="E22" s="21" t="str">
        <f>IFERROR(__xludf.DUMMYFUNCTION("""COMPUTED_VALUE"""),"MBBS 2020")</f>
        <v>MBBS 2020</v>
      </c>
      <c r="F22" s="21">
        <f>IFERROR(__xludf.DUMMYFUNCTION("""COMPUTED_VALUE"""),9.028844721E9)</f>
        <v>9028844721</v>
      </c>
      <c r="G22" s="21" t="str">
        <f>IFERROR(__xludf.DUMMYFUNCTION("""COMPUTED_VALUE"""),"dr.raghavjajoo@gmail.com")</f>
        <v>dr.raghavjajoo@gmail.com</v>
      </c>
      <c r="H22" s="21" t="str">
        <f>IFERROR(__xludf.DUMMYFUNCTION("""COMPUTED_VALUE"""),"Yes")</f>
        <v>Yes</v>
      </c>
      <c r="I22" s="21" t="str">
        <f>IFERROR(__xludf.DUMMYFUNCTION("""COMPUTED_VALUE"""),"Reading comics, learning about latest technological advancements")</f>
        <v>Reading comics, learning about latest technological advancements</v>
      </c>
      <c r="J22" s="21"/>
      <c r="K22" s="21" t="str">
        <f>IFERROR(__xludf.DUMMYFUNCTION("""COMPUTED_VALUE"""),"Akola, Maharashtra")</f>
        <v>Akola, Maharashtra</v>
      </c>
      <c r="L22" s="22" t="str">
        <f>IFERROR(__xludf.DUMMYFUNCTION("""COMPUTED_VALUE"""),"https://drive.google.com/open?id=1w-dlCL4gT0_WB-hCqveVhpyrCUzzYjUY")</f>
        <v>https://drive.google.com/open?id=1w-dlCL4gT0_WB-hCqveVhpyrCUzzYjUY</v>
      </c>
      <c r="M22" s="22" t="str">
        <f>IFERROR(__xludf.DUMMYFUNCTION("""COMPUTED_VALUE"""),"https://drive.google.com/open?id=1_RQbsyY23VX7jkJaUt516rn0AUuD56It")</f>
        <v>https://drive.google.com/open?id=1_RQbsyY23VX7jkJaUt516rn0AUuD56It</v>
      </c>
      <c r="N22" s="21" t="str">
        <f>IFERROR(__xludf.DUMMYFUNCTION("""COMPUTED_VALUE"""),"Bhushan Shyamsunder Jajoo")</f>
        <v>Bhushan Shyamsunder Jajoo</v>
      </c>
      <c r="O22" s="21" t="str">
        <f>IFERROR(__xludf.DUMMYFUNCTION("""COMPUTED_VALUE"""),"Chartered Accountant")</f>
        <v>Chartered Accountant</v>
      </c>
      <c r="P22" s="21" t="str">
        <f>IFERROR(__xludf.DUMMYFUNCTION("""COMPUTED_VALUE"""),"Akola, Maharashtra")</f>
        <v>Akola, Maharashtra</v>
      </c>
      <c r="Q22" s="21">
        <f>IFERROR(__xludf.DUMMYFUNCTION("""COMPUTED_VALUE"""),9.422164721E9)</f>
        <v>9422164721</v>
      </c>
      <c r="R22" s="21" t="str">
        <f>IFERROR(__xludf.DUMMYFUNCTION("""COMPUTED_VALUE"""),"Rakhee Bhushan Jajoo")</f>
        <v>Rakhee Bhushan Jajoo</v>
      </c>
      <c r="S22" s="21" t="str">
        <f>IFERROR(__xludf.DUMMYFUNCTION("""COMPUTED_VALUE"""),"Homemaker")</f>
        <v>Homemaker</v>
      </c>
      <c r="T22" s="21" t="str">
        <f>IFERROR(__xludf.DUMMYFUNCTION("""COMPUTED_VALUE"""),"Akola, Maharashtra")</f>
        <v>Akola, Maharashtra</v>
      </c>
      <c r="U22" s="21">
        <f>IFERROR(__xludf.DUMMYFUNCTION("""COMPUTED_VALUE"""),9.42258866E9)</f>
        <v>9422588660</v>
      </c>
      <c r="V22" s="21">
        <f>IFERROR(__xludf.DUMMYFUNCTION("""COMPUTED_VALUE"""),2.0)</f>
        <v>2</v>
      </c>
      <c r="W22" s="21" t="str">
        <f>IFERROR(__xludf.DUMMYFUNCTION("""COMPUTED_VALUE"""),"Bhushan Shyamsunder Jajoo")</f>
        <v>Bhushan Shyamsunder Jajoo</v>
      </c>
      <c r="X22" s="21" t="str">
        <f>IFERROR(__xludf.DUMMYFUNCTION("""COMPUTED_VALUE"""),"Father")</f>
        <v>Father</v>
      </c>
      <c r="Y22" s="21" t="str">
        <f>IFERROR(__xludf.DUMMYFUNCTION("""COMPUTED_VALUE"""),"Rakhee Bhushan Jajoo")</f>
        <v>Rakhee Bhushan Jajoo</v>
      </c>
      <c r="Z22" s="21" t="str">
        <f>IFERROR(__xludf.DUMMYFUNCTION("""COMPUTED_VALUE"""),"Mother")</f>
        <v>Mother</v>
      </c>
      <c r="AA22" s="21" t="str">
        <f>IFERROR(__xludf.DUMMYFUNCTION("""COMPUTED_VALUE"""),"Veg")</f>
        <v>Veg</v>
      </c>
      <c r="AB22" s="21" t="str">
        <f>IFERROR(__xludf.DUMMYFUNCTION("""COMPUTED_VALUE"""),"Veg")</f>
        <v>Veg</v>
      </c>
      <c r="AC22" s="21" t="str">
        <f>IFERROR(__xludf.DUMMYFUNCTION("""COMPUTED_VALUE"""),"Veg")</f>
        <v>Veg</v>
      </c>
      <c r="AD22" s="21" t="str">
        <f>IFERROR(__xludf.DUMMYFUNCTION("""COMPUTED_VALUE"""),"Bus Drop Service not needed")</f>
        <v>Bus Drop Service not needed</v>
      </c>
      <c r="AE22" s="21">
        <f>IFERROR(__xludf.DUMMYFUNCTION("""COMPUTED_VALUE"""),0.0)</f>
        <v>0</v>
      </c>
    </row>
    <row r="23" ht="22.5" customHeight="1">
      <c r="A23" s="18">
        <f>IFERROR(__xludf.DUMMYFUNCTION("""COMPUTED_VALUE"""),46265.92654341435)</f>
        <v>46265.92654</v>
      </c>
      <c r="B23" s="21" t="str">
        <f>IFERROR(__xludf.DUMMYFUNCTION("""COMPUTED_VALUE"""),"dilshana.mbbs-2020@aiimskalyani.edu.in")</f>
        <v>dilshana.mbbs-2020@aiimskalyani.edu.in</v>
      </c>
      <c r="C23" s="21" t="str">
        <f>IFERROR(__xludf.DUMMYFUNCTION("""COMPUTED_VALUE"""),"DILSHANA")</f>
        <v>DILSHANA</v>
      </c>
      <c r="D23" s="21">
        <f>IFERROR(__xludf.DUMMYFUNCTION("""COMPUTED_VALUE"""),2.0200196E7)</f>
        <v>20200196</v>
      </c>
      <c r="E23" s="21" t="str">
        <f>IFERROR(__xludf.DUMMYFUNCTION("""COMPUTED_VALUE"""),"MBBS 2020")</f>
        <v>MBBS 2020</v>
      </c>
      <c r="F23" s="21">
        <f>IFERROR(__xludf.DUMMYFUNCTION("""COMPUTED_VALUE"""),9.048548253E9)</f>
        <v>9048548253</v>
      </c>
      <c r="G23" s="21" t="str">
        <f>IFERROR(__xludf.DUMMYFUNCTION("""COMPUTED_VALUE"""),"dilshana.mbbs-2020@aiimskalyani.edu.in")</f>
        <v>dilshana.mbbs-2020@aiimskalyani.edu.in</v>
      </c>
      <c r="H23" s="21" t="str">
        <f>IFERROR(__xludf.DUMMYFUNCTION("""COMPUTED_VALUE"""),"Yes")</f>
        <v>Yes</v>
      </c>
      <c r="I23" s="21" t="str">
        <f>IFERROR(__xludf.DUMMYFUNCTION("""COMPUTED_VALUE"""),"Reading books, watching movies and series, and travelling.")</f>
        <v>Reading books, watching movies and series, and travelling.</v>
      </c>
      <c r="J23" s="21" t="str">
        <f>IFERROR(__xludf.DUMMYFUNCTION("""COMPUTED_VALUE"""),"Quiz competitions")</f>
        <v>Quiz competitions</v>
      </c>
      <c r="K23" s="21" t="str">
        <f>IFERROR(__xludf.DUMMYFUNCTION("""COMPUTED_VALUE"""),"Manjeri ")</f>
        <v>Manjeri </v>
      </c>
      <c r="L23" s="22" t="str">
        <f>IFERROR(__xludf.DUMMYFUNCTION("""COMPUTED_VALUE"""),"https://drive.google.com/open?id=1mwvfinyTu_GlNS7PFEptZd9hpZlvKQt7")</f>
        <v>https://drive.google.com/open?id=1mwvfinyTu_GlNS7PFEptZd9hpZlvKQt7</v>
      </c>
      <c r="M23" s="22" t="str">
        <f>IFERROR(__xludf.DUMMYFUNCTION("""COMPUTED_VALUE"""),"https://drive.google.com/open?id=1uR5vsOrSI85HE4CPSUghFcqzikifUj7l")</f>
        <v>https://drive.google.com/open?id=1uR5vsOrSI85HE4CPSUghFcqzikifUj7l</v>
      </c>
      <c r="N23" s="21" t="str">
        <f>IFERROR(__xludf.DUMMYFUNCTION("""COMPUTED_VALUE"""),"Nazeer")</f>
        <v>Nazeer</v>
      </c>
      <c r="O23" s="21" t="str">
        <f>IFERROR(__xludf.DUMMYFUNCTION("""COMPUTED_VALUE"""),"Business ")</f>
        <v>Business </v>
      </c>
      <c r="P23" s="21" t="str">
        <f>IFERROR(__xludf.DUMMYFUNCTION("""COMPUTED_VALUE"""),"Manjeri ")</f>
        <v>Manjeri </v>
      </c>
      <c r="Q23" s="21">
        <f>IFERROR(__xludf.DUMMYFUNCTION("""COMPUTED_VALUE"""),9.495174049E9)</f>
        <v>9495174049</v>
      </c>
      <c r="R23" s="21" t="str">
        <f>IFERROR(__xludf.DUMMYFUNCTION("""COMPUTED_VALUE"""),"Ameen Rasiyana ")</f>
        <v>Ameen Rasiyana </v>
      </c>
      <c r="S23" s="21" t="str">
        <f>IFERROR(__xludf.DUMMYFUNCTION("""COMPUTED_VALUE"""),"Homemaker")</f>
        <v>Homemaker</v>
      </c>
      <c r="T23" s="21" t="str">
        <f>IFERROR(__xludf.DUMMYFUNCTION("""COMPUTED_VALUE"""),"Manjeri")</f>
        <v>Manjeri</v>
      </c>
      <c r="U23" s="21">
        <f>IFERROR(__xludf.DUMMYFUNCTION("""COMPUTED_VALUE"""),9.048497082E9)</f>
        <v>9048497082</v>
      </c>
      <c r="V23" s="21">
        <f>IFERROR(__xludf.DUMMYFUNCTION("""COMPUTED_VALUE"""),2.0)</f>
        <v>2</v>
      </c>
      <c r="W23" s="21" t="str">
        <f>IFERROR(__xludf.DUMMYFUNCTION("""COMPUTED_VALUE"""),"Nazeer")</f>
        <v>Nazeer</v>
      </c>
      <c r="X23" s="21" t="str">
        <f>IFERROR(__xludf.DUMMYFUNCTION("""COMPUTED_VALUE"""),"Father")</f>
        <v>Father</v>
      </c>
      <c r="Y23" s="21" t="str">
        <f>IFERROR(__xludf.DUMMYFUNCTION("""COMPUTED_VALUE"""),"Ameen Rasiyana")</f>
        <v>Ameen Rasiyana</v>
      </c>
      <c r="Z23" s="21" t="str">
        <f>IFERROR(__xludf.DUMMYFUNCTION("""COMPUTED_VALUE"""),"Mother")</f>
        <v>Mother</v>
      </c>
      <c r="AA23" s="21" t="str">
        <f>IFERROR(__xludf.DUMMYFUNCTION("""COMPUTED_VALUE"""),"Non-Veg")</f>
        <v>Non-Veg</v>
      </c>
      <c r="AB23" s="21" t="str">
        <f>IFERROR(__xludf.DUMMYFUNCTION("""COMPUTED_VALUE"""),"Non-Veg")</f>
        <v>Non-Veg</v>
      </c>
      <c r="AC23" s="21" t="str">
        <f>IFERROR(__xludf.DUMMYFUNCTION("""COMPUTED_VALUE"""),"Non-Veg")</f>
        <v>Non-Veg</v>
      </c>
      <c r="AD23" s="21"/>
      <c r="AE23" s="21"/>
    </row>
    <row r="24" ht="22.5" customHeight="1">
      <c r="A24" s="18">
        <f>IFERROR(__xludf.DUMMYFUNCTION("""COMPUTED_VALUE"""),46265.92494744213)</f>
        <v>46265.92495</v>
      </c>
      <c r="B24" s="21" t="str">
        <f>IFERROR(__xludf.DUMMYFUNCTION("""COMPUTED_VALUE"""),"debbani.mbbs-2020@aiimskalyani.edu.in")</f>
        <v>debbani.mbbs-2020@aiimskalyani.edu.in</v>
      </c>
      <c r="C24" s="21" t="str">
        <f>IFERROR(__xludf.DUMMYFUNCTION("""COMPUTED_VALUE"""),"DEBBANI BOSE ")</f>
        <v>DEBBANI BOSE </v>
      </c>
      <c r="D24" s="21">
        <f>IFERROR(__xludf.DUMMYFUNCTION("""COMPUTED_VALUE"""),2.0200191E7)</f>
        <v>20200191</v>
      </c>
      <c r="E24" s="21" t="str">
        <f>IFERROR(__xludf.DUMMYFUNCTION("""COMPUTED_VALUE"""),"MBBS 2020")</f>
        <v>MBBS 2020</v>
      </c>
      <c r="F24" s="21">
        <f>IFERROR(__xludf.DUMMYFUNCTION("""COMPUTED_VALUE"""),9.945925702E9)</f>
        <v>9945925702</v>
      </c>
      <c r="G24" s="21" t="str">
        <f>IFERROR(__xludf.DUMMYFUNCTION("""COMPUTED_VALUE"""),"debbanibose@gmail.com")</f>
        <v>debbanibose@gmail.com</v>
      </c>
      <c r="H24" s="21" t="str">
        <f>IFERROR(__xludf.DUMMYFUNCTION("""COMPUTED_VALUE"""),"Yes")</f>
        <v>Yes</v>
      </c>
      <c r="I24" s="21" t="str">
        <f>IFERROR(__xludf.DUMMYFUNCTION("""COMPUTED_VALUE"""),"Poetry and writing.")</f>
        <v>Poetry and writing.</v>
      </c>
      <c r="J24" s="21" t="str">
        <f>IFERROR(__xludf.DUMMYFUNCTION("""COMPUTED_VALUE"""),"
- Former Literary club Head from 2023-24.
- Former Student council member.
- 1st place in AIIMS RBL Parichay '21.
- 1st place in AIIMS Bathinda Aroha '21.
- Published in Jublieum- book of complication of poems, for my piece on teenagers dealing with body"&amp;" image issues and mental health illnesses.")</f>
        <v>
- Former Literary club Head from 2023-24.
- Former Student council member.
- 1st place in AIIMS RBL Parichay '21.
- 1st place in AIIMS Bathinda Aroha '21.
- Published in Jublieum- book of complication of poems, for my piece on teenagers dealing with body image issues and mental health illnesses.</v>
      </c>
      <c r="K24" s="21" t="str">
        <f>IFERROR(__xludf.DUMMYFUNCTION("""COMPUTED_VALUE"""),"Bangalore, Karnataka.")</f>
        <v>Bangalore, Karnataka.</v>
      </c>
      <c r="L24" s="22" t="str">
        <f>IFERROR(__xludf.DUMMYFUNCTION("""COMPUTED_VALUE"""),"https://drive.google.com/open?id=1bxSA1M8vDxdA9SRzFjtp8DsGBzonvqE0")</f>
        <v>https://drive.google.com/open?id=1bxSA1M8vDxdA9SRzFjtp8DsGBzonvqE0</v>
      </c>
      <c r="M24" s="22" t="str">
        <f>IFERROR(__xludf.DUMMYFUNCTION("""COMPUTED_VALUE"""),"https://drive.google.com/open?id=1NDNGIUV1WswD5-HvnX6C0v1n_4ZYWLYP")</f>
        <v>https://drive.google.com/open?id=1NDNGIUV1WswD5-HvnX6C0v1n_4ZYWLYP</v>
      </c>
      <c r="N24" s="21" t="str">
        <f>IFERROR(__xludf.DUMMYFUNCTION("""COMPUTED_VALUE"""),"DIPTIMAN BOSE")</f>
        <v>DIPTIMAN BOSE</v>
      </c>
      <c r="O24" s="21" t="str">
        <f>IFERROR(__xludf.DUMMYFUNCTION("""COMPUTED_VALUE"""),"Software Engineer ")</f>
        <v>Software Engineer </v>
      </c>
      <c r="P24" s="21" t="str">
        <f>IFERROR(__xludf.DUMMYFUNCTION("""COMPUTED_VALUE"""),"Bangalore ")</f>
        <v>Bangalore </v>
      </c>
      <c r="Q24" s="21">
        <f>IFERROR(__xludf.DUMMYFUNCTION("""COMPUTED_VALUE"""),9.53571546E9)</f>
        <v>9535715460</v>
      </c>
      <c r="R24" s="21" t="str">
        <f>IFERROR(__xludf.DUMMYFUNCTION("""COMPUTED_VALUE"""),"MAITRAYEE BOSE")</f>
        <v>MAITRAYEE BOSE</v>
      </c>
      <c r="S24" s="21" t="str">
        <f>IFERROR(__xludf.DUMMYFUNCTION("""COMPUTED_VALUE"""),"Civil advocate ")</f>
        <v>Civil advocate </v>
      </c>
      <c r="T24" s="21" t="str">
        <f>IFERROR(__xludf.DUMMYFUNCTION("""COMPUTED_VALUE"""),"Bangalore ")</f>
        <v>Bangalore </v>
      </c>
      <c r="U24" s="21">
        <f>IFERROR(__xludf.DUMMYFUNCTION("""COMPUTED_VALUE"""),9.108893316E9)</f>
        <v>9108893316</v>
      </c>
      <c r="V24" s="21">
        <f>IFERROR(__xludf.DUMMYFUNCTION("""COMPUTED_VALUE"""),2.0)</f>
        <v>2</v>
      </c>
      <c r="W24" s="21" t="str">
        <f>IFERROR(__xludf.DUMMYFUNCTION("""COMPUTED_VALUE"""),"ANINDITA BOSE")</f>
        <v>ANINDITA BOSE</v>
      </c>
      <c r="X24" s="21" t="str">
        <f>IFERROR(__xludf.DUMMYFUNCTION("""COMPUTED_VALUE"""),"Grandmother")</f>
        <v>Grandmother</v>
      </c>
      <c r="Y24" s="21" t="str">
        <f>IFERROR(__xludf.DUMMYFUNCTION("""COMPUTED_VALUE"""),"CHAITALI NAG")</f>
        <v>CHAITALI NAG</v>
      </c>
      <c r="Z24" s="21" t="str">
        <f>IFERROR(__xludf.DUMMYFUNCTION("""COMPUTED_VALUE"""),"Grandmother ")</f>
        <v>Grandmother </v>
      </c>
      <c r="AA24" s="21" t="str">
        <f>IFERROR(__xludf.DUMMYFUNCTION("""COMPUTED_VALUE"""),"Non-Veg")</f>
        <v>Non-Veg</v>
      </c>
      <c r="AB24" s="21" t="str">
        <f>IFERROR(__xludf.DUMMYFUNCTION("""COMPUTED_VALUE"""),"Veg")</f>
        <v>Veg</v>
      </c>
      <c r="AC24" s="21" t="str">
        <f>IFERROR(__xludf.DUMMYFUNCTION("""COMPUTED_VALUE"""),"Non-Veg")</f>
        <v>Non-Veg</v>
      </c>
      <c r="AD24" s="21" t="str">
        <f>IFERROR(__xludf.DUMMYFUNCTION("""COMPUTED_VALUE"""),"Drop at Kolkata Airport")</f>
        <v>Drop at Kolkata Airport</v>
      </c>
      <c r="AE24" s="21">
        <f>IFERROR(__xludf.DUMMYFUNCTION("""COMPUTED_VALUE"""),3.0)</f>
        <v>3</v>
      </c>
    </row>
    <row r="25" ht="22.5" customHeight="1">
      <c r="A25" s="18">
        <f>IFERROR(__xludf.DUMMYFUNCTION("""COMPUTED_VALUE"""),46265.92348233797)</f>
        <v>46265.92348</v>
      </c>
      <c r="B25" s="21" t="str">
        <f>IFERROR(__xludf.DUMMYFUNCTION("""COMPUTED_VALUE"""),"rojimandal000@gmail.com")</f>
        <v>rojimandal000@gmail.com</v>
      </c>
      <c r="C25" s="21" t="str">
        <f>IFERROR(__xludf.DUMMYFUNCTION("""COMPUTED_VALUE"""),"ROJI MANDAL ")</f>
        <v>ROJI MANDAL </v>
      </c>
      <c r="D25" s="21">
        <f>IFERROR(__xludf.DUMMYFUNCTION("""COMPUTED_VALUE"""),2.024041E7)</f>
        <v>20240410</v>
      </c>
      <c r="E25" s="21" t="str">
        <f>IFERROR(__xludf.DUMMYFUNCTION("""COMPUTED_VALUE"""),"M.Sc. Nursing 2024")</f>
        <v>M.Sc. Nursing 2024</v>
      </c>
      <c r="F25" s="21">
        <f>IFERROR(__xludf.DUMMYFUNCTION("""COMPUTED_VALUE"""),6.291421596E9)</f>
        <v>6291421596</v>
      </c>
      <c r="G25" s="21" t="str">
        <f>IFERROR(__xludf.DUMMYFUNCTION("""COMPUTED_VALUE"""),"rojimandal000@gmail.com")</f>
        <v>rojimandal000@gmail.com</v>
      </c>
      <c r="H25" s="21" t="str">
        <f>IFERROR(__xludf.DUMMYFUNCTION("""COMPUTED_VALUE"""),"Yes")</f>
        <v>Yes</v>
      </c>
      <c r="I25" s="21" t="str">
        <f>IFERROR(__xludf.DUMMYFUNCTION("""COMPUTED_VALUE"""),"My hobbies include listening to music, watching movies, travelling, and spending time with my family and friends. I’m also interested in learning new things. I enjoy reading and exploring topics that help me grow personally and professionally.")</f>
        <v>My hobbies include listening to music, watching movies, travelling, and spending time with my family and friends. I’m also interested in learning new things. I enjoy reading and exploring topics that help me grow personally and professionally.</v>
      </c>
      <c r="J25" s="21" t="str">
        <f>IFERROR(__xludf.DUMMYFUNCTION("""COMPUTED_VALUE"""),"I am a brown belt in karate.")</f>
        <v>I am a brown belt in karate.</v>
      </c>
      <c r="K25" s="21" t="str">
        <f>IFERROR(__xludf.DUMMYFUNCTION("""COMPUTED_VALUE"""),"Ranaghat, west bengal ")</f>
        <v>Ranaghat, west bengal </v>
      </c>
      <c r="L25" s="22" t="str">
        <f>IFERROR(__xludf.DUMMYFUNCTION("""COMPUTED_VALUE"""),"https://drive.google.com/open?id=19Ufj63siWdyY2o1IyYqcc7TOHpr4iSYv")</f>
        <v>https://drive.google.com/open?id=19Ufj63siWdyY2o1IyYqcc7TOHpr4iSYv</v>
      </c>
      <c r="M25" s="22" t="str">
        <f>IFERROR(__xludf.DUMMYFUNCTION("""COMPUTED_VALUE"""),"https://drive.google.com/open?id=1F5T_c4pLztvxFFHJnUrj7TdNSkk4EBJR")</f>
        <v>https://drive.google.com/open?id=1F5T_c4pLztvxFFHJnUrj7TdNSkk4EBJR</v>
      </c>
      <c r="N25" s="21" t="str">
        <f>IFERROR(__xludf.DUMMYFUNCTION("""COMPUTED_VALUE"""),"Ranjit Kumar Mandal ")</f>
        <v>Ranjit Kumar Mandal </v>
      </c>
      <c r="O25" s="21" t="str">
        <f>IFERROR(__xludf.DUMMYFUNCTION("""COMPUTED_VALUE"""),"Pharmacist ")</f>
        <v>Pharmacist </v>
      </c>
      <c r="P25" s="21" t="str">
        <f>IFERROR(__xludf.DUMMYFUNCTION("""COMPUTED_VALUE"""),"Ranaghat, west bengal ")</f>
        <v>Ranaghat, west bengal </v>
      </c>
      <c r="Q25" s="21">
        <f>IFERROR(__xludf.DUMMYFUNCTION("""COMPUTED_VALUE"""),7.654286296E9)</f>
        <v>7654286296</v>
      </c>
      <c r="R25" s="21" t="str">
        <f>IFERROR(__xludf.DUMMYFUNCTION("""COMPUTED_VALUE"""),"Sheli Mandal ")</f>
        <v>Sheli Mandal </v>
      </c>
      <c r="S25" s="21" t="str">
        <f>IFERROR(__xludf.DUMMYFUNCTION("""COMPUTED_VALUE"""),"House wife ")</f>
        <v>House wife </v>
      </c>
      <c r="T25" s="21" t="str">
        <f>IFERROR(__xludf.DUMMYFUNCTION("""COMPUTED_VALUE"""),"Ranaghat, west bengal ")</f>
        <v>Ranaghat, west bengal </v>
      </c>
      <c r="U25" s="21">
        <f>IFERROR(__xludf.DUMMYFUNCTION("""COMPUTED_VALUE"""),6.289643354E9)</f>
        <v>6289643354</v>
      </c>
      <c r="V25" s="21">
        <f>IFERROR(__xludf.DUMMYFUNCTION("""COMPUTED_VALUE"""),2.0)</f>
        <v>2</v>
      </c>
      <c r="W25" s="21" t="str">
        <f>IFERROR(__xludf.DUMMYFUNCTION("""COMPUTED_VALUE"""),"Ranjit Kumar Mandal ")</f>
        <v>Ranjit Kumar Mandal </v>
      </c>
      <c r="X25" s="21" t="str">
        <f>IFERROR(__xludf.DUMMYFUNCTION("""COMPUTED_VALUE"""),"Father ")</f>
        <v>Father </v>
      </c>
      <c r="Y25" s="21" t="str">
        <f>IFERROR(__xludf.DUMMYFUNCTION("""COMPUTED_VALUE"""),"Sheli Mandal ")</f>
        <v>Sheli Mandal </v>
      </c>
      <c r="Z25" s="21" t="str">
        <f>IFERROR(__xludf.DUMMYFUNCTION("""COMPUTED_VALUE"""),"Mother ")</f>
        <v>Mother </v>
      </c>
      <c r="AA25" s="21" t="str">
        <f>IFERROR(__xludf.DUMMYFUNCTION("""COMPUTED_VALUE"""),"Veg")</f>
        <v>Veg</v>
      </c>
      <c r="AB25" s="21" t="str">
        <f>IFERROR(__xludf.DUMMYFUNCTION("""COMPUTED_VALUE"""),"Non-Veg")</f>
        <v>Non-Veg</v>
      </c>
      <c r="AC25" s="21" t="str">
        <f>IFERROR(__xludf.DUMMYFUNCTION("""COMPUTED_VALUE"""),"Veg")</f>
        <v>Veg</v>
      </c>
      <c r="AD25" s="21" t="str">
        <f>IFERROR(__xludf.DUMMYFUNCTION("""COMPUTED_VALUE"""),"Drop at Kalyani Railway Station")</f>
        <v>Drop at Kalyani Railway Station</v>
      </c>
      <c r="AE25" s="21">
        <f>IFERROR(__xludf.DUMMYFUNCTION("""COMPUTED_VALUE"""),3.0)</f>
        <v>3</v>
      </c>
    </row>
    <row r="26" ht="22.5" customHeight="1">
      <c r="A26" s="18">
        <f>IFERROR(__xludf.DUMMYFUNCTION("""COMPUTED_VALUE"""),46265.912566122686)</f>
        <v>46265.91257</v>
      </c>
      <c r="B26" s="21" t="str">
        <f>IFERROR(__xludf.DUMMYFUNCTION("""COMPUTED_VALUE"""),"aditya.mbbs-2020@aiimskalyani.edu.in")</f>
        <v>aditya.mbbs-2020@aiimskalyani.edu.in</v>
      </c>
      <c r="C26" s="21" t="str">
        <f>IFERROR(__xludf.DUMMYFUNCTION("""COMPUTED_VALUE"""),"ADITYA KUMAR")</f>
        <v>ADITYA KUMAR</v>
      </c>
      <c r="D26" s="21">
        <f>IFERROR(__xludf.DUMMYFUNCTION("""COMPUTED_VALUE"""),2.0200155E7)</f>
        <v>20200155</v>
      </c>
      <c r="E26" s="21" t="str">
        <f>IFERROR(__xludf.DUMMYFUNCTION("""COMPUTED_VALUE"""),"MBBS 2020")</f>
        <v>MBBS 2020</v>
      </c>
      <c r="F26" s="21">
        <f>IFERROR(__xludf.DUMMYFUNCTION("""COMPUTED_VALUE"""),8.102771334E9)</f>
        <v>8102771334</v>
      </c>
      <c r="G26" s="21" t="str">
        <f>IFERROR(__xludf.DUMMYFUNCTION("""COMPUTED_VALUE"""),"draditya1199@gmail.com")</f>
        <v>draditya1199@gmail.com</v>
      </c>
      <c r="H26" s="21" t="str">
        <f>IFERROR(__xludf.DUMMYFUNCTION("""COMPUTED_VALUE"""),"Yes")</f>
        <v>Yes</v>
      </c>
      <c r="I26" s="21"/>
      <c r="J26" s="21"/>
      <c r="K26" s="21" t="str">
        <f>IFERROR(__xludf.DUMMYFUNCTION("""COMPUTED_VALUE"""),"Pagra, Dalsinghsarai")</f>
        <v>Pagra, Dalsinghsarai</v>
      </c>
      <c r="L26" s="22" t="str">
        <f>IFERROR(__xludf.DUMMYFUNCTION("""COMPUTED_VALUE"""),"https://drive.google.com/open?id=1Y1foghnEA07kwud4sQLKKV6zRzOM15n9")</f>
        <v>https://drive.google.com/open?id=1Y1foghnEA07kwud4sQLKKV6zRzOM15n9</v>
      </c>
      <c r="M26" s="22" t="str">
        <f>IFERROR(__xludf.DUMMYFUNCTION("""COMPUTED_VALUE"""),"https://drive.google.com/open?id=1asIqFYiXtPw0r4rZI-vGyuIlVhENGzDl")</f>
        <v>https://drive.google.com/open?id=1asIqFYiXtPw0r4rZI-vGyuIlVhENGzDl</v>
      </c>
      <c r="N26" s="21" t="str">
        <f>IFERROR(__xludf.DUMMYFUNCTION("""COMPUTED_VALUE"""),"Krishna kumar singh")</f>
        <v>Krishna kumar singh</v>
      </c>
      <c r="O26" s="21" t="str">
        <f>IFERROR(__xludf.DUMMYFUNCTION("""COMPUTED_VALUE"""),"Job")</f>
        <v>Job</v>
      </c>
      <c r="P26" s="21" t="str">
        <f>IFERROR(__xludf.DUMMYFUNCTION("""COMPUTED_VALUE"""),"Pagra, Dalsinghsarai")</f>
        <v>Pagra, Dalsinghsarai</v>
      </c>
      <c r="Q26" s="21">
        <f>IFERROR(__xludf.DUMMYFUNCTION("""COMPUTED_VALUE"""),7.004307149E9)</f>
        <v>7004307149</v>
      </c>
      <c r="R26" s="21" t="str">
        <f>IFERROR(__xludf.DUMMYFUNCTION("""COMPUTED_VALUE"""),"Mala kumari")</f>
        <v>Mala kumari</v>
      </c>
      <c r="S26" s="21" t="str">
        <f>IFERROR(__xludf.DUMMYFUNCTION("""COMPUTED_VALUE"""),"Homemaker")</f>
        <v>Homemaker</v>
      </c>
      <c r="T26" s="21" t="str">
        <f>IFERROR(__xludf.DUMMYFUNCTION("""COMPUTED_VALUE"""),"Pagra, Dalsinghsarai")</f>
        <v>Pagra, Dalsinghsarai</v>
      </c>
      <c r="U26" s="21">
        <f>IFERROR(__xludf.DUMMYFUNCTION("""COMPUTED_VALUE"""),9.525919009E9)</f>
        <v>9525919009</v>
      </c>
      <c r="V26" s="21">
        <f>IFERROR(__xludf.DUMMYFUNCTION("""COMPUTED_VALUE"""),1.0)</f>
        <v>1</v>
      </c>
      <c r="W26" s="21" t="str">
        <f>IFERROR(__xludf.DUMMYFUNCTION("""COMPUTED_VALUE"""),"Mala kumari")</f>
        <v>Mala kumari</v>
      </c>
      <c r="X26" s="21" t="str">
        <f>IFERROR(__xludf.DUMMYFUNCTION("""COMPUTED_VALUE"""),"Mother")</f>
        <v>Mother</v>
      </c>
      <c r="Y26" s="21"/>
      <c r="Z26" s="21"/>
      <c r="AA26" s="21" t="str">
        <f>IFERROR(__xludf.DUMMYFUNCTION("""COMPUTED_VALUE"""),"Non-Veg")</f>
        <v>Non-Veg</v>
      </c>
      <c r="AB26" s="21" t="str">
        <f>IFERROR(__xludf.DUMMYFUNCTION("""COMPUTED_VALUE"""),"Veg")</f>
        <v>Veg</v>
      </c>
      <c r="AC26" s="21"/>
      <c r="AD26" s="21" t="str">
        <f>IFERROR(__xludf.DUMMYFUNCTION("""COMPUTED_VALUE"""),"Bus Drop Service not needed")</f>
        <v>Bus Drop Service not needed</v>
      </c>
      <c r="AE26" s="21"/>
    </row>
    <row r="27" ht="22.5" customHeight="1">
      <c r="A27" s="18">
        <f>IFERROR(__xludf.DUMMYFUNCTION("""COMPUTED_VALUE"""),46265.887947372685)</f>
        <v>46265.88795</v>
      </c>
      <c r="B27" s="21" t="str">
        <f>IFERROR(__xludf.DUMMYFUNCTION("""COMPUTED_VALUE"""),"soutrikoff@gmail.com")</f>
        <v>soutrikoff@gmail.com</v>
      </c>
      <c r="C27" s="21" t="str">
        <f>IFERROR(__xludf.DUMMYFUNCTION("""COMPUTED_VALUE"""),"SOUTRIK SUR")</f>
        <v>SOUTRIK SUR</v>
      </c>
      <c r="D27" s="21" t="str">
        <f>IFERROR(__xludf.DUMMYFUNCTION("""COMPUTED_VALUE"""),"99/202001149")</f>
        <v>99/202001149</v>
      </c>
      <c r="E27" s="21" t="str">
        <f>IFERROR(__xludf.DUMMYFUNCTION("""COMPUTED_VALUE"""),"MBBS 2020")</f>
        <v>MBBS 2020</v>
      </c>
      <c r="F27" s="21">
        <f>IFERROR(__xludf.DUMMYFUNCTION("""COMPUTED_VALUE"""),9.073368142E9)</f>
        <v>9073368142</v>
      </c>
      <c r="G27" s="21" t="str">
        <f>IFERROR(__xludf.DUMMYFUNCTION("""COMPUTED_VALUE"""),"soutrikoff@gmail.com")</f>
        <v>soutrikoff@gmail.com</v>
      </c>
      <c r="H27" s="21" t="str">
        <f>IFERROR(__xludf.DUMMYFUNCTION("""COMPUTED_VALUE"""),"Yes")</f>
        <v>Yes</v>
      </c>
      <c r="I27" s="21"/>
      <c r="J27" s="21"/>
      <c r="K27" s="21" t="str">
        <f>IFERROR(__xludf.DUMMYFUNCTION("""COMPUTED_VALUE"""),"Mogra Natungram, Hooghly, West Bengal")</f>
        <v>Mogra Natungram, Hooghly, West Bengal</v>
      </c>
      <c r="L27" s="22" t="str">
        <f>IFERROR(__xludf.DUMMYFUNCTION("""COMPUTED_VALUE"""),"https://drive.google.com/open?id=1tOkABRd3IDmLi4uocyutdNGXt3rhuheO")</f>
        <v>https://drive.google.com/open?id=1tOkABRd3IDmLi4uocyutdNGXt3rhuheO</v>
      </c>
      <c r="M27" s="22" t="str">
        <f>IFERROR(__xludf.DUMMYFUNCTION("""COMPUTED_VALUE"""),"https://drive.google.com/open?id=1bfJEJzu4gXqRKHMMJMBuDis_HF_aQ2JT")</f>
        <v>https://drive.google.com/open?id=1bfJEJzu4gXqRKHMMJMBuDis_HF_aQ2JT</v>
      </c>
      <c r="N27" s="21" t="str">
        <f>IFERROR(__xludf.DUMMYFUNCTION("""COMPUTED_VALUE"""),"RAGHUNATH SUR")</f>
        <v>RAGHUNATH SUR</v>
      </c>
      <c r="O27" s="21" t="str">
        <f>IFERROR(__xludf.DUMMYFUNCTION("""COMPUTED_VALUE"""),"Retired teacher, PhD in parasitology(Zoology)")</f>
        <v>Retired teacher, PhD in parasitology(Zoology)</v>
      </c>
      <c r="P27" s="21" t="str">
        <f>IFERROR(__xludf.DUMMYFUNCTION("""COMPUTED_VALUE"""),"Amra, Hooghly")</f>
        <v>Amra, Hooghly</v>
      </c>
      <c r="Q27" s="21">
        <f>IFERROR(__xludf.DUMMYFUNCTION("""COMPUTED_VALUE"""),9.433873092E9)</f>
        <v>9433873092</v>
      </c>
      <c r="R27" s="21" t="str">
        <f>IFERROR(__xludf.DUMMYFUNCTION("""COMPUTED_VALUE"""),"Kalpana Sur")</f>
        <v>Kalpana Sur</v>
      </c>
      <c r="S27" s="21" t="str">
        <f>IFERROR(__xludf.DUMMYFUNCTION("""COMPUTED_VALUE"""),"Housewife, B.Sc.(Botany), B.A.(Political Science)")</f>
        <v>Housewife, B.Sc.(Botany), B.A.(Political Science)</v>
      </c>
      <c r="T27" s="21" t="str">
        <f>IFERROR(__xludf.DUMMYFUNCTION("""COMPUTED_VALUE"""),"Khei, Hooghly")</f>
        <v>Khei, Hooghly</v>
      </c>
      <c r="U27" s="21">
        <f>IFERROR(__xludf.DUMMYFUNCTION("""COMPUTED_VALUE"""),9.163445748E9)</f>
        <v>9163445748</v>
      </c>
      <c r="V27" s="21">
        <f>IFERROR(__xludf.DUMMYFUNCTION("""COMPUTED_VALUE"""),2.0)</f>
        <v>2</v>
      </c>
      <c r="W27" s="21" t="str">
        <f>IFERROR(__xludf.DUMMYFUNCTION("""COMPUTED_VALUE"""),"Raghunath Sur")</f>
        <v>Raghunath Sur</v>
      </c>
      <c r="X27" s="21" t="str">
        <f>IFERROR(__xludf.DUMMYFUNCTION("""COMPUTED_VALUE"""),"Father")</f>
        <v>Father</v>
      </c>
      <c r="Y27" s="21" t="str">
        <f>IFERROR(__xludf.DUMMYFUNCTION("""COMPUTED_VALUE"""),"Kalpana Sur")</f>
        <v>Kalpana Sur</v>
      </c>
      <c r="Z27" s="21" t="str">
        <f>IFERROR(__xludf.DUMMYFUNCTION("""COMPUTED_VALUE"""),"Mother")</f>
        <v>Mother</v>
      </c>
      <c r="AA27" s="21" t="str">
        <f>IFERROR(__xludf.DUMMYFUNCTION("""COMPUTED_VALUE"""),"Non-Veg")</f>
        <v>Non-Veg</v>
      </c>
      <c r="AB27" s="21" t="str">
        <f>IFERROR(__xludf.DUMMYFUNCTION("""COMPUTED_VALUE"""),"Non-Veg")</f>
        <v>Non-Veg</v>
      </c>
      <c r="AC27" s="21" t="str">
        <f>IFERROR(__xludf.DUMMYFUNCTION("""COMPUTED_VALUE"""),"Non-Veg")</f>
        <v>Non-Veg</v>
      </c>
      <c r="AD27" s="21" t="str">
        <f>IFERROR(__xludf.DUMMYFUNCTION("""COMPUTED_VALUE"""),"Bus Drop Service not needed")</f>
        <v>Bus Drop Service not needed</v>
      </c>
      <c r="AE27" s="21">
        <f>IFERROR(__xludf.DUMMYFUNCTION("""COMPUTED_VALUE"""),0.0)</f>
        <v>0</v>
      </c>
    </row>
    <row r="28" ht="22.5" customHeight="1">
      <c r="A28" s="18">
        <f>IFERROR(__xludf.DUMMYFUNCTION("""COMPUTED_VALUE"""),46265.85586752315)</f>
        <v>46265.85587</v>
      </c>
      <c r="B28" s="21" t="str">
        <f>IFERROR(__xludf.DUMMYFUNCTION("""COMPUTED_VALUE"""),"adithya.mbbs-2020@aiimskalyani.edu.in")</f>
        <v>adithya.mbbs-2020@aiimskalyani.edu.in</v>
      </c>
      <c r="C28" s="21" t="str">
        <f>IFERROR(__xludf.DUMMYFUNCTION("""COMPUTED_VALUE"""),"ADITHYA BIJITH")</f>
        <v>ADITHYA BIJITH</v>
      </c>
      <c r="D28" s="21">
        <f>IFERROR(__xludf.DUMMYFUNCTION("""COMPUTED_VALUE"""),2.0200153E7)</f>
        <v>20200153</v>
      </c>
      <c r="E28" s="21" t="str">
        <f>IFERROR(__xludf.DUMMYFUNCTION("""COMPUTED_VALUE"""),"MBBS 2020")</f>
        <v>MBBS 2020</v>
      </c>
      <c r="F28" s="21">
        <f>IFERROR(__xludf.DUMMYFUNCTION("""COMPUTED_VALUE"""),8.590209664E9)</f>
        <v>8590209664</v>
      </c>
      <c r="G28" s="21" t="str">
        <f>IFERROR(__xludf.DUMMYFUNCTION("""COMPUTED_VALUE"""),"adibij02mai@gmail.com")</f>
        <v>adibij02mai@gmail.com</v>
      </c>
      <c r="H28" s="21" t="str">
        <f>IFERROR(__xludf.DUMMYFUNCTION("""COMPUTED_VALUE"""),"Yes")</f>
        <v>Yes</v>
      </c>
      <c r="I28" s="21" t="str">
        <f>IFERROR(__xludf.DUMMYFUNCTION("""COMPUTED_VALUE"""),"My hobbies include dancing, creating arts and crafts, gardening, and reading novels.")</f>
        <v>My hobbies include dancing, creating arts and crafts, gardening, and reading novels.</v>
      </c>
      <c r="J28" s="21"/>
      <c r="K28" s="21" t="str">
        <f>IFERROR(__xludf.DUMMYFUNCTION("""COMPUTED_VALUE"""),"Arayoor ,kerala ")</f>
        <v>Arayoor ,kerala </v>
      </c>
      <c r="L28" s="22" t="str">
        <f>IFERROR(__xludf.DUMMYFUNCTION("""COMPUTED_VALUE"""),"https://drive.google.com/open?id=1EjeLGgPojspkadV7_8lpv9coQSV4_yLt")</f>
        <v>https://drive.google.com/open?id=1EjeLGgPojspkadV7_8lpv9coQSV4_yLt</v>
      </c>
      <c r="M28" s="22" t="str">
        <f>IFERROR(__xludf.DUMMYFUNCTION("""COMPUTED_VALUE"""),"https://drive.google.com/open?id=1azhc8rxgV0Bf_si7gWdESy-jabVIz0Kh")</f>
        <v>https://drive.google.com/open?id=1azhc8rxgV0Bf_si7gWdESy-jabVIz0Kh</v>
      </c>
      <c r="N28" s="21" t="str">
        <f>IFERROR(__xludf.DUMMYFUNCTION("""COMPUTED_VALUE"""),"BIJITH T N")</f>
        <v>BIJITH T N</v>
      </c>
      <c r="O28" s="21" t="str">
        <f>IFERROR(__xludf.DUMMYFUNCTION("""COMPUTED_VALUE"""),"Health inspector , primary health centre Amboori")</f>
        <v>Health inspector , primary health centre Amboori</v>
      </c>
      <c r="P28" s="21" t="str">
        <f>IFERROR(__xludf.DUMMYFUNCTION("""COMPUTED_VALUE"""),"Arayoor, Kerala")</f>
        <v>Arayoor, Kerala</v>
      </c>
      <c r="Q28" s="21">
        <f>IFERROR(__xludf.DUMMYFUNCTION("""COMPUTED_VALUE"""),9.8466436E9)</f>
        <v>9846643600</v>
      </c>
      <c r="R28" s="21" t="str">
        <f>IFERROR(__xludf.DUMMYFUNCTION("""COMPUTED_VALUE"""),"Brajimla Rejani D G")</f>
        <v>Brajimla Rejani D G</v>
      </c>
      <c r="S28" s="21" t="str">
        <f>IFERROR(__xludf.DUMMYFUNCTION("""COMPUTED_VALUE"""),"Teacher, LMS LPS Arayoor ")</f>
        <v>Teacher, LMS LPS Arayoor </v>
      </c>
      <c r="T28" s="21" t="str">
        <f>IFERROR(__xludf.DUMMYFUNCTION("""COMPUTED_VALUE"""),"Arayoor, Kerala ")</f>
        <v>Arayoor, Kerala </v>
      </c>
      <c r="U28" s="21">
        <f>IFERROR(__xludf.DUMMYFUNCTION("""COMPUTED_VALUE"""),9.846930343E9)</f>
        <v>9846930343</v>
      </c>
      <c r="V28" s="21">
        <f>IFERROR(__xludf.DUMMYFUNCTION("""COMPUTED_VALUE"""),2.0)</f>
        <v>2</v>
      </c>
      <c r="W28" s="21" t="str">
        <f>IFERROR(__xludf.DUMMYFUNCTION("""COMPUTED_VALUE"""),"Abhijithya Bijith")</f>
        <v>Abhijithya Bijith</v>
      </c>
      <c r="X28" s="21" t="str">
        <f>IFERROR(__xludf.DUMMYFUNCTION("""COMPUTED_VALUE"""),"Sister ")</f>
        <v>Sister </v>
      </c>
      <c r="Y28" s="21" t="str">
        <f>IFERROR(__xludf.DUMMYFUNCTION("""COMPUTED_VALUE"""),"Brajimla Rejani ")</f>
        <v>Brajimla Rejani </v>
      </c>
      <c r="Z28" s="21" t="str">
        <f>IFERROR(__xludf.DUMMYFUNCTION("""COMPUTED_VALUE"""),"Mother ")</f>
        <v>Mother </v>
      </c>
      <c r="AA28" s="21" t="str">
        <f>IFERROR(__xludf.DUMMYFUNCTION("""COMPUTED_VALUE"""),"Non-Veg")</f>
        <v>Non-Veg</v>
      </c>
      <c r="AB28" s="21" t="str">
        <f>IFERROR(__xludf.DUMMYFUNCTION("""COMPUTED_VALUE"""),"Non-Veg")</f>
        <v>Non-Veg</v>
      </c>
      <c r="AC28" s="21" t="str">
        <f>IFERROR(__xludf.DUMMYFUNCTION("""COMPUTED_VALUE"""),"Non-Veg")</f>
        <v>Non-Veg</v>
      </c>
      <c r="AD28" s="21"/>
      <c r="AE28" s="21"/>
    </row>
    <row r="29" ht="22.5" customHeight="1">
      <c r="A29" s="18">
        <f>IFERROR(__xludf.DUMMYFUNCTION("""COMPUTED_VALUE"""),46265.850309560185)</f>
        <v>46265.85031</v>
      </c>
      <c r="B29" s="21" t="str">
        <f>IFERROR(__xludf.DUMMYFUNCTION("""COMPUTED_VALUE"""),"mihir.mbbs-2020@aiimskalyani.edu.in")</f>
        <v>mihir.mbbs-2020@aiimskalyani.edu.in</v>
      </c>
      <c r="C29" s="21" t="str">
        <f>IFERROR(__xludf.DUMMYFUNCTION("""COMPUTED_VALUE"""),"MIHIR SUTRADHAR")</f>
        <v>MIHIR SUTRADHAR</v>
      </c>
      <c r="D29" s="21" t="str">
        <f>IFERROR(__xludf.DUMMYFUNCTION("""COMPUTED_VALUE"""),"Roll no. 63/ enrolment no. 202001113")</f>
        <v>Roll no. 63/ enrolment no. 202001113</v>
      </c>
      <c r="E29" s="21" t="str">
        <f>IFERROR(__xludf.DUMMYFUNCTION("""COMPUTED_VALUE"""),"MBBS 2020")</f>
        <v>MBBS 2020</v>
      </c>
      <c r="F29" s="21">
        <f>IFERROR(__xludf.DUMMYFUNCTION("""COMPUTED_VALUE"""),8.822602193E9)</f>
        <v>8822602193</v>
      </c>
      <c r="G29" s="21" t="str">
        <f>IFERROR(__xludf.DUMMYFUNCTION("""COMPUTED_VALUE"""),"mihir.sutradhar154@gmail.com")</f>
        <v>mihir.sutradhar154@gmail.com</v>
      </c>
      <c r="H29" s="21" t="str">
        <f>IFERROR(__xludf.DUMMYFUNCTION("""COMPUTED_VALUE"""),"Yes")</f>
        <v>Yes</v>
      </c>
      <c r="I29" s="21" t="str">
        <f>IFERROR(__xludf.DUMMYFUNCTION("""COMPUTED_VALUE"""),"Music, guitar, exercise")</f>
        <v>Music, guitar, exercise</v>
      </c>
      <c r="J29" s="21" t="str">
        <f>IFERROR(__xludf.DUMMYFUNCTION("""COMPUTED_VALUE"""),"Badminton, football, table tennis.")</f>
        <v>Badminton, football, table tennis.</v>
      </c>
      <c r="K29" s="21" t="str">
        <f>IFERROR(__xludf.DUMMYFUNCTION("""COMPUTED_VALUE"""),"Silchar,Assam")</f>
        <v>Silchar,Assam</v>
      </c>
      <c r="L29" s="22" t="str">
        <f>IFERROR(__xludf.DUMMYFUNCTION("""COMPUTED_VALUE"""),"https://drive.google.com/open?id=1zqLME9eCEfxh830aS4PQ0coa_B1lNzlX")</f>
        <v>https://drive.google.com/open?id=1zqLME9eCEfxh830aS4PQ0coa_B1lNzlX</v>
      </c>
      <c r="M29" s="22" t="str">
        <f>IFERROR(__xludf.DUMMYFUNCTION("""COMPUTED_VALUE"""),"https://drive.google.com/open?id=1ot7YL9hmNHcjwMPT5zRrVYmGjOzy7u-_")</f>
        <v>https://drive.google.com/open?id=1ot7YL9hmNHcjwMPT5zRrVYmGjOzy7u-_</v>
      </c>
      <c r="N29" s="21" t="str">
        <f>IFERROR(__xludf.DUMMYFUNCTION("""COMPUTED_VALUE"""),"MOHAN KISHORE SUTRADHAR")</f>
        <v>MOHAN KISHORE SUTRADHAR</v>
      </c>
      <c r="O29" s="21" t="str">
        <f>IFERROR(__xludf.DUMMYFUNCTION("""COMPUTED_VALUE"""),"Electrical Engineer ( Designation- Senior manager
Affilation- NEEPCO)")</f>
        <v>Electrical Engineer ( Designation- Senior manager
Affilation- NEEPCO)</v>
      </c>
      <c r="P29" s="21" t="str">
        <f>IFERROR(__xludf.DUMMYFUNCTION("""COMPUTED_VALUE"""),"Silchar, Assam")</f>
        <v>Silchar, Assam</v>
      </c>
      <c r="Q29" s="21">
        <f>IFERROR(__xludf.DUMMYFUNCTION("""COMPUTED_VALUE"""),9.435712779E9)</f>
        <v>9435712779</v>
      </c>
      <c r="R29" s="21" t="str">
        <f>IFERROR(__xludf.DUMMYFUNCTION("""COMPUTED_VALUE"""),"SAMPA SUTRADHAR")</f>
        <v>SAMPA SUTRADHAR</v>
      </c>
      <c r="S29" s="21" t="str">
        <f>IFERROR(__xludf.DUMMYFUNCTION("""COMPUTED_VALUE"""),"House wife")</f>
        <v>House wife</v>
      </c>
      <c r="T29" s="21" t="str">
        <f>IFERROR(__xludf.DUMMYFUNCTION("""COMPUTED_VALUE"""),"Silchar, Assam")</f>
        <v>Silchar, Assam</v>
      </c>
      <c r="U29" s="21">
        <f>IFERROR(__xludf.DUMMYFUNCTION("""COMPUTED_VALUE"""),9.387817114E9)</f>
        <v>9387817114</v>
      </c>
      <c r="V29" s="21">
        <f>IFERROR(__xludf.DUMMYFUNCTION("""COMPUTED_VALUE"""),2.0)</f>
        <v>2</v>
      </c>
      <c r="W29" s="21" t="str">
        <f>IFERROR(__xludf.DUMMYFUNCTION("""COMPUTED_VALUE"""),"MOHAN KISHORE SUTRADHAR ")</f>
        <v>MOHAN KISHORE SUTRADHAR </v>
      </c>
      <c r="X29" s="21" t="str">
        <f>IFERROR(__xludf.DUMMYFUNCTION("""COMPUTED_VALUE"""),"Father")</f>
        <v>Father</v>
      </c>
      <c r="Y29" s="21" t="str">
        <f>IFERROR(__xludf.DUMMYFUNCTION("""COMPUTED_VALUE"""),"SAMPA SUTRADHAR")</f>
        <v>SAMPA SUTRADHAR</v>
      </c>
      <c r="Z29" s="21" t="str">
        <f>IFERROR(__xludf.DUMMYFUNCTION("""COMPUTED_VALUE"""),"Mother")</f>
        <v>Mother</v>
      </c>
      <c r="AA29" s="21" t="str">
        <f>IFERROR(__xludf.DUMMYFUNCTION("""COMPUTED_VALUE"""),"Non-Veg")</f>
        <v>Non-Veg</v>
      </c>
      <c r="AB29" s="21" t="str">
        <f>IFERROR(__xludf.DUMMYFUNCTION("""COMPUTED_VALUE"""),"Non-Veg")</f>
        <v>Non-Veg</v>
      </c>
      <c r="AC29" s="21" t="str">
        <f>IFERROR(__xludf.DUMMYFUNCTION("""COMPUTED_VALUE"""),"Non-Veg")</f>
        <v>Non-Veg</v>
      </c>
      <c r="AD29" s="21" t="str">
        <f>IFERROR(__xludf.DUMMYFUNCTION("""COMPUTED_VALUE"""),"Drop at Kalyani Railway Station")</f>
        <v>Drop at Kalyani Railway Station</v>
      </c>
      <c r="AE29" s="21">
        <f>IFERROR(__xludf.DUMMYFUNCTION("""COMPUTED_VALUE"""),3.0)</f>
        <v>3</v>
      </c>
    </row>
    <row r="30" ht="22.5" customHeight="1">
      <c r="A30" s="18">
        <f>IFERROR(__xludf.DUMMYFUNCTION("""COMPUTED_VALUE"""),46265.837623506945)</f>
        <v>46265.83762</v>
      </c>
      <c r="B30" s="21" t="str">
        <f>IFERROR(__xludf.DUMMYFUNCTION("""COMPUTED_VALUE"""),"shubhrajit.mbbs-2020@aiimskalyani.edu.in")</f>
        <v>shubhrajit.mbbs-2020@aiimskalyani.edu.in</v>
      </c>
      <c r="C30" s="21" t="str">
        <f>IFERROR(__xludf.DUMMYFUNCTION("""COMPUTED_VALUE"""),"SHUBHRAJIT SAHOO ")</f>
        <v>SHUBHRAJIT SAHOO </v>
      </c>
      <c r="D30" s="21">
        <f>IFERROR(__xludf.DUMMYFUNCTION("""COMPUTED_VALUE"""),2.02001145E8)</f>
        <v>202001145</v>
      </c>
      <c r="E30" s="21" t="str">
        <f>IFERROR(__xludf.DUMMYFUNCTION("""COMPUTED_VALUE"""),"MBBS 2020")</f>
        <v>MBBS 2020</v>
      </c>
      <c r="F30" s="21">
        <f>IFERROR(__xludf.DUMMYFUNCTION("""COMPUTED_VALUE"""),7.848805484E9)</f>
        <v>7848805484</v>
      </c>
      <c r="G30" s="21" t="str">
        <f>IFERROR(__xludf.DUMMYFUNCTION("""COMPUTED_VALUE"""),"shubhrajit2018@gmail.com")</f>
        <v>shubhrajit2018@gmail.com</v>
      </c>
      <c r="H30" s="21" t="str">
        <f>IFERROR(__xludf.DUMMYFUNCTION("""COMPUTED_VALUE"""),"Yes")</f>
        <v>Yes</v>
      </c>
      <c r="I30" s="21" t="str">
        <f>IFERROR(__xludf.DUMMYFUNCTION("""COMPUTED_VALUE"""),"Watching movies ")</f>
        <v>Watching movies </v>
      </c>
      <c r="J30" s="21" t="str">
        <f>IFERROR(__xludf.DUMMYFUNCTION("""COMPUTED_VALUE"""),"Nothing ")</f>
        <v>Nothing </v>
      </c>
      <c r="K30" s="21" t="str">
        <f>IFERROR(__xludf.DUMMYFUNCTION("""COMPUTED_VALUE"""),"Bhadrak ")</f>
        <v>Bhadrak </v>
      </c>
      <c r="L30" s="22" t="str">
        <f>IFERROR(__xludf.DUMMYFUNCTION("""COMPUTED_VALUE"""),"https://drive.google.com/open?id=1b5rA_CCnxA-KTpJj49WJIbXDgG4DMwgA")</f>
        <v>https://drive.google.com/open?id=1b5rA_CCnxA-KTpJj49WJIbXDgG4DMwgA</v>
      </c>
      <c r="M30" s="22" t="str">
        <f>IFERROR(__xludf.DUMMYFUNCTION("""COMPUTED_VALUE"""),"https://drive.google.com/open?id=1U5e44ln6q4wWEv95y0K5W7pbEeSipoBI")</f>
        <v>https://drive.google.com/open?id=1U5e44ln6q4wWEv95y0K5W7pbEeSipoBI</v>
      </c>
      <c r="N30" s="21" t="str">
        <f>IFERROR(__xludf.DUMMYFUNCTION("""COMPUTED_VALUE"""),"DILLIP KUMAR SAHOO")</f>
        <v>DILLIP KUMAR SAHOO</v>
      </c>
      <c r="O30" s="21" t="str">
        <f>IFERROR(__xludf.DUMMYFUNCTION("""COMPUTED_VALUE"""),"Accountant ")</f>
        <v>Accountant </v>
      </c>
      <c r="P30" s="21" t="str">
        <f>IFERROR(__xludf.DUMMYFUNCTION("""COMPUTED_VALUE"""),"Bhadrak ")</f>
        <v>Bhadrak </v>
      </c>
      <c r="Q30" s="21">
        <f>IFERROR(__xludf.DUMMYFUNCTION("""COMPUTED_VALUE"""),9.040091604E9)</f>
        <v>9040091604</v>
      </c>
      <c r="R30" s="21" t="str">
        <f>IFERROR(__xludf.DUMMYFUNCTION("""COMPUTED_VALUE"""),"SUJATA SAHOO ")</f>
        <v>SUJATA SAHOO </v>
      </c>
      <c r="S30" s="21" t="str">
        <f>IFERROR(__xludf.DUMMYFUNCTION("""COMPUTED_VALUE"""),"Home maker")</f>
        <v>Home maker</v>
      </c>
      <c r="T30" s="21" t="str">
        <f>IFERROR(__xludf.DUMMYFUNCTION("""COMPUTED_VALUE"""),"Bhadrak ")</f>
        <v>Bhadrak </v>
      </c>
      <c r="U30" s="21">
        <f>IFERROR(__xludf.DUMMYFUNCTION("""COMPUTED_VALUE"""),9.040091604E9)</f>
        <v>9040091604</v>
      </c>
      <c r="V30" s="21">
        <f>IFERROR(__xludf.DUMMYFUNCTION("""COMPUTED_VALUE"""),2.0)</f>
        <v>2</v>
      </c>
      <c r="W30" s="21" t="str">
        <f>IFERROR(__xludf.DUMMYFUNCTION("""COMPUTED_VALUE"""),"DILLIP KUMAR SAHOO")</f>
        <v>DILLIP KUMAR SAHOO</v>
      </c>
      <c r="X30" s="21" t="str">
        <f>IFERROR(__xludf.DUMMYFUNCTION("""COMPUTED_VALUE"""),"Father ")</f>
        <v>Father </v>
      </c>
      <c r="Y30" s="21" t="str">
        <f>IFERROR(__xludf.DUMMYFUNCTION("""COMPUTED_VALUE"""),"SUJATA SAHOO")</f>
        <v>SUJATA SAHOO</v>
      </c>
      <c r="Z30" s="21" t="str">
        <f>IFERROR(__xludf.DUMMYFUNCTION("""COMPUTED_VALUE"""),"Mother")</f>
        <v>Mother</v>
      </c>
      <c r="AA30" s="21" t="str">
        <f>IFERROR(__xludf.DUMMYFUNCTION("""COMPUTED_VALUE"""),"Non-Veg")</f>
        <v>Non-Veg</v>
      </c>
      <c r="AB30" s="21" t="str">
        <f>IFERROR(__xludf.DUMMYFUNCTION("""COMPUTED_VALUE"""),"Non-Veg")</f>
        <v>Non-Veg</v>
      </c>
      <c r="AC30" s="21" t="str">
        <f>IFERROR(__xludf.DUMMYFUNCTION("""COMPUTED_VALUE"""),"Veg")</f>
        <v>Veg</v>
      </c>
      <c r="AD30" s="21" t="str">
        <f>IFERROR(__xludf.DUMMYFUNCTION("""COMPUTED_VALUE"""),"Drop at Kalyani Railway Station")</f>
        <v>Drop at Kalyani Railway Station</v>
      </c>
      <c r="AE30" s="21">
        <f>IFERROR(__xludf.DUMMYFUNCTION("""COMPUTED_VALUE"""),2.0)</f>
        <v>2</v>
      </c>
    </row>
    <row r="31" ht="22.5" customHeight="1">
      <c r="A31" s="18">
        <f>IFERROR(__xludf.DUMMYFUNCTION("""COMPUTED_VALUE"""),46265.83613523148)</f>
        <v>46265.83614</v>
      </c>
      <c r="B31" s="21" t="str">
        <f>IFERROR(__xludf.DUMMYFUNCTION("""COMPUTED_VALUE"""),"mandabi.mscnursing-2024@aiimskalyani.edu.in")</f>
        <v>mandabi.mscnursing-2024@aiimskalyani.edu.in</v>
      </c>
      <c r="C31" s="21" t="str">
        <f>IFERROR(__xludf.DUMMYFUNCTION("""COMPUTED_VALUE"""),"MANDABI SARKAR")</f>
        <v>MANDABI SARKAR</v>
      </c>
      <c r="D31" s="21">
        <f>IFERROR(__xludf.DUMMYFUNCTION("""COMPUTED_VALUE"""),2.0240407E7)</f>
        <v>20240407</v>
      </c>
      <c r="E31" s="21" t="str">
        <f>IFERROR(__xludf.DUMMYFUNCTION("""COMPUTED_VALUE"""),"M.Sc. Nursing 2024")</f>
        <v>M.Sc. Nursing 2024</v>
      </c>
      <c r="F31" s="21">
        <f>IFERROR(__xludf.DUMMYFUNCTION("""COMPUTED_VALUE"""),8.900105792E9)</f>
        <v>8900105792</v>
      </c>
      <c r="G31" s="21" t="str">
        <f>IFERROR(__xludf.DUMMYFUNCTION("""COMPUTED_VALUE"""),"mandabisarkar@gmail.com")</f>
        <v>mandabisarkar@gmail.com</v>
      </c>
      <c r="H31" s="21" t="str">
        <f>IFERROR(__xludf.DUMMYFUNCTION("""COMPUTED_VALUE"""),"Yes")</f>
        <v>Yes</v>
      </c>
      <c r="I31" s="21"/>
      <c r="J31" s="21"/>
      <c r="K31" s="21" t="str">
        <f>IFERROR(__xludf.DUMMYFUNCTION("""COMPUTED_VALUE"""),"Berhampore")</f>
        <v>Berhampore</v>
      </c>
      <c r="L31" s="22" t="str">
        <f>IFERROR(__xludf.DUMMYFUNCTION("""COMPUTED_VALUE"""),"https://drive.google.com/open?id=1L82KSdSw_1SggAEgnc1cgro2NE9Xl-LU")</f>
        <v>https://drive.google.com/open?id=1L82KSdSw_1SggAEgnc1cgro2NE9Xl-LU</v>
      </c>
      <c r="M31" s="22" t="str">
        <f>IFERROR(__xludf.DUMMYFUNCTION("""COMPUTED_VALUE"""),"https://drive.google.com/open?id=1vuQ6wwR_TNgQ1A7JnFzO74PzrtCIMD2-")</f>
        <v>https://drive.google.com/open?id=1vuQ6wwR_TNgQ1A7JnFzO74PzrtCIMD2-</v>
      </c>
      <c r="N31" s="21" t="str">
        <f>IFERROR(__xludf.DUMMYFUNCTION("""COMPUTED_VALUE"""),"Achintya Kumar Sarkar ")</f>
        <v>Achintya Kumar Sarkar </v>
      </c>
      <c r="O31" s="21" t="str">
        <f>IFERROR(__xludf.DUMMYFUNCTION("""COMPUTED_VALUE"""),"Retired school teacher ")</f>
        <v>Retired school teacher </v>
      </c>
      <c r="P31" s="21" t="str">
        <f>IFERROR(__xludf.DUMMYFUNCTION("""COMPUTED_VALUE"""),"Berhampore, Murshidabad, West Bengal ")</f>
        <v>Berhampore, Murshidabad, West Bengal </v>
      </c>
      <c r="Q31" s="21">
        <f>IFERROR(__xludf.DUMMYFUNCTION("""COMPUTED_VALUE"""),8.900477003E9)</f>
        <v>8900477003</v>
      </c>
      <c r="R31" s="21" t="str">
        <f>IFERROR(__xludf.DUMMYFUNCTION("""COMPUTED_VALUE"""),"Chandana Sarkar ")</f>
        <v>Chandana Sarkar </v>
      </c>
      <c r="S31" s="21" t="str">
        <f>IFERROR(__xludf.DUMMYFUNCTION("""COMPUTED_VALUE"""),"House wife ")</f>
        <v>House wife </v>
      </c>
      <c r="T31" s="21" t="str">
        <f>IFERROR(__xludf.DUMMYFUNCTION("""COMPUTED_VALUE"""),"Berhampore, Murshidabad, West Bengal ")</f>
        <v>Berhampore, Murshidabad, West Bengal </v>
      </c>
      <c r="U31" s="21">
        <f>IFERROR(__xludf.DUMMYFUNCTION("""COMPUTED_VALUE"""),7.063529371E9)</f>
        <v>7063529371</v>
      </c>
      <c r="V31" s="21">
        <f>IFERROR(__xludf.DUMMYFUNCTION("""COMPUTED_VALUE"""),0.0)</f>
        <v>0</v>
      </c>
      <c r="W31" s="21"/>
      <c r="X31" s="21"/>
      <c r="Y31" s="21"/>
      <c r="Z31" s="21"/>
      <c r="AA31" s="21" t="str">
        <f>IFERROR(__xludf.DUMMYFUNCTION("""COMPUTED_VALUE"""),"Non-Veg")</f>
        <v>Non-Veg</v>
      </c>
      <c r="AB31" s="21"/>
      <c r="AC31" s="21"/>
      <c r="AD31" s="21" t="str">
        <f>IFERROR(__xludf.DUMMYFUNCTION("""COMPUTED_VALUE"""),"Drop at Kalyani Railway Station")</f>
        <v>Drop at Kalyani Railway Station</v>
      </c>
      <c r="AE31" s="21">
        <f>IFERROR(__xludf.DUMMYFUNCTION("""COMPUTED_VALUE"""),1.0)</f>
        <v>1</v>
      </c>
    </row>
    <row r="32" ht="22.5" customHeight="1">
      <c r="A32" s="18">
        <f>IFERROR(__xludf.DUMMYFUNCTION("""COMPUTED_VALUE"""),46265.82512252315)</f>
        <v>46265.82512</v>
      </c>
      <c r="B32" s="21" t="str">
        <f>IFERROR(__xludf.DUMMYFUNCTION("""COMPUTED_VALUE"""),"sayak.mbbs-2020@aiimskalyani.edu.in")</f>
        <v>sayak.mbbs-2020@aiimskalyani.edu.in</v>
      </c>
      <c r="C32" s="21" t="str">
        <f>IFERROR(__xludf.DUMMYFUNCTION("""COMPUTED_VALUE"""),"SAYAK SAHA")</f>
        <v>SAYAK SAHA</v>
      </c>
      <c r="D32" s="21">
        <f>IFERROR(__xludf.DUMMYFUNCTION("""COMPUTED_VALUE"""),2.0201137E7)</f>
        <v>20201137</v>
      </c>
      <c r="E32" s="21" t="str">
        <f>IFERROR(__xludf.DUMMYFUNCTION("""COMPUTED_VALUE"""),"MBBS 2020")</f>
        <v>MBBS 2020</v>
      </c>
      <c r="F32" s="21">
        <f>IFERROR(__xludf.DUMMYFUNCTION("""COMPUTED_VALUE"""),6.290592637E9)</f>
        <v>6290592637</v>
      </c>
      <c r="G32" s="21" t="str">
        <f>IFERROR(__xludf.DUMMYFUNCTION("""COMPUTED_VALUE"""),"sayak.mbbs-2020@aiimskalyani.edu.in")</f>
        <v>sayak.mbbs-2020@aiimskalyani.edu.in</v>
      </c>
      <c r="H32" s="21" t="str">
        <f>IFERROR(__xludf.DUMMYFUNCTION("""COMPUTED_VALUE"""),"Yes")</f>
        <v>Yes</v>
      </c>
      <c r="I32" s="21"/>
      <c r="J32" s="21"/>
      <c r="K32" s="21" t="str">
        <f>IFERROR(__xludf.DUMMYFUNCTION("""COMPUTED_VALUE"""),"Rishra")</f>
        <v>Rishra</v>
      </c>
      <c r="L32" s="22" t="str">
        <f>IFERROR(__xludf.DUMMYFUNCTION("""COMPUTED_VALUE"""),"https://drive.google.com/open?id=118nvVBnwe-bVAhmD0QBndxzCqasZUNzH")</f>
        <v>https://drive.google.com/open?id=118nvVBnwe-bVAhmD0QBndxzCqasZUNzH</v>
      </c>
      <c r="M32" s="22" t="str">
        <f>IFERROR(__xludf.DUMMYFUNCTION("""COMPUTED_VALUE"""),"https://drive.google.com/open?id=1R9esCf3eInufZvx3OTPxJzfqaYIRDdey")</f>
        <v>https://drive.google.com/open?id=1R9esCf3eInufZvx3OTPxJzfqaYIRDdey</v>
      </c>
      <c r="N32" s="21" t="str">
        <f>IFERROR(__xludf.DUMMYFUNCTION("""COMPUTED_VALUE"""),"Prabhat Kumar Saha")</f>
        <v>Prabhat Kumar Saha</v>
      </c>
      <c r="O32" s="21" t="str">
        <f>IFERROR(__xludf.DUMMYFUNCTION("""COMPUTED_VALUE"""),"Ex-defence ")</f>
        <v>Ex-defence </v>
      </c>
      <c r="P32" s="21" t="str">
        <f>IFERROR(__xludf.DUMMYFUNCTION("""COMPUTED_VALUE"""),"Rishra")</f>
        <v>Rishra</v>
      </c>
      <c r="Q32" s="21">
        <f>IFERROR(__xludf.DUMMYFUNCTION("""COMPUTED_VALUE"""),9.831397625E9)</f>
        <v>9831397625</v>
      </c>
      <c r="R32" s="21" t="str">
        <f>IFERROR(__xludf.DUMMYFUNCTION("""COMPUTED_VALUE"""),"Kalpana Saha")</f>
        <v>Kalpana Saha</v>
      </c>
      <c r="S32" s="21" t="str">
        <f>IFERROR(__xludf.DUMMYFUNCTION("""COMPUTED_VALUE"""),"Housewife")</f>
        <v>Housewife</v>
      </c>
      <c r="T32" s="21" t="str">
        <f>IFERROR(__xludf.DUMMYFUNCTION("""COMPUTED_VALUE"""),"Rishra")</f>
        <v>Rishra</v>
      </c>
      <c r="U32" s="21">
        <f>IFERROR(__xludf.DUMMYFUNCTION("""COMPUTED_VALUE"""),9.163705141E9)</f>
        <v>9163705141</v>
      </c>
      <c r="V32" s="21">
        <f>IFERROR(__xludf.DUMMYFUNCTION("""COMPUTED_VALUE"""),2.0)</f>
        <v>2</v>
      </c>
      <c r="W32" s="21" t="str">
        <f>IFERROR(__xludf.DUMMYFUNCTION("""COMPUTED_VALUE"""),"Prabhat Kumar Saha")</f>
        <v>Prabhat Kumar Saha</v>
      </c>
      <c r="X32" s="21" t="str">
        <f>IFERROR(__xludf.DUMMYFUNCTION("""COMPUTED_VALUE"""),"Father")</f>
        <v>Father</v>
      </c>
      <c r="Y32" s="21" t="str">
        <f>IFERROR(__xludf.DUMMYFUNCTION("""COMPUTED_VALUE"""),"Kalpana Saha")</f>
        <v>Kalpana Saha</v>
      </c>
      <c r="Z32" s="21" t="str">
        <f>IFERROR(__xludf.DUMMYFUNCTION("""COMPUTED_VALUE"""),"Mother")</f>
        <v>Mother</v>
      </c>
      <c r="AA32" s="21" t="str">
        <f>IFERROR(__xludf.DUMMYFUNCTION("""COMPUTED_VALUE"""),"Non-Veg")</f>
        <v>Non-Veg</v>
      </c>
      <c r="AB32" s="21" t="str">
        <f>IFERROR(__xludf.DUMMYFUNCTION("""COMPUTED_VALUE"""),"Non-Veg")</f>
        <v>Non-Veg</v>
      </c>
      <c r="AC32" s="21" t="str">
        <f>IFERROR(__xludf.DUMMYFUNCTION("""COMPUTED_VALUE"""),"Non-Veg")</f>
        <v>Non-Veg</v>
      </c>
      <c r="AD32" s="21" t="str">
        <f>IFERROR(__xludf.DUMMYFUNCTION("""COMPUTED_VALUE"""),"Drop at Kalyani Railway Station")</f>
        <v>Drop at Kalyani Railway Station</v>
      </c>
      <c r="AE32" s="21">
        <f>IFERROR(__xludf.DUMMYFUNCTION("""COMPUTED_VALUE"""),3.0)</f>
        <v>3</v>
      </c>
    </row>
    <row r="33" ht="22.5" customHeight="1">
      <c r="A33" s="18">
        <f>IFERROR(__xludf.DUMMYFUNCTION("""COMPUTED_VALUE"""),46265.82132081018)</f>
        <v>46265.82132</v>
      </c>
      <c r="B33" s="21" t="str">
        <f>IFERROR(__xludf.DUMMYFUNCTION("""COMPUTED_VALUE"""),"sharafudheen.mbbs-2020@aiimskalyani.edu.in")</f>
        <v>sharafudheen.mbbs-2020@aiimskalyani.edu.in</v>
      </c>
      <c r="C33" s="21" t="str">
        <f>IFERROR(__xludf.DUMMYFUNCTION("""COMPUTED_VALUE"""),"SHARAFUDHEEN EP")</f>
        <v>SHARAFUDHEEN EP</v>
      </c>
      <c r="D33" s="21" t="str">
        <f>IFERROR(__xludf.DUMMYFUNCTION("""COMPUTED_VALUE"""),"88/202001138")</f>
        <v>88/202001138</v>
      </c>
      <c r="E33" s="21" t="str">
        <f>IFERROR(__xludf.DUMMYFUNCTION("""COMPUTED_VALUE"""),"MBBS 2020")</f>
        <v>MBBS 2020</v>
      </c>
      <c r="F33" s="21">
        <f>IFERROR(__xludf.DUMMYFUNCTION("""COMPUTED_VALUE"""),6.383560594E9)</f>
        <v>6383560594</v>
      </c>
      <c r="G33" s="21" t="str">
        <f>IFERROR(__xludf.DUMMYFUNCTION("""COMPUTED_VALUE"""),"sharafudheencu@gmail.com")</f>
        <v>sharafudheencu@gmail.com</v>
      </c>
      <c r="H33" s="21" t="str">
        <f>IFERROR(__xludf.DUMMYFUNCTION("""COMPUTED_VALUE"""),"Yes")</f>
        <v>Yes</v>
      </c>
      <c r="I33" s="21" t="str">
        <f>IFERROR(__xludf.DUMMYFUNCTION("""COMPUTED_VALUE"""),"Beyond clinical medicine, my interests revolve around continuous medical learning, sports, and visual arts. Academically, I am driven by advancements in therapeutics and pathophysiology, frequently keeping up with recent clinical research papers. Outside "&amp;"the wards, I am a dedicated football player—playing primarily as a Defensive Midfielder (DMF) and having had the privilege of captaining my team to multiple tournament titles. I am also an avid photographer, with recognitions from Kaleidoscope and the ann"&amp;"ual Elyssia fest, alongside being a cinephile and reader.
")</f>
        <v>Beyond clinical medicine, my interests revolve around continuous medical learning, sports, and visual arts. Academically, I am driven by advancements in therapeutics and pathophysiology, frequently keeping up with recent clinical research papers. Outside the wards, I am a dedicated football player—playing primarily as a Defensive Midfielder (DMF) and having had the privilege of captaining my team to multiple tournament titles. I am also an avid photographer, with recognitions from Kaleidoscope and the annual Elyssia fest, alongside being a cinephile and reader.
</v>
      </c>
      <c r="J33" s="21" t="str">
        <f>IFERROR(__xludf.DUMMYFUNCTION("""COMPUTED_VALUE"""),"A dedicated football player and team captain, leading the squad to consistent podium finishes throughout my college career. Under my captaincy, the team reached the finals in every inter-house season contested, clinching one championship trophy alongside "&amp;"several runners-up titles. At the inter-collegiate level, we finished as runners-up at Elyssia Fest and reached the semi-finals at AIIMS Patna, while maintaining a commanding record and decisive victories in local rival fixtures against IISER.
")</f>
        <v>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v>
      </c>
      <c r="K33" s="21" t="str">
        <f>IFERROR(__xludf.DUMMYFUNCTION("""COMPUTED_VALUE"""),"Kozhikode ")</f>
        <v>Kozhikode </v>
      </c>
      <c r="L33" s="22" t="str">
        <f>IFERROR(__xludf.DUMMYFUNCTION("""COMPUTED_VALUE"""),"https://drive.google.com/open?id=1JrLI1tyO97IMOYricg8jbMsXKHw_AamJ")</f>
        <v>https://drive.google.com/open?id=1JrLI1tyO97IMOYricg8jbMsXKHw_AamJ</v>
      </c>
      <c r="M33" s="22" t="str">
        <f>IFERROR(__xludf.DUMMYFUNCTION("""COMPUTED_VALUE"""),"https://drive.google.com/open?id=1nFQKiLGBPCvfasJiEpHSgEEyzg9EuJNV")</f>
        <v>https://drive.google.com/open?id=1nFQKiLGBPCvfasJiEpHSgEEyzg9EuJNV</v>
      </c>
      <c r="N33" s="21" t="str">
        <f>IFERROR(__xludf.DUMMYFUNCTION("""COMPUTED_VALUE"""),"Yuseph EP ")</f>
        <v>Yuseph EP </v>
      </c>
      <c r="O33" s="21" t="str">
        <f>IFERROR(__xludf.DUMMYFUNCTION("""COMPUTED_VALUE"""),"business ")</f>
        <v>business </v>
      </c>
      <c r="P33" s="21" t="str">
        <f>IFERROR(__xludf.DUMMYFUNCTION("""COMPUTED_VALUE"""),"Chennai")</f>
        <v>Chennai</v>
      </c>
      <c r="Q33" s="21">
        <f>IFERROR(__xludf.DUMMYFUNCTION("""COMPUTED_VALUE"""),9.48640503E9)</f>
        <v>9486405030</v>
      </c>
      <c r="R33" s="21" t="str">
        <f>IFERROR(__xludf.DUMMYFUNCTION("""COMPUTED_VALUE"""),"Shabana M")</f>
        <v>Shabana M</v>
      </c>
      <c r="S33" s="21" t="str">
        <f>IFERROR(__xludf.DUMMYFUNCTION("""COMPUTED_VALUE"""),"Housewife")</f>
        <v>Housewife</v>
      </c>
      <c r="T33" s="21" t="str">
        <f>IFERROR(__xludf.DUMMYFUNCTION("""COMPUTED_VALUE"""),"Kozhikode ")</f>
        <v>Kozhikode </v>
      </c>
      <c r="U33" s="21">
        <f>IFERROR(__xludf.DUMMYFUNCTION("""COMPUTED_VALUE"""),9.846603405E9)</f>
        <v>9846603405</v>
      </c>
      <c r="V33" s="21">
        <f>IFERROR(__xludf.DUMMYFUNCTION("""COMPUTED_VALUE"""),2.0)</f>
        <v>2</v>
      </c>
      <c r="W33" s="21" t="str">
        <f>IFERROR(__xludf.DUMMYFUNCTION("""COMPUTED_VALUE"""),"Shabana m")</f>
        <v>Shabana m</v>
      </c>
      <c r="X33" s="21" t="str">
        <f>IFERROR(__xludf.DUMMYFUNCTION("""COMPUTED_VALUE"""),"Mother")</f>
        <v>Mother</v>
      </c>
      <c r="Y33" s="21" t="str">
        <f>IFERROR(__xludf.DUMMYFUNCTION("""COMPUTED_VALUE"""),"Yuseph ep")</f>
        <v>Yuseph ep</v>
      </c>
      <c r="Z33" s="21" t="str">
        <f>IFERROR(__xludf.DUMMYFUNCTION("""COMPUTED_VALUE"""),"Father")</f>
        <v>Father</v>
      </c>
      <c r="AA33" s="21" t="str">
        <f>IFERROR(__xludf.DUMMYFUNCTION("""COMPUTED_VALUE"""),"Non-Veg")</f>
        <v>Non-Veg</v>
      </c>
      <c r="AB33" s="21" t="str">
        <f>IFERROR(__xludf.DUMMYFUNCTION("""COMPUTED_VALUE"""),"Non-Veg")</f>
        <v>Non-Veg</v>
      </c>
      <c r="AC33" s="21" t="str">
        <f>IFERROR(__xludf.DUMMYFUNCTION("""COMPUTED_VALUE"""),"Non-Veg")</f>
        <v>Non-Veg</v>
      </c>
      <c r="AD33" s="21" t="str">
        <f>IFERROR(__xludf.DUMMYFUNCTION("""COMPUTED_VALUE"""),"Bus Drop Service not needed")</f>
        <v>Bus Drop Service not needed</v>
      </c>
      <c r="AE33" s="21">
        <f>IFERROR(__xludf.DUMMYFUNCTION("""COMPUTED_VALUE"""),0.0)</f>
        <v>0</v>
      </c>
    </row>
    <row r="34" ht="22.5" customHeight="1">
      <c r="A34" s="18">
        <f>IFERROR(__xludf.DUMMYFUNCTION("""COMPUTED_VALUE"""),46265.814711493054)</f>
        <v>46265.81471</v>
      </c>
      <c r="B34" s="21" t="str">
        <f>IFERROR(__xludf.DUMMYFUNCTION("""COMPUTED_VALUE"""),"vineeta.mbbs-2020@aiimskalyani.edu.in")</f>
        <v>vineeta.mbbs-2020@aiimskalyani.edu.in</v>
      </c>
      <c r="C34" s="21" t="str">
        <f>IFERROR(__xludf.DUMMYFUNCTION("""COMPUTED_VALUE"""),"VINEETA MEENA")</f>
        <v>VINEETA MEENA</v>
      </c>
      <c r="D34" s="21">
        <f>IFERROR(__xludf.DUMMYFUNCTION("""COMPUTED_VALUE"""),2.02001162E8)</f>
        <v>202001162</v>
      </c>
      <c r="E34" s="21" t="str">
        <f>IFERROR(__xludf.DUMMYFUNCTION("""COMPUTED_VALUE"""),"MBBS 2020")</f>
        <v>MBBS 2020</v>
      </c>
      <c r="F34" s="21">
        <f>IFERROR(__xludf.DUMMYFUNCTION("""COMPUTED_VALUE"""),8.824036959E9)</f>
        <v>8824036959</v>
      </c>
      <c r="G34" s="21" t="str">
        <f>IFERROR(__xludf.DUMMYFUNCTION("""COMPUTED_VALUE"""),"vineeta.mbbs-2020@aiimskalyani.edu.in")</f>
        <v>vineeta.mbbs-2020@aiimskalyani.edu.in</v>
      </c>
      <c r="H34" s="21" t="str">
        <f>IFERROR(__xludf.DUMMYFUNCTION("""COMPUTED_VALUE"""),"Yes")</f>
        <v>Yes</v>
      </c>
      <c r="I34" s="21" t="str">
        <f>IFERROR(__xludf.DUMMYFUNCTION("""COMPUTED_VALUE"""),"Playing volleyball, throwball ")</f>
        <v>Playing volleyball, throwball </v>
      </c>
      <c r="J34" s="21"/>
      <c r="K34" s="21" t="str">
        <f>IFERROR(__xludf.DUMMYFUNCTION("""COMPUTED_VALUE"""),"Sikar")</f>
        <v>Sikar</v>
      </c>
      <c r="L34" s="22" t="str">
        <f>IFERROR(__xludf.DUMMYFUNCTION("""COMPUTED_VALUE"""),"https://drive.google.com/open?id=1IPDSKNOEeSQb-uBaVCtoCyBaEBJUVMh8")</f>
        <v>https://drive.google.com/open?id=1IPDSKNOEeSQb-uBaVCtoCyBaEBJUVMh8</v>
      </c>
      <c r="M34" s="22" t="str">
        <f>IFERROR(__xludf.DUMMYFUNCTION("""COMPUTED_VALUE"""),"https://drive.google.com/open?id=1ZWe9ogNm9xcbQhRh-OolbkFOQtiDlCO1")</f>
        <v>https://drive.google.com/open?id=1ZWe9ogNm9xcbQhRh-OolbkFOQtiDlCO1</v>
      </c>
      <c r="N34" s="21" t="str">
        <f>IFERROR(__xludf.DUMMYFUNCTION("""COMPUTED_VALUE"""),"Vinod kumar ")</f>
        <v>Vinod kumar </v>
      </c>
      <c r="O34" s="21" t="str">
        <f>IFERROR(__xludf.DUMMYFUNCTION("""COMPUTED_VALUE"""),"Supervisor ")</f>
        <v>Supervisor </v>
      </c>
      <c r="P34" s="21" t="str">
        <f>IFERROR(__xludf.DUMMYFUNCTION("""COMPUTED_VALUE"""),"Sikar")</f>
        <v>Sikar</v>
      </c>
      <c r="Q34" s="21">
        <f>IFERROR(__xludf.DUMMYFUNCTION("""COMPUTED_VALUE"""),8.112291832E9)</f>
        <v>8112291832</v>
      </c>
      <c r="R34" s="21" t="str">
        <f>IFERROR(__xludf.DUMMYFUNCTION("""COMPUTED_VALUE"""),"Manju devi ")</f>
        <v>Manju devi </v>
      </c>
      <c r="S34" s="21" t="str">
        <f>IFERROR(__xludf.DUMMYFUNCTION("""COMPUTED_VALUE"""),"Housewife ")</f>
        <v>Housewife </v>
      </c>
      <c r="T34" s="21" t="str">
        <f>IFERROR(__xludf.DUMMYFUNCTION("""COMPUTED_VALUE"""),"Sikar")</f>
        <v>Sikar</v>
      </c>
      <c r="U34" s="21">
        <f>IFERROR(__xludf.DUMMYFUNCTION("""COMPUTED_VALUE"""),8.432815435E9)</f>
        <v>8432815435</v>
      </c>
      <c r="V34" s="21">
        <f>IFERROR(__xludf.DUMMYFUNCTION("""COMPUTED_VALUE"""),2.0)</f>
        <v>2</v>
      </c>
      <c r="W34" s="21" t="str">
        <f>IFERROR(__xludf.DUMMYFUNCTION("""COMPUTED_VALUE"""),"Vinod kumar ")</f>
        <v>Vinod kumar </v>
      </c>
      <c r="X34" s="21" t="str">
        <f>IFERROR(__xludf.DUMMYFUNCTION("""COMPUTED_VALUE"""),"Father")</f>
        <v>Father</v>
      </c>
      <c r="Y34" s="21" t="str">
        <f>IFERROR(__xludf.DUMMYFUNCTION("""COMPUTED_VALUE"""),"Ashi ")</f>
        <v>Ashi </v>
      </c>
      <c r="Z34" s="21" t="str">
        <f>IFERROR(__xludf.DUMMYFUNCTION("""COMPUTED_VALUE"""),"Sister")</f>
        <v>Sister</v>
      </c>
      <c r="AA34" s="21" t="str">
        <f>IFERROR(__xludf.DUMMYFUNCTION("""COMPUTED_VALUE"""),"Veg")</f>
        <v>Veg</v>
      </c>
      <c r="AB34" s="21" t="str">
        <f>IFERROR(__xludf.DUMMYFUNCTION("""COMPUTED_VALUE"""),"Veg")</f>
        <v>Veg</v>
      </c>
      <c r="AC34" s="21" t="str">
        <f>IFERROR(__xludf.DUMMYFUNCTION("""COMPUTED_VALUE"""),"Veg")</f>
        <v>Veg</v>
      </c>
      <c r="AD34" s="21" t="str">
        <f>IFERROR(__xludf.DUMMYFUNCTION("""COMPUTED_VALUE"""),"Drop at Kolkata Airport")</f>
        <v>Drop at Kolkata Airport</v>
      </c>
      <c r="AE34" s="21">
        <f>IFERROR(__xludf.DUMMYFUNCTION("""COMPUTED_VALUE"""),1.0)</f>
        <v>1</v>
      </c>
    </row>
    <row r="35" ht="22.5" customHeight="1">
      <c r="A35" s="18">
        <f>IFERROR(__xludf.DUMMYFUNCTION("""COMPUTED_VALUE"""),46265.81132795139)</f>
        <v>46265.81133</v>
      </c>
      <c r="B35" s="21" t="str">
        <f>IFERROR(__xludf.DUMMYFUNCTION("""COMPUTED_VALUE"""),"nidhidhandhi29@gmail.com")</f>
        <v>nidhidhandhi29@gmail.com</v>
      </c>
      <c r="C35" s="21" t="str">
        <f>IFERROR(__xludf.DUMMYFUNCTION("""COMPUTED_VALUE"""),"Nidhi")</f>
        <v>Nidhi</v>
      </c>
      <c r="D35" s="21">
        <f>IFERROR(__xludf.DUMMYFUNCTION("""COMPUTED_VALUE"""),2.0240412E7)</f>
        <v>20240412</v>
      </c>
      <c r="E35" s="21" t="str">
        <f>IFERROR(__xludf.DUMMYFUNCTION("""COMPUTED_VALUE"""),"M.Sc. Nursing 2024")</f>
        <v>M.Sc. Nursing 2024</v>
      </c>
      <c r="F35" s="21">
        <f>IFERROR(__xludf.DUMMYFUNCTION("""COMPUTED_VALUE"""),7.015693798E9)</f>
        <v>7015693798</v>
      </c>
      <c r="G35" s="21" t="str">
        <f>IFERROR(__xludf.DUMMYFUNCTION("""COMPUTED_VALUE"""),"nidhidhandhi29@gmail.com")</f>
        <v>nidhidhandhi29@gmail.com</v>
      </c>
      <c r="H35" s="21" t="str">
        <f>IFERROR(__xludf.DUMMYFUNCTION("""COMPUTED_VALUE"""),"Yes")</f>
        <v>Yes</v>
      </c>
      <c r="I35" s="21" t="str">
        <f>IFERROR(__xludf.DUMMYFUNCTION("""COMPUTED_VALUE"""),"Yoga")</f>
        <v>Yoga</v>
      </c>
      <c r="J35" s="21" t="str">
        <f>IFERROR(__xludf.DUMMYFUNCTION("""COMPUTED_VALUE"""),"No")</f>
        <v>No</v>
      </c>
      <c r="K35" s="21" t="str">
        <f>IFERROR(__xludf.DUMMYFUNCTION("""COMPUTED_VALUE"""),"Haryana")</f>
        <v>Haryana</v>
      </c>
      <c r="L35" s="22" t="str">
        <f>IFERROR(__xludf.DUMMYFUNCTION("""COMPUTED_VALUE"""),"https://drive.google.com/open?id=1q4jtwLfwgagaoHjx9Vk-4Au0Nn89GlKY")</f>
        <v>https://drive.google.com/open?id=1q4jtwLfwgagaoHjx9Vk-4Au0Nn89GlKY</v>
      </c>
      <c r="M35" s="22" t="str">
        <f>IFERROR(__xludf.DUMMYFUNCTION("""COMPUTED_VALUE"""),"https://drive.google.com/open?id=1uYaBUS1pDb8zNs1myLB9Wfa06w9aEjeg")</f>
        <v>https://drive.google.com/open?id=1uYaBUS1pDb8zNs1myLB9Wfa06w9aEjeg</v>
      </c>
      <c r="N35" s="21" t="str">
        <f>IFERROR(__xludf.DUMMYFUNCTION("""COMPUTED_VALUE"""),"Sanjay")</f>
        <v>Sanjay</v>
      </c>
      <c r="O35" s="21" t="str">
        <f>IFERROR(__xludf.DUMMYFUNCTION("""COMPUTED_VALUE"""),"Self employment ")</f>
        <v>Self employment </v>
      </c>
      <c r="P35" s="21" t="str">
        <f>IFERROR(__xludf.DUMMYFUNCTION("""COMPUTED_VALUE"""),"Mehmudpur")</f>
        <v>Mehmudpur</v>
      </c>
      <c r="Q35" s="21">
        <f>IFERROR(__xludf.DUMMYFUNCTION("""COMPUTED_VALUE"""),9.996577829E9)</f>
        <v>9996577829</v>
      </c>
      <c r="R35" s="21" t="str">
        <f>IFERROR(__xludf.DUMMYFUNCTION("""COMPUTED_VALUE"""),"Mukesh")</f>
        <v>Mukesh</v>
      </c>
      <c r="S35" s="21" t="str">
        <f>IFERROR(__xludf.DUMMYFUNCTION("""COMPUTED_VALUE"""),"Housemaker")</f>
        <v>Housemaker</v>
      </c>
      <c r="T35" s="21" t="str">
        <f>IFERROR(__xludf.DUMMYFUNCTION("""COMPUTED_VALUE"""),"Mehmudpur ")</f>
        <v>Mehmudpur </v>
      </c>
      <c r="U35" s="21">
        <f>IFERROR(__xludf.DUMMYFUNCTION("""COMPUTED_VALUE"""),8.930544883E9)</f>
        <v>8930544883</v>
      </c>
      <c r="V35" s="21">
        <f>IFERROR(__xludf.DUMMYFUNCTION("""COMPUTED_VALUE"""),2.0)</f>
        <v>2</v>
      </c>
      <c r="W35" s="21" t="str">
        <f>IFERROR(__xludf.DUMMYFUNCTION("""COMPUTED_VALUE"""),"Barkha ")</f>
        <v>Barkha </v>
      </c>
      <c r="X35" s="21" t="str">
        <f>IFERROR(__xludf.DUMMYFUNCTION("""COMPUTED_VALUE"""),"Sister ")</f>
        <v>Sister </v>
      </c>
      <c r="Y35" s="21" t="str">
        <f>IFERROR(__xludf.DUMMYFUNCTION("""COMPUTED_VALUE"""),"Sneha")</f>
        <v>Sneha</v>
      </c>
      <c r="Z35" s="21" t="str">
        <f>IFERROR(__xludf.DUMMYFUNCTION("""COMPUTED_VALUE"""),"Sister")</f>
        <v>Sister</v>
      </c>
      <c r="AA35" s="21" t="str">
        <f>IFERROR(__xludf.DUMMYFUNCTION("""COMPUTED_VALUE"""),"Veg")</f>
        <v>Veg</v>
      </c>
      <c r="AB35" s="21" t="str">
        <f>IFERROR(__xludf.DUMMYFUNCTION("""COMPUTED_VALUE"""),"Veg")</f>
        <v>Veg</v>
      </c>
      <c r="AC35" s="21" t="str">
        <f>IFERROR(__xludf.DUMMYFUNCTION("""COMPUTED_VALUE"""),"Veg")</f>
        <v>Veg</v>
      </c>
      <c r="AD35" s="21" t="str">
        <f>IFERROR(__xludf.DUMMYFUNCTION("""COMPUTED_VALUE"""),"Bus Drop Service not needed")</f>
        <v>Bus Drop Service not needed</v>
      </c>
      <c r="AE35" s="21">
        <f>IFERROR(__xludf.DUMMYFUNCTION("""COMPUTED_VALUE"""),0.0)</f>
        <v>0</v>
      </c>
    </row>
    <row r="36" ht="22.5" customHeight="1">
      <c r="A36" s="18">
        <f>IFERROR(__xludf.DUMMYFUNCTION("""COMPUTED_VALUE"""),46265.76405421297)</f>
        <v>46265.76405</v>
      </c>
      <c r="B36" s="21" t="str">
        <f>IFERROR(__xludf.DUMMYFUNCTION("""COMPUTED_VALUE"""),"prama.mscnursing-2024@aiimskalyani.edu.in")</f>
        <v>prama.mscnursing-2024@aiimskalyani.edu.in</v>
      </c>
      <c r="C36" s="21" t="str">
        <f>IFERROR(__xludf.DUMMYFUNCTION("""COMPUTED_VALUE"""),"PRAMA CHATTERJEE")</f>
        <v>PRAMA CHATTERJEE</v>
      </c>
      <c r="D36" s="21">
        <f>IFERROR(__xludf.DUMMYFUNCTION("""COMPUTED_VALUE"""),2.0240409E7)</f>
        <v>20240409</v>
      </c>
      <c r="E36" s="21" t="str">
        <f>IFERROR(__xludf.DUMMYFUNCTION("""COMPUTED_VALUE"""),"M.Sc. Nursing 2024")</f>
        <v>M.Sc. Nursing 2024</v>
      </c>
      <c r="F36" s="21">
        <f>IFERROR(__xludf.DUMMYFUNCTION("""COMPUTED_VALUE"""),8.420623906E9)</f>
        <v>8420623906</v>
      </c>
      <c r="G36" s="21" t="str">
        <f>IFERROR(__xludf.DUMMYFUNCTION("""COMPUTED_VALUE"""),"prama.mscnursing-2024@aiimskalyani.edu.in")</f>
        <v>prama.mscnursing-2024@aiimskalyani.edu.in</v>
      </c>
      <c r="H36" s="21" t="str">
        <f>IFERROR(__xludf.DUMMYFUNCTION("""COMPUTED_VALUE"""),"Yes")</f>
        <v>Yes</v>
      </c>
      <c r="I36" s="21" t="str">
        <f>IFERROR(__xludf.DUMMYFUNCTION("""COMPUTED_VALUE"""),"Dancing and singing")</f>
        <v>Dancing and singing</v>
      </c>
      <c r="J36" s="21" t="str">
        <f>IFERROR(__xludf.DUMMYFUNCTION("""COMPUTED_VALUE"""),"NA")</f>
        <v>NA</v>
      </c>
      <c r="K36" s="21" t="str">
        <f>IFERROR(__xludf.DUMMYFUNCTION("""COMPUTED_VALUE"""),"Kolkata, West Bengal")</f>
        <v>Kolkata, West Bengal</v>
      </c>
      <c r="L36" s="22" t="str">
        <f>IFERROR(__xludf.DUMMYFUNCTION("""COMPUTED_VALUE"""),"https://drive.google.com/open?id=1_v9ipshqTAJe0fl6j8fWr8d3eAG2WLHH")</f>
        <v>https://drive.google.com/open?id=1_v9ipshqTAJe0fl6j8fWr8d3eAG2WLHH</v>
      </c>
      <c r="M36" s="22" t="str">
        <f>IFERROR(__xludf.DUMMYFUNCTION("""COMPUTED_VALUE"""),"https://drive.google.com/open?id=1xJj6JguZYYZ-Ag7mDWJOZAl5rU7PX0Qk")</f>
        <v>https://drive.google.com/open?id=1xJj6JguZYYZ-Ag7mDWJOZAl5rU7PX0Qk</v>
      </c>
      <c r="N36" s="21" t="str">
        <f>IFERROR(__xludf.DUMMYFUNCTION("""COMPUTED_VALUE"""),"TARUN KUMAR CHATTERJEE")</f>
        <v>TARUN KUMAR CHATTERJEE</v>
      </c>
      <c r="O36" s="21" t="str">
        <f>IFERROR(__xludf.DUMMYFUNCTION("""COMPUTED_VALUE"""),"GOVT. SERVICE")</f>
        <v>GOVT. SERVICE</v>
      </c>
      <c r="P36" s="21" t="str">
        <f>IFERROR(__xludf.DUMMYFUNCTION("""COMPUTED_VALUE"""),"Kolkata, West Bengal")</f>
        <v>Kolkata, West Bengal</v>
      </c>
      <c r="Q36" s="21">
        <f>IFERROR(__xludf.DUMMYFUNCTION("""COMPUTED_VALUE"""),9.477026679E9)</f>
        <v>9477026679</v>
      </c>
      <c r="R36" s="21" t="str">
        <f>IFERROR(__xludf.DUMMYFUNCTION("""COMPUTED_VALUE"""),"SAMPA CHATTERJEE")</f>
        <v>SAMPA CHATTERJEE</v>
      </c>
      <c r="S36" s="21" t="str">
        <f>IFERROR(__xludf.DUMMYFUNCTION("""COMPUTED_VALUE"""),"HOUSEWIFE")</f>
        <v>HOUSEWIFE</v>
      </c>
      <c r="T36" s="21" t="str">
        <f>IFERROR(__xludf.DUMMYFUNCTION("""COMPUTED_VALUE"""),"Kolkata, West Bengal")</f>
        <v>Kolkata, West Bengal</v>
      </c>
      <c r="U36" s="21">
        <f>IFERROR(__xludf.DUMMYFUNCTION("""COMPUTED_VALUE"""),8.902338855E9)</f>
        <v>8902338855</v>
      </c>
      <c r="V36" s="21">
        <f>IFERROR(__xludf.DUMMYFUNCTION("""COMPUTED_VALUE"""),2.0)</f>
        <v>2</v>
      </c>
      <c r="W36" s="21" t="str">
        <f>IFERROR(__xludf.DUMMYFUNCTION("""COMPUTED_VALUE"""),"TARUN KUMAR CHATTERJEE")</f>
        <v>TARUN KUMAR CHATTERJEE</v>
      </c>
      <c r="X36" s="21" t="str">
        <f>IFERROR(__xludf.DUMMYFUNCTION("""COMPUTED_VALUE"""),"FATHER")</f>
        <v>FATHER</v>
      </c>
      <c r="Y36" s="21" t="str">
        <f>IFERROR(__xludf.DUMMYFUNCTION("""COMPUTED_VALUE"""),"SAMPA CHATTERJEE")</f>
        <v>SAMPA CHATTERJEE</v>
      </c>
      <c r="Z36" s="21" t="str">
        <f>IFERROR(__xludf.DUMMYFUNCTION("""COMPUTED_VALUE"""),"MOTHER")</f>
        <v>MOTHER</v>
      </c>
      <c r="AA36" s="21" t="str">
        <f>IFERROR(__xludf.DUMMYFUNCTION("""COMPUTED_VALUE"""),"Non-Veg")</f>
        <v>Non-Veg</v>
      </c>
      <c r="AB36" s="21" t="str">
        <f>IFERROR(__xludf.DUMMYFUNCTION("""COMPUTED_VALUE"""),"Non-Veg")</f>
        <v>Non-Veg</v>
      </c>
      <c r="AC36" s="21" t="str">
        <f>IFERROR(__xludf.DUMMYFUNCTION("""COMPUTED_VALUE"""),"Non-Veg")</f>
        <v>Non-Veg</v>
      </c>
      <c r="AD36" s="21" t="str">
        <f>IFERROR(__xludf.DUMMYFUNCTION("""COMPUTED_VALUE"""),"Drop at Kalyani Railway Station")</f>
        <v>Drop at Kalyani Railway Station</v>
      </c>
      <c r="AE36" s="21">
        <f>IFERROR(__xludf.DUMMYFUNCTION("""COMPUTED_VALUE"""),3.0)</f>
        <v>3</v>
      </c>
    </row>
    <row r="37" ht="22.5" customHeight="1">
      <c r="A37" s="18">
        <f>IFERROR(__xludf.DUMMYFUNCTION("""COMPUTED_VALUE"""),46265.75187501157)</f>
        <v>46265.75188</v>
      </c>
      <c r="B37" s="21" t="str">
        <f>IFERROR(__xludf.DUMMYFUNCTION("""COMPUTED_VALUE"""),"sanith.patho_pgt23@aiimskalyani.edu.in")</f>
        <v>sanith.patho_pgt23@aiimskalyani.edu.in</v>
      </c>
      <c r="C37" s="21" t="str">
        <f>IFERROR(__xludf.DUMMYFUNCTION("""COMPUTED_VALUE"""),"Dr. Sanith Mani")</f>
        <v>Dr. Sanith Mani</v>
      </c>
      <c r="D37" s="21">
        <f>IFERROR(__xludf.DUMMYFUNCTION("""COMPUTED_VALUE"""),2.0230312E7)</f>
        <v>20230312</v>
      </c>
      <c r="E37" s="21" t="str">
        <f>IFERROR(__xludf.DUMMYFUNCTION("""COMPUTED_VALUE"""),"MD/MS/MDS 2023")</f>
        <v>MD/MS/MDS 2023</v>
      </c>
      <c r="F37" s="21">
        <f>IFERROR(__xludf.DUMMYFUNCTION("""COMPUTED_VALUE"""),9.496900091E9)</f>
        <v>9496900091</v>
      </c>
      <c r="G37" s="21" t="str">
        <f>IFERROR(__xludf.DUMMYFUNCTION("""COMPUTED_VALUE"""),"sanithmani@gmail.com")</f>
        <v>sanithmani@gmail.com</v>
      </c>
      <c r="H37" s="21" t="str">
        <f>IFERROR(__xludf.DUMMYFUNCTION("""COMPUTED_VALUE"""),"Yes")</f>
        <v>Yes</v>
      </c>
      <c r="I37" s="21" t="str">
        <f>IFERROR(__xludf.DUMMYFUNCTION("""COMPUTED_VALUE"""),"Reading, watching movies, travelling")</f>
        <v>Reading, watching movies, travelling</v>
      </c>
      <c r="J37" s="21" t="str">
        <f>IFERROR(__xludf.DUMMYFUNCTION("""COMPUTED_VALUE"""),"Football")</f>
        <v>Football</v>
      </c>
      <c r="K37" s="21" t="str">
        <f>IFERROR(__xludf.DUMMYFUNCTION("""COMPUTED_VALUE"""),"Kottayam, kerala")</f>
        <v>Kottayam, kerala</v>
      </c>
      <c r="L37" s="22" t="str">
        <f>IFERROR(__xludf.DUMMYFUNCTION("""COMPUTED_VALUE"""),"https://drive.google.com/open?id=1mwdUPbPaO99_i4UyRy4U0ctnJjbfI1wx")</f>
        <v>https://drive.google.com/open?id=1mwdUPbPaO99_i4UyRy4U0ctnJjbfI1wx</v>
      </c>
      <c r="M37" s="22" t="str">
        <f>IFERROR(__xludf.DUMMYFUNCTION("""COMPUTED_VALUE"""),"https://drive.google.com/open?id=1aEn6zynYMtTqU82pZLlLnFjsJXaMolgi")</f>
        <v>https://drive.google.com/open?id=1aEn6zynYMtTqU82pZLlLnFjsJXaMolgi</v>
      </c>
      <c r="N37" s="21" t="str">
        <f>IFERROR(__xludf.DUMMYFUNCTION("""COMPUTED_VALUE"""),"Lt. Mani Cyriac")</f>
        <v>Lt. Mani Cyriac</v>
      </c>
      <c r="O37" s="21" t="str">
        <f>IFERROR(__xludf.DUMMYFUNCTION("""COMPUTED_VALUE"""),"Business man")</f>
        <v>Business man</v>
      </c>
      <c r="P37" s="21" t="str">
        <f>IFERROR(__xludf.DUMMYFUNCTION("""COMPUTED_VALUE"""),"Kottayam")</f>
        <v>Kottayam</v>
      </c>
      <c r="Q37" s="21">
        <f>IFERROR(__xludf.DUMMYFUNCTION("""COMPUTED_VALUE"""),8.921105271E9)</f>
        <v>8921105271</v>
      </c>
      <c r="R37" s="21" t="str">
        <f>IFERROR(__xludf.DUMMYFUNCTION("""COMPUTED_VALUE"""),"Ancy Mani")</f>
        <v>Ancy Mani</v>
      </c>
      <c r="S37" s="21" t="str">
        <f>IFERROR(__xludf.DUMMYFUNCTION("""COMPUTED_VALUE"""),"House wife")</f>
        <v>House wife</v>
      </c>
      <c r="T37" s="21" t="str">
        <f>IFERROR(__xludf.DUMMYFUNCTION("""COMPUTED_VALUE"""),"Kottayam")</f>
        <v>Kottayam</v>
      </c>
      <c r="U37" s="21">
        <f>IFERROR(__xludf.DUMMYFUNCTION("""COMPUTED_VALUE"""),9.4963153E9)</f>
        <v>9496315300</v>
      </c>
      <c r="V37" s="21">
        <f>IFERROR(__xludf.DUMMYFUNCTION("""COMPUTED_VALUE"""),1.0)</f>
        <v>1</v>
      </c>
      <c r="W37" s="21" t="str">
        <f>IFERROR(__xludf.DUMMYFUNCTION("""COMPUTED_VALUE"""),"MERLIN SABU")</f>
        <v>MERLIN SABU</v>
      </c>
      <c r="X37" s="21" t="str">
        <f>IFERROR(__xludf.DUMMYFUNCTION("""COMPUTED_VALUE"""),"SPOUSE")</f>
        <v>SPOUSE</v>
      </c>
      <c r="Y37" s="21"/>
      <c r="Z37" s="21"/>
      <c r="AA37" s="21" t="str">
        <f>IFERROR(__xludf.DUMMYFUNCTION("""COMPUTED_VALUE"""),"Non-Veg")</f>
        <v>Non-Veg</v>
      </c>
      <c r="AB37" s="21" t="str">
        <f>IFERROR(__xludf.DUMMYFUNCTION("""COMPUTED_VALUE"""),"Non-Veg")</f>
        <v>Non-Veg</v>
      </c>
      <c r="AC37" s="21"/>
      <c r="AD37" s="21"/>
      <c r="AE37" s="21">
        <f>IFERROR(__xludf.DUMMYFUNCTION("""COMPUTED_VALUE"""),0.0)</f>
        <v>0</v>
      </c>
    </row>
    <row r="38" ht="22.5" customHeight="1">
      <c r="A38" s="18">
        <f>IFERROR(__xludf.DUMMYFUNCTION("""COMPUTED_VALUE"""),46265.74408037037)</f>
        <v>46265.74408</v>
      </c>
      <c r="B38" s="21" t="str">
        <f>IFERROR(__xludf.DUMMYFUNCTION("""COMPUTED_VALUE"""),"mohua.bscnursing-2021@aiimskalyani.edu.in")</f>
        <v>mohua.bscnursing-2021@aiimskalyani.edu.in</v>
      </c>
      <c r="C38" s="21" t="str">
        <f>IFERROR(__xludf.DUMMYFUNCTION("""COMPUTED_VALUE"""),"MOHUA KHATUN ")</f>
        <v>MOHUA KHATUN </v>
      </c>
      <c r="D38" s="21">
        <f>IFERROR(__xludf.DUMMYFUNCTION("""COMPUTED_VALUE"""),2.0210225E7)</f>
        <v>20210225</v>
      </c>
      <c r="E38" s="21" t="str">
        <f>IFERROR(__xludf.DUMMYFUNCTION("""COMPUTED_VALUE"""),"B.Sc (Hons) Nursing 2021")</f>
        <v>B.Sc (Hons) Nursing 2021</v>
      </c>
      <c r="F38" s="21">
        <f>IFERROR(__xludf.DUMMYFUNCTION("""COMPUTED_VALUE"""),7.074559669E9)</f>
        <v>7074559669</v>
      </c>
      <c r="G38" s="21" t="str">
        <f>IFERROR(__xludf.DUMMYFUNCTION("""COMPUTED_VALUE"""),"mohua.bscnursing-2021@aiimskalyani.edu.in")</f>
        <v>mohua.bscnursing-2021@aiimskalyani.edu.in</v>
      </c>
      <c r="H38" s="21" t="str">
        <f>IFERROR(__xludf.DUMMYFUNCTION("""COMPUTED_VALUE"""),"Yes")</f>
        <v>Yes</v>
      </c>
      <c r="I38" s="21" t="str">
        <f>IFERROR(__xludf.DUMMYFUNCTION("""COMPUTED_VALUE"""),"Gardening,Cooking,Spending time with family and friends
")</f>
        <v>Gardening,Cooking,Spending time with family and friends
</v>
      </c>
      <c r="J38" s="21" t="str">
        <f>IFERROR(__xludf.DUMMYFUNCTION("""COMPUTED_VALUE"""),"Health Convener of CON, Aiims Kalyani ")</f>
        <v>Health Convener of CON, Aiims Kalyani </v>
      </c>
      <c r="K38" s="21" t="str">
        <f>IFERROR(__xludf.DUMMYFUNCTION("""COMPUTED_VALUE"""),"Arambagh, Hooghly, West Bengal")</f>
        <v>Arambagh, Hooghly, West Bengal</v>
      </c>
      <c r="L38" s="22" t="str">
        <f>IFERROR(__xludf.DUMMYFUNCTION("""COMPUTED_VALUE"""),"https://drive.google.com/open?id=1jg--PfomRC8U5u4fxaR52oQRHrvm3LhQ")</f>
        <v>https://drive.google.com/open?id=1jg--PfomRC8U5u4fxaR52oQRHrvm3LhQ</v>
      </c>
      <c r="M38" s="22" t="str">
        <f>IFERROR(__xludf.DUMMYFUNCTION("""COMPUTED_VALUE"""),"https://drive.google.com/open?id=15DqgMzqxVTeyVlE8ii224-5hgM0RqaHD")</f>
        <v>https://drive.google.com/open?id=15DqgMzqxVTeyVlE8ii224-5hgM0RqaHD</v>
      </c>
      <c r="N38" s="21" t="str">
        <f>IFERROR(__xludf.DUMMYFUNCTION("""COMPUTED_VALUE"""),"Sk Manuar Ali")</f>
        <v>Sk Manuar Ali</v>
      </c>
      <c r="O38" s="21" t="str">
        <f>IFERROR(__xludf.DUMMYFUNCTION("""COMPUTED_VALUE"""),"Embroidery Worker")</f>
        <v>Embroidery Worker</v>
      </c>
      <c r="P38" s="21" t="str">
        <f>IFERROR(__xludf.DUMMYFUNCTION("""COMPUTED_VALUE"""),"Arambagh, Hooghly, West Bengal ")</f>
        <v>Arambagh, Hooghly, West Bengal </v>
      </c>
      <c r="Q38" s="21">
        <f>IFERROR(__xludf.DUMMYFUNCTION("""COMPUTED_VALUE"""),7.986006157E9)</f>
        <v>7986006157</v>
      </c>
      <c r="R38" s="21" t="str">
        <f>IFERROR(__xludf.DUMMYFUNCTION("""COMPUTED_VALUE"""),"Abeda Begam")</f>
        <v>Abeda Begam</v>
      </c>
      <c r="S38" s="21" t="str">
        <f>IFERROR(__xludf.DUMMYFUNCTION("""COMPUTED_VALUE"""),"Housewife ")</f>
        <v>Housewife </v>
      </c>
      <c r="T38" s="21" t="str">
        <f>IFERROR(__xludf.DUMMYFUNCTION("""COMPUTED_VALUE"""),"Arambagh, Hooghly, West Bengal ")</f>
        <v>Arambagh, Hooghly, West Bengal </v>
      </c>
      <c r="U38" s="21">
        <f>IFERROR(__xludf.DUMMYFUNCTION("""COMPUTED_VALUE"""),9.749952213E9)</f>
        <v>9749952213</v>
      </c>
      <c r="V38" s="21">
        <f>IFERROR(__xludf.DUMMYFUNCTION("""COMPUTED_VALUE"""),2.0)</f>
        <v>2</v>
      </c>
      <c r="W38" s="21" t="str">
        <f>IFERROR(__xludf.DUMMYFUNCTION("""COMPUTED_VALUE"""),"Abeda Begam ")</f>
        <v>Abeda Begam </v>
      </c>
      <c r="X38" s="21" t="str">
        <f>IFERROR(__xludf.DUMMYFUNCTION("""COMPUTED_VALUE"""),"Mother ")</f>
        <v>Mother </v>
      </c>
      <c r="Y38" s="21" t="str">
        <f>IFERROR(__xludf.DUMMYFUNCTION("""COMPUTED_VALUE"""),"Mabuda Begam")</f>
        <v>Mabuda Begam</v>
      </c>
      <c r="Z38" s="21" t="str">
        <f>IFERROR(__xludf.DUMMYFUNCTION("""COMPUTED_VALUE"""),"Aunty ")</f>
        <v>Aunty </v>
      </c>
      <c r="AA38" s="21" t="str">
        <f>IFERROR(__xludf.DUMMYFUNCTION("""COMPUTED_VALUE"""),"Veg")</f>
        <v>Veg</v>
      </c>
      <c r="AB38" s="21" t="str">
        <f>IFERROR(__xludf.DUMMYFUNCTION("""COMPUTED_VALUE"""),"Veg")</f>
        <v>Veg</v>
      </c>
      <c r="AC38" s="21" t="str">
        <f>IFERROR(__xludf.DUMMYFUNCTION("""COMPUTED_VALUE"""),"Veg")</f>
        <v>Veg</v>
      </c>
      <c r="AD38" s="21" t="str">
        <f>IFERROR(__xludf.DUMMYFUNCTION("""COMPUTED_VALUE"""),"Bus Drop Service not needed")</f>
        <v>Bus Drop Service not needed</v>
      </c>
      <c r="AE38" s="21">
        <f>IFERROR(__xludf.DUMMYFUNCTION("""COMPUTED_VALUE"""),0.0)</f>
        <v>0</v>
      </c>
    </row>
    <row r="39" ht="22.5" customHeight="1">
      <c r="A39" s="18">
        <f>IFERROR(__xludf.DUMMYFUNCTION("""COMPUTED_VALUE"""),46265.74221628472)</f>
        <v>46265.74222</v>
      </c>
      <c r="B39" s="21" t="str">
        <f>IFERROR(__xludf.DUMMYFUNCTION("""COMPUTED_VALUE"""),"neha.bscnursing-2021@aiimskalyani.edu.in")</f>
        <v>neha.bscnursing-2021@aiimskalyani.edu.in</v>
      </c>
      <c r="C39" s="21" t="str">
        <f>IFERROR(__xludf.DUMMYFUNCTION("""COMPUTED_VALUE"""),"Neha Bharti")</f>
        <v>Neha Bharti</v>
      </c>
      <c r="D39" s="21">
        <f>IFERROR(__xludf.DUMMYFUNCTION("""COMPUTED_VALUE"""),2.0210231E7)</f>
        <v>20210231</v>
      </c>
      <c r="E39" s="21" t="str">
        <f>IFERROR(__xludf.DUMMYFUNCTION("""COMPUTED_VALUE"""),"B.Sc (Hons) Nursing 2021")</f>
        <v>B.Sc (Hons) Nursing 2021</v>
      </c>
      <c r="F39" s="21">
        <f>IFERROR(__xludf.DUMMYFUNCTION("""COMPUTED_VALUE"""),9.534028858E9)</f>
        <v>9534028858</v>
      </c>
      <c r="G39" s="21" t="str">
        <f>IFERROR(__xludf.DUMMYFUNCTION("""COMPUTED_VALUE"""),"nehabharti8257@gmail.com")</f>
        <v>nehabharti8257@gmail.com</v>
      </c>
      <c r="H39" s="21" t="str">
        <f>IFERROR(__xludf.DUMMYFUNCTION("""COMPUTED_VALUE"""),"Yes")</f>
        <v>Yes</v>
      </c>
      <c r="I39" s="21" t="str">
        <f>IFERROR(__xludf.DUMMYFUNCTION("""COMPUTED_VALUE"""),"Like to read books,play badminton ")</f>
        <v>Like to read books,play badminton </v>
      </c>
      <c r="J39" s="21" t="str">
        <f>IFERROR(__xludf.DUMMYFUNCTION("""COMPUTED_VALUE"""),"Have achieved medals and certificates for several games in college fest")</f>
        <v>Have achieved medals and certificates for several games in college fest</v>
      </c>
      <c r="K39" s="21" t="str">
        <f>IFERROR(__xludf.DUMMYFUNCTION("""COMPUTED_VALUE"""),"Bihar ")</f>
        <v>Bihar </v>
      </c>
      <c r="L39" s="22" t="str">
        <f>IFERROR(__xludf.DUMMYFUNCTION("""COMPUTED_VALUE"""),"https://drive.google.com/open?id=1LhzzXJs-UnohE681HgwaOAw45n28JXz3")</f>
        <v>https://drive.google.com/open?id=1LhzzXJs-UnohE681HgwaOAw45n28JXz3</v>
      </c>
      <c r="M39" s="22" t="str">
        <f>IFERROR(__xludf.DUMMYFUNCTION("""COMPUTED_VALUE"""),"https://drive.google.com/open?id=1UZx222ibsk9zHzcsDK6VCCTTZCDJYoi0")</f>
        <v>https://drive.google.com/open?id=1UZx222ibsk9zHzcsDK6VCCTTZCDJYoi0</v>
      </c>
      <c r="N39" s="21" t="str">
        <f>IFERROR(__xludf.DUMMYFUNCTION("""COMPUTED_VALUE"""),"Sanjay Kumar Singh ")</f>
        <v>Sanjay Kumar Singh </v>
      </c>
      <c r="O39" s="21" t="str">
        <f>IFERROR(__xludf.DUMMYFUNCTION("""COMPUTED_VALUE"""),"Retired Army Officer ")</f>
        <v>Retired Army Officer </v>
      </c>
      <c r="P39" s="21" t="str">
        <f>IFERROR(__xludf.DUMMYFUNCTION("""COMPUTED_VALUE"""),"Kolkata")</f>
        <v>Kolkata</v>
      </c>
      <c r="Q39" s="21">
        <f>IFERROR(__xludf.DUMMYFUNCTION("""COMPUTED_VALUE"""),9.760320316E9)</f>
        <v>9760320316</v>
      </c>
      <c r="R39" s="21" t="str">
        <f>IFERROR(__xludf.DUMMYFUNCTION("""COMPUTED_VALUE"""),"Pratima singh")</f>
        <v>Pratima singh</v>
      </c>
      <c r="S39" s="21" t="str">
        <f>IFERROR(__xludf.DUMMYFUNCTION("""COMPUTED_VALUE"""),"Homemaker")</f>
        <v>Homemaker</v>
      </c>
      <c r="T39" s="21" t="str">
        <f>IFERROR(__xludf.DUMMYFUNCTION("""COMPUTED_VALUE"""),"Kolkata")</f>
        <v>Kolkata</v>
      </c>
      <c r="U39" s="21">
        <f>IFERROR(__xludf.DUMMYFUNCTION("""COMPUTED_VALUE"""),9.699868646E9)</f>
        <v>9699868646</v>
      </c>
      <c r="V39" s="21">
        <f>IFERROR(__xludf.DUMMYFUNCTION("""COMPUTED_VALUE"""),0.0)</f>
        <v>0</v>
      </c>
      <c r="W39" s="21"/>
      <c r="X39" s="21"/>
      <c r="Y39" s="21"/>
      <c r="Z39" s="21"/>
      <c r="AA39" s="21" t="str">
        <f>IFERROR(__xludf.DUMMYFUNCTION("""COMPUTED_VALUE"""),"Non-Veg")</f>
        <v>Non-Veg</v>
      </c>
      <c r="AB39" s="21"/>
      <c r="AC39" s="21"/>
      <c r="AD39" s="21" t="str">
        <f>IFERROR(__xludf.DUMMYFUNCTION("""COMPUTED_VALUE"""),"Bus Drop Service not needed")</f>
        <v>Bus Drop Service not needed</v>
      </c>
      <c r="AE39" s="21">
        <f>IFERROR(__xludf.DUMMYFUNCTION("""COMPUTED_VALUE"""),0.0)</f>
        <v>0</v>
      </c>
    </row>
    <row r="40" ht="22.5" customHeight="1">
      <c r="A40" s="18">
        <f>IFERROR(__xludf.DUMMYFUNCTION("""COMPUTED_VALUE"""),46265.7399896412)</f>
        <v>46265.73999</v>
      </c>
      <c r="B40" s="21" t="str">
        <f>IFERROR(__xludf.DUMMYFUNCTION("""COMPUTED_VALUE"""),"bharathkrishna500@gmail.com")</f>
        <v>bharathkrishna500@gmail.com</v>
      </c>
      <c r="C40" s="21" t="str">
        <f>IFERROR(__xludf.DUMMYFUNCTION("""COMPUTED_VALUE"""),"BHARATH KRISHNA")</f>
        <v>BHARATH KRISHNA</v>
      </c>
      <c r="D40" s="21">
        <f>IFERROR(__xludf.DUMMYFUNCTION("""COMPUTED_VALUE"""),2.0200186E7)</f>
        <v>20200186</v>
      </c>
      <c r="E40" s="21" t="str">
        <f>IFERROR(__xludf.DUMMYFUNCTION("""COMPUTED_VALUE"""),"MBBS 2020")</f>
        <v>MBBS 2020</v>
      </c>
      <c r="F40" s="21">
        <f>IFERROR(__xludf.DUMMYFUNCTION("""COMPUTED_VALUE"""),9.526106877E9)</f>
        <v>9526106877</v>
      </c>
      <c r="G40" s="21" t="str">
        <f>IFERROR(__xludf.DUMMYFUNCTION("""COMPUTED_VALUE"""),"bharathkrishna500@gmail.com")</f>
        <v>bharathkrishna500@gmail.com</v>
      </c>
      <c r="H40" s="21" t="str">
        <f>IFERROR(__xludf.DUMMYFUNCTION("""COMPUTED_VALUE"""),"Yes")</f>
        <v>Yes</v>
      </c>
      <c r="I40" s="21" t="str">
        <f>IFERROR(__xludf.DUMMYFUNCTION("""COMPUTED_VALUE"""),"Football, watching movies, reading books")</f>
        <v>Football, watching movies, reading books</v>
      </c>
      <c r="J40" s="21" t="str">
        <f>IFERROR(__xludf.DUMMYFUNCTION("""COMPUTED_VALUE"""),"Winner of house football tournament")</f>
        <v>Winner of house football tournament</v>
      </c>
      <c r="K40" s="21" t="str">
        <f>IFERROR(__xludf.DUMMYFUNCTION("""COMPUTED_VALUE"""),"Kerala")</f>
        <v>Kerala</v>
      </c>
      <c r="L40" s="22" t="str">
        <f>IFERROR(__xludf.DUMMYFUNCTION("""COMPUTED_VALUE"""),"https://drive.google.com/open?id=1Dsa2tQ1Snh-r4zUGRFxQYCCB4QXoXhVD")</f>
        <v>https://drive.google.com/open?id=1Dsa2tQ1Snh-r4zUGRFxQYCCB4QXoXhVD</v>
      </c>
      <c r="M40" s="22" t="str">
        <f>IFERROR(__xludf.DUMMYFUNCTION("""COMPUTED_VALUE"""),"https://drive.google.com/open?id=1exd5y3fNQkcvwlIi8dEq1IGQ-Jx-C0iC")</f>
        <v>https://drive.google.com/open?id=1exd5y3fNQkcvwlIi8dEq1IGQ-Jx-C0iC</v>
      </c>
      <c r="N40" s="21" t="str">
        <f>IFERROR(__xludf.DUMMYFUNCTION("""COMPUTED_VALUE"""),"M somaprasad")</f>
        <v>M somaprasad</v>
      </c>
      <c r="O40" s="21" t="str">
        <f>IFERROR(__xludf.DUMMYFUNCTION("""COMPUTED_VALUE"""),"Retired divison officer manager united india insurance ")</f>
        <v>Retired divison officer manager united india insurance </v>
      </c>
      <c r="P40" s="21" t="str">
        <f>IFERROR(__xludf.DUMMYFUNCTION("""COMPUTED_VALUE"""),"Malappuram kerala")</f>
        <v>Malappuram kerala</v>
      </c>
      <c r="Q40" s="21">
        <f>IFERROR(__xludf.DUMMYFUNCTION("""COMPUTED_VALUE"""),9.446106877E9)</f>
        <v>9446106877</v>
      </c>
      <c r="R40" s="21" t="str">
        <f>IFERROR(__xludf.DUMMYFUNCTION("""COMPUTED_VALUE"""),"Bindu s menon")</f>
        <v>Bindu s menon</v>
      </c>
      <c r="S40" s="21" t="str">
        <f>IFERROR(__xludf.DUMMYFUNCTION("""COMPUTED_VALUE"""),"Retired higher secondary school teacher")</f>
        <v>Retired higher secondary school teacher</v>
      </c>
      <c r="T40" s="21" t="str">
        <f>IFERROR(__xludf.DUMMYFUNCTION("""COMPUTED_VALUE"""),"Malappuram kerala")</f>
        <v>Malappuram kerala</v>
      </c>
      <c r="U40" s="21">
        <f>IFERROR(__xludf.DUMMYFUNCTION("""COMPUTED_VALUE"""),9.447289191E9)</f>
        <v>9447289191</v>
      </c>
      <c r="V40" s="21">
        <f>IFERROR(__xludf.DUMMYFUNCTION("""COMPUTED_VALUE"""),1.0)</f>
        <v>1</v>
      </c>
      <c r="W40" s="21" t="str">
        <f>IFERROR(__xludf.DUMMYFUNCTION("""COMPUTED_VALUE"""),"Bindu s menon")</f>
        <v>Bindu s menon</v>
      </c>
      <c r="X40" s="21" t="str">
        <f>IFERROR(__xludf.DUMMYFUNCTION("""COMPUTED_VALUE"""),"Mother")</f>
        <v>Mother</v>
      </c>
      <c r="Y40" s="21"/>
      <c r="Z40" s="21"/>
      <c r="AA40" s="21" t="str">
        <f>IFERROR(__xludf.DUMMYFUNCTION("""COMPUTED_VALUE"""),"Non-Veg")</f>
        <v>Non-Veg</v>
      </c>
      <c r="AB40" s="21" t="str">
        <f>IFERROR(__xludf.DUMMYFUNCTION("""COMPUTED_VALUE"""),"Non-Veg")</f>
        <v>Non-Veg</v>
      </c>
      <c r="AC40" s="21"/>
      <c r="AD40" s="21" t="str">
        <f>IFERROR(__xludf.DUMMYFUNCTION("""COMPUTED_VALUE"""),"Bus Drop Service not needed")</f>
        <v>Bus Drop Service not needed</v>
      </c>
      <c r="AE40" s="21">
        <f>IFERROR(__xludf.DUMMYFUNCTION("""COMPUTED_VALUE"""),0.0)</f>
        <v>0</v>
      </c>
    </row>
    <row r="41" ht="22.5" customHeight="1">
      <c r="A41" s="18">
        <f>IFERROR(__xludf.DUMMYFUNCTION("""COMPUTED_VALUE"""),46265.739547731486)</f>
        <v>46265.73955</v>
      </c>
      <c r="B41" s="21" t="str">
        <f>IFERROR(__xludf.DUMMYFUNCTION("""COMPUTED_VALUE"""),"rahul.mbbs-2020@aiimskalyani.edu.in")</f>
        <v>rahul.mbbs-2020@aiimskalyani.edu.in</v>
      </c>
      <c r="C41" s="21" t="str">
        <f>IFERROR(__xludf.DUMMYFUNCTION("""COMPUTED_VALUE"""),"RAHUL")</f>
        <v>RAHUL</v>
      </c>
      <c r="D41" s="21">
        <f>IFERROR(__xludf.DUMMYFUNCTION("""COMPUTED_VALUE"""),2.02001122E8)</f>
        <v>202001122</v>
      </c>
      <c r="E41" s="21" t="str">
        <f>IFERROR(__xludf.DUMMYFUNCTION("""COMPUTED_VALUE"""),"MBBS 2020")</f>
        <v>MBBS 2020</v>
      </c>
      <c r="F41" s="21">
        <f>IFERROR(__xludf.DUMMYFUNCTION("""COMPUTED_VALUE"""),8.708840109E9)</f>
        <v>8708840109</v>
      </c>
      <c r="G41" s="21" t="str">
        <f>IFERROR(__xludf.DUMMYFUNCTION("""COMPUTED_VALUE"""),"rahulsaini786xx@gmail.com")</f>
        <v>rahulsaini786xx@gmail.com</v>
      </c>
      <c r="H41" s="21" t="str">
        <f>IFERROR(__xludf.DUMMYFUNCTION("""COMPUTED_VALUE"""),"Yes")</f>
        <v>Yes</v>
      </c>
      <c r="I41" s="21" t="str">
        <f>IFERROR(__xludf.DUMMYFUNCTION("""COMPUTED_VALUE"""),"Philosophy, Investing ")</f>
        <v>Philosophy, Investing </v>
      </c>
      <c r="J41" s="21" t="str">
        <f>IFERROR(__xludf.DUMMYFUNCTION("""COMPUTED_VALUE"""),"Nothing")</f>
        <v>Nothing</v>
      </c>
      <c r="K41" s="21" t="str">
        <f>IFERROR(__xludf.DUMMYFUNCTION("""COMPUTED_VALUE"""),"Bhiwani, Haryana")</f>
        <v>Bhiwani, Haryana</v>
      </c>
      <c r="L41" s="22" t="str">
        <f>IFERROR(__xludf.DUMMYFUNCTION("""COMPUTED_VALUE"""),"https://drive.google.com/open?id=19EwT0DyI9ymplMGneLNVBtIwc514sR_h")</f>
        <v>https://drive.google.com/open?id=19EwT0DyI9ymplMGneLNVBtIwc514sR_h</v>
      </c>
      <c r="M41" s="22" t="str">
        <f>IFERROR(__xludf.DUMMYFUNCTION("""COMPUTED_VALUE"""),"https://drive.google.com/open?id=16D4ecvv2U-2snIq82bZDHRLLQSpNeuZL")</f>
        <v>https://drive.google.com/open?id=16D4ecvv2U-2snIq82bZDHRLLQSpNeuZL</v>
      </c>
      <c r="N41" s="21" t="str">
        <f>IFERROR(__xludf.DUMMYFUNCTION("""COMPUTED_VALUE"""),"Om Parkash")</f>
        <v>Om Parkash</v>
      </c>
      <c r="O41" s="21" t="str">
        <f>IFERROR(__xludf.DUMMYFUNCTION("""COMPUTED_VALUE"""),"Wholeseller")</f>
        <v>Wholeseller</v>
      </c>
      <c r="P41" s="21" t="str">
        <f>IFERROR(__xludf.DUMMYFUNCTION("""COMPUTED_VALUE"""),"Bhiwani, Haryana")</f>
        <v>Bhiwani, Haryana</v>
      </c>
      <c r="Q41" s="21">
        <f>IFERROR(__xludf.DUMMYFUNCTION("""COMPUTED_VALUE"""),9.354106596E9)</f>
        <v>9354106596</v>
      </c>
      <c r="R41" s="21" t="str">
        <f>IFERROR(__xludf.DUMMYFUNCTION("""COMPUTED_VALUE"""),"Maina")</f>
        <v>Maina</v>
      </c>
      <c r="S41" s="21" t="str">
        <f>IFERROR(__xludf.DUMMYFUNCTION("""COMPUTED_VALUE"""),"Housewife")</f>
        <v>Housewife</v>
      </c>
      <c r="T41" s="21" t="str">
        <f>IFERROR(__xludf.DUMMYFUNCTION("""COMPUTED_VALUE"""),"Bhiwani, Haryana")</f>
        <v>Bhiwani, Haryana</v>
      </c>
      <c r="U41" s="21">
        <f>IFERROR(__xludf.DUMMYFUNCTION("""COMPUTED_VALUE"""),9.03450506E9)</f>
        <v>9034505060</v>
      </c>
      <c r="V41" s="21">
        <f>IFERROR(__xludf.DUMMYFUNCTION("""COMPUTED_VALUE"""),0.0)</f>
        <v>0</v>
      </c>
      <c r="W41" s="21"/>
      <c r="X41" s="21"/>
      <c r="Y41" s="21"/>
      <c r="Z41" s="21"/>
      <c r="AA41" s="21" t="str">
        <f>IFERROR(__xludf.DUMMYFUNCTION("""COMPUTED_VALUE"""),"Veg")</f>
        <v>Veg</v>
      </c>
      <c r="AB41" s="21"/>
      <c r="AC41" s="21"/>
      <c r="AD41" s="21" t="str">
        <f>IFERROR(__xludf.DUMMYFUNCTION("""COMPUTED_VALUE"""),"Bus Drop Service not needed")</f>
        <v>Bus Drop Service not needed</v>
      </c>
      <c r="AE41" s="21">
        <f>IFERROR(__xludf.DUMMYFUNCTION("""COMPUTED_VALUE"""),0.0)</f>
        <v>0</v>
      </c>
    </row>
    <row r="42" ht="22.5" customHeight="1">
      <c r="A42" s="18">
        <f>IFERROR(__xludf.DUMMYFUNCTION("""COMPUTED_VALUE"""),46265.73607039352)</f>
        <v>46265.73607</v>
      </c>
      <c r="B42" s="21" t="str">
        <f>IFERROR(__xludf.DUMMYFUNCTION("""COMPUTED_VALUE"""),"swatisonam3300@gmail.com")</f>
        <v>swatisonam3300@gmail.com</v>
      </c>
      <c r="C42" s="21" t="str">
        <f>IFERROR(__xludf.DUMMYFUNCTION("""COMPUTED_VALUE"""),"Swati Sonam ")</f>
        <v>Swati Sonam </v>
      </c>
      <c r="D42" s="21">
        <f>IFERROR(__xludf.DUMMYFUNCTION("""COMPUTED_VALUE"""),2.0240411E7)</f>
        <v>20240411</v>
      </c>
      <c r="E42" s="21" t="str">
        <f>IFERROR(__xludf.DUMMYFUNCTION("""COMPUTED_VALUE"""),"M.Sc. Nursing 2024")</f>
        <v>M.Sc. Nursing 2024</v>
      </c>
      <c r="F42" s="21">
        <f>IFERROR(__xludf.DUMMYFUNCTION("""COMPUTED_VALUE"""),8.67700079E9)</f>
        <v>8677000790</v>
      </c>
      <c r="G42" s="21" t="str">
        <f>IFERROR(__xludf.DUMMYFUNCTION("""COMPUTED_VALUE"""),"swatisonam3300@gmail.com")</f>
        <v>swatisonam3300@gmail.com</v>
      </c>
      <c r="H42" s="21" t="str">
        <f>IFERROR(__xludf.DUMMYFUNCTION("""COMPUTED_VALUE"""),"Yes")</f>
        <v>Yes</v>
      </c>
      <c r="I42" s="21" t="str">
        <f>IFERROR(__xludf.DUMMYFUNCTION("""COMPUTED_VALUE"""),"Travelling and cooking")</f>
        <v>Travelling and cooking</v>
      </c>
      <c r="J42" s="21" t="str">
        <f>IFERROR(__xludf.DUMMYFUNCTION("""COMPUTED_VALUE"""),"NA")</f>
        <v>NA</v>
      </c>
      <c r="K42" s="21" t="str">
        <f>IFERROR(__xludf.DUMMYFUNCTION("""COMPUTED_VALUE"""),"Patna")</f>
        <v>Patna</v>
      </c>
      <c r="L42" s="22" t="str">
        <f>IFERROR(__xludf.DUMMYFUNCTION("""COMPUTED_VALUE"""),"https://drive.google.com/open?id=1X5yvInn0LKKltmkmiQUxZtNUQus4M7YM")</f>
        <v>https://drive.google.com/open?id=1X5yvInn0LKKltmkmiQUxZtNUQus4M7YM</v>
      </c>
      <c r="M42" s="22" t="str">
        <f>IFERROR(__xludf.DUMMYFUNCTION("""COMPUTED_VALUE"""),"https://drive.google.com/open?id=16h2scTZqNLLt3RgCz7rwNOyIhgmbsPB4")</f>
        <v>https://drive.google.com/open?id=16h2scTZqNLLt3RgCz7rwNOyIhgmbsPB4</v>
      </c>
      <c r="N42" s="21" t="str">
        <f>IFERROR(__xludf.DUMMYFUNCTION("""COMPUTED_VALUE"""),"Pramod Kumar ")</f>
        <v>Pramod Kumar </v>
      </c>
      <c r="O42" s="21" t="str">
        <f>IFERROR(__xludf.DUMMYFUNCTION("""COMPUTED_VALUE"""),"LAB TECHNICIAN pvt.")</f>
        <v>LAB TECHNICIAN pvt.</v>
      </c>
      <c r="P42" s="21" t="str">
        <f>IFERROR(__xludf.DUMMYFUNCTION("""COMPUTED_VALUE"""),"Patna")</f>
        <v>Patna</v>
      </c>
      <c r="Q42" s="21">
        <f>IFERROR(__xludf.DUMMYFUNCTION("""COMPUTED_VALUE"""),8.25242179E9)</f>
        <v>8252421790</v>
      </c>
      <c r="R42" s="21" t="str">
        <f>IFERROR(__xludf.DUMMYFUNCTION("""COMPUTED_VALUE"""),"Kumari Raushan")</f>
        <v>Kumari Raushan</v>
      </c>
      <c r="S42" s="21" t="str">
        <f>IFERROR(__xludf.DUMMYFUNCTION("""COMPUTED_VALUE"""),"ANM")</f>
        <v>ANM</v>
      </c>
      <c r="T42" s="21" t="str">
        <f>IFERROR(__xludf.DUMMYFUNCTION("""COMPUTED_VALUE"""),"Patna")</f>
        <v>Patna</v>
      </c>
      <c r="U42" s="21">
        <f>IFERROR(__xludf.DUMMYFUNCTION("""COMPUTED_VALUE"""),7.061375922E9)</f>
        <v>7061375922</v>
      </c>
      <c r="V42" s="21">
        <f>IFERROR(__xludf.DUMMYFUNCTION("""COMPUTED_VALUE"""),2.0)</f>
        <v>2</v>
      </c>
      <c r="W42" s="21" t="str">
        <f>IFERROR(__xludf.DUMMYFUNCTION("""COMPUTED_VALUE"""),"Pramod Kumar")</f>
        <v>Pramod Kumar</v>
      </c>
      <c r="X42" s="21" t="str">
        <f>IFERROR(__xludf.DUMMYFUNCTION("""COMPUTED_VALUE"""),"Father")</f>
        <v>Father</v>
      </c>
      <c r="Y42" s="21" t="str">
        <f>IFERROR(__xludf.DUMMYFUNCTION("""COMPUTED_VALUE"""),"Kumari Raushan")</f>
        <v>Kumari Raushan</v>
      </c>
      <c r="Z42" s="21" t="str">
        <f>IFERROR(__xludf.DUMMYFUNCTION("""COMPUTED_VALUE"""),"Mother")</f>
        <v>Mother</v>
      </c>
      <c r="AA42" s="21" t="str">
        <f>IFERROR(__xludf.DUMMYFUNCTION("""COMPUTED_VALUE"""),"Non-Veg")</f>
        <v>Non-Veg</v>
      </c>
      <c r="AB42" s="21" t="str">
        <f>IFERROR(__xludf.DUMMYFUNCTION("""COMPUTED_VALUE"""),"Non-Veg")</f>
        <v>Non-Veg</v>
      </c>
      <c r="AC42" s="21" t="str">
        <f>IFERROR(__xludf.DUMMYFUNCTION("""COMPUTED_VALUE"""),"Non-Veg")</f>
        <v>Non-Veg</v>
      </c>
      <c r="AD42" s="21" t="str">
        <f>IFERROR(__xludf.DUMMYFUNCTION("""COMPUTED_VALUE"""),"Bus Drop Service not needed")</f>
        <v>Bus Drop Service not needed</v>
      </c>
      <c r="AE42" s="21">
        <f>IFERROR(__xludf.DUMMYFUNCTION("""COMPUTED_VALUE"""),0.0)</f>
        <v>0</v>
      </c>
    </row>
    <row r="43" ht="22.5" customHeight="1">
      <c r="A43" s="18">
        <f>IFERROR(__xludf.DUMMYFUNCTION("""COMPUTED_VALUE"""),46265.73488120371)</f>
        <v>46265.73488</v>
      </c>
      <c r="B43" s="21" t="str">
        <f>IFERROR(__xludf.DUMMYFUNCTION("""COMPUTED_VALUE"""),"moumita.mscnursing-2024@aiimskalyani.edu.in")</f>
        <v>moumita.mscnursing-2024@aiimskalyani.edu.in</v>
      </c>
      <c r="C43" s="21" t="str">
        <f>IFERROR(__xludf.DUMMYFUNCTION("""COMPUTED_VALUE"""),"MOUMITA MAJI ")</f>
        <v>MOUMITA MAJI </v>
      </c>
      <c r="D43" s="21">
        <f>IFERROR(__xludf.DUMMYFUNCTION("""COMPUTED_VALUE"""),2.0240408E7)</f>
        <v>20240408</v>
      </c>
      <c r="E43" s="21" t="str">
        <f>IFERROR(__xludf.DUMMYFUNCTION("""COMPUTED_VALUE"""),"M.Sc. Nursing 2024")</f>
        <v>M.Sc. Nursing 2024</v>
      </c>
      <c r="F43" s="21">
        <f>IFERROR(__xludf.DUMMYFUNCTION("""COMPUTED_VALUE"""),9.134582166E9)</f>
        <v>9134582166</v>
      </c>
      <c r="G43" s="21" t="str">
        <f>IFERROR(__xludf.DUMMYFUNCTION("""COMPUTED_VALUE"""),"majimoumita4m@gmail.com")</f>
        <v>majimoumita4m@gmail.com</v>
      </c>
      <c r="H43" s="21" t="str">
        <f>IFERROR(__xludf.DUMMYFUNCTION("""COMPUTED_VALUE"""),"Yes")</f>
        <v>Yes</v>
      </c>
      <c r="I43" s="21"/>
      <c r="J43" s="21"/>
      <c r="K43" s="21" t="str">
        <f>IFERROR(__xludf.DUMMYFUNCTION("""COMPUTED_VALUE"""),"Asansol ")</f>
        <v>Asansol </v>
      </c>
      <c r="L43" s="22" t="str">
        <f>IFERROR(__xludf.DUMMYFUNCTION("""COMPUTED_VALUE"""),"https://drive.google.com/open?id=1gqmOrHyFZXcDOqIR7maxpa8fwYcVR7Uh")</f>
        <v>https://drive.google.com/open?id=1gqmOrHyFZXcDOqIR7maxpa8fwYcVR7Uh</v>
      </c>
      <c r="M43" s="22" t="str">
        <f>IFERROR(__xludf.DUMMYFUNCTION("""COMPUTED_VALUE"""),"https://drive.google.com/open?id=1Yqm9uF_uYQXIlcX04aA_qY57iVI5TGhG")</f>
        <v>https://drive.google.com/open?id=1Yqm9uF_uYQXIlcX04aA_qY57iVI5TGhG</v>
      </c>
      <c r="N43" s="21" t="str">
        <f>IFERROR(__xludf.DUMMYFUNCTION("""COMPUTED_VALUE"""),"Mr. Milan Maji")</f>
        <v>Mr. Milan Maji</v>
      </c>
      <c r="O43" s="21" t="str">
        <f>IFERROR(__xludf.DUMMYFUNCTION("""COMPUTED_VALUE"""),"Buisness Man")</f>
        <v>Buisness Man</v>
      </c>
      <c r="P43" s="21" t="str">
        <f>IFERROR(__xludf.DUMMYFUNCTION("""COMPUTED_VALUE"""),"Chanda more, Asansol ")</f>
        <v>Chanda more, Asansol </v>
      </c>
      <c r="Q43" s="21">
        <f>IFERROR(__xludf.DUMMYFUNCTION("""COMPUTED_VALUE"""),8.967688577E9)</f>
        <v>8967688577</v>
      </c>
      <c r="R43" s="21" t="str">
        <f>IFERROR(__xludf.DUMMYFUNCTION("""COMPUTED_VALUE"""),"Mrs. Dipali Maji")</f>
        <v>Mrs. Dipali Maji</v>
      </c>
      <c r="S43" s="21" t="str">
        <f>IFERROR(__xludf.DUMMYFUNCTION("""COMPUTED_VALUE"""),"House Wife ")</f>
        <v>House Wife </v>
      </c>
      <c r="T43" s="21" t="str">
        <f>IFERROR(__xludf.DUMMYFUNCTION("""COMPUTED_VALUE"""),"Chanda more, Asansol ")</f>
        <v>Chanda more, Asansol </v>
      </c>
      <c r="U43" s="21">
        <f>IFERROR(__xludf.DUMMYFUNCTION("""COMPUTED_VALUE"""),8.01669234E9)</f>
        <v>8016692340</v>
      </c>
      <c r="V43" s="21">
        <f>IFERROR(__xludf.DUMMYFUNCTION("""COMPUTED_VALUE"""),2.0)</f>
        <v>2</v>
      </c>
      <c r="W43" s="21" t="str">
        <f>IFERROR(__xludf.DUMMYFUNCTION("""COMPUTED_VALUE"""),"Milan Maji")</f>
        <v>Milan Maji</v>
      </c>
      <c r="X43" s="21" t="str">
        <f>IFERROR(__xludf.DUMMYFUNCTION("""COMPUTED_VALUE"""),"Father")</f>
        <v>Father</v>
      </c>
      <c r="Y43" s="21" t="str">
        <f>IFERROR(__xludf.DUMMYFUNCTION("""COMPUTED_VALUE"""),"Dipali Maji")</f>
        <v>Dipali Maji</v>
      </c>
      <c r="Z43" s="21" t="str">
        <f>IFERROR(__xludf.DUMMYFUNCTION("""COMPUTED_VALUE"""),"Mother")</f>
        <v>Mother</v>
      </c>
      <c r="AA43" s="21" t="str">
        <f>IFERROR(__xludf.DUMMYFUNCTION("""COMPUTED_VALUE"""),"Non-Veg")</f>
        <v>Non-Veg</v>
      </c>
      <c r="AB43" s="21" t="str">
        <f>IFERROR(__xludf.DUMMYFUNCTION("""COMPUTED_VALUE"""),"Non-Veg")</f>
        <v>Non-Veg</v>
      </c>
      <c r="AC43" s="21" t="str">
        <f>IFERROR(__xludf.DUMMYFUNCTION("""COMPUTED_VALUE"""),"Veg")</f>
        <v>Veg</v>
      </c>
      <c r="AD43" s="21" t="str">
        <f>IFERROR(__xludf.DUMMYFUNCTION("""COMPUTED_VALUE"""),"Bus Drop Service not needed")</f>
        <v>Bus Drop Service not needed</v>
      </c>
      <c r="AE43" s="21">
        <f>IFERROR(__xludf.DUMMYFUNCTION("""COMPUTED_VALUE"""),0.0)</f>
        <v>0</v>
      </c>
    </row>
    <row r="44" ht="22.5" customHeight="1">
      <c r="A44" s="18">
        <f>IFERROR(__xludf.DUMMYFUNCTION("""COMPUTED_VALUE"""),46265.73353038194)</f>
        <v>46265.73353</v>
      </c>
      <c r="B44" s="21" t="str">
        <f>IFERROR(__xludf.DUMMYFUNCTION("""COMPUTED_VALUE"""),"rohitraj.mbbs-2020@aiimskalyani.edu.in")</f>
        <v>rohitraj.mbbs-2020@aiimskalyani.edu.in</v>
      </c>
      <c r="C44" s="21" t="str">
        <f>IFERROR(__xludf.DUMMYFUNCTION("""COMPUTED_VALUE"""),"ROHIT RAJ KHANDELWAL")</f>
        <v>ROHIT RAJ KHANDELWAL</v>
      </c>
      <c r="D44" s="21" t="str">
        <f>IFERROR(__xludf.DUMMYFUNCTION("""COMPUTED_VALUE"""),"79/ 202001129")</f>
        <v>79/ 202001129</v>
      </c>
      <c r="E44" s="21" t="str">
        <f>IFERROR(__xludf.DUMMYFUNCTION("""COMPUTED_VALUE"""),"MBBS 2020")</f>
        <v>MBBS 2020</v>
      </c>
      <c r="F44" s="21">
        <f>IFERROR(__xludf.DUMMYFUNCTION("""COMPUTED_VALUE"""),9.674313474E9)</f>
        <v>9674313474</v>
      </c>
      <c r="G44" s="21" t="str">
        <f>IFERROR(__xludf.DUMMYFUNCTION("""COMPUTED_VALUE"""),"dr.rohitrajkhandelwal@gmail.com")</f>
        <v>dr.rohitrajkhandelwal@gmail.com</v>
      </c>
      <c r="H44" s="21" t="str">
        <f>IFERROR(__xludf.DUMMYFUNCTION("""COMPUTED_VALUE"""),"Yes")</f>
        <v>Yes</v>
      </c>
      <c r="I44" s="21" t="str">
        <f>IFERROR(__xludf.DUMMYFUNCTION("""COMPUTED_VALUE"""),"Running, cycling, swimming  and listening to music.")</f>
        <v>Running, cycling, swimming  and listening to music.</v>
      </c>
      <c r="J44" s="21"/>
      <c r="K44" s="21" t="str">
        <f>IFERROR(__xludf.DUMMYFUNCTION("""COMPUTED_VALUE"""),"Bhubaneswar ")</f>
        <v>Bhubaneswar </v>
      </c>
      <c r="L44" s="22" t="str">
        <f>IFERROR(__xludf.DUMMYFUNCTION("""COMPUTED_VALUE"""),"https://drive.google.com/open?id=1ovuJzV1YJeltkjQ5ns0tq9hIDvmeEvu6")</f>
        <v>https://drive.google.com/open?id=1ovuJzV1YJeltkjQ5ns0tq9hIDvmeEvu6</v>
      </c>
      <c r="M44" s="22" t="str">
        <f>IFERROR(__xludf.DUMMYFUNCTION("""COMPUTED_VALUE"""),"https://drive.google.com/open?id=1ects1CDfcrcZZ_DjgDuwb7jaJ_2TyWUp")</f>
        <v>https://drive.google.com/open?id=1ects1CDfcrcZZ_DjgDuwb7jaJ_2TyWUp</v>
      </c>
      <c r="N44" s="21" t="str">
        <f>IFERROR(__xludf.DUMMYFUNCTION("""COMPUTED_VALUE"""),"Arun kumar khandelwal ")</f>
        <v>Arun kumar khandelwal </v>
      </c>
      <c r="O44" s="21" t="str">
        <f>IFERROR(__xludf.DUMMYFUNCTION("""COMPUTED_VALUE"""),"Chief Manager (retired) - Bank of Baroda")</f>
        <v>Chief Manager (retired) - Bank of Baroda</v>
      </c>
      <c r="P44" s="21" t="str">
        <f>IFERROR(__xludf.DUMMYFUNCTION("""COMPUTED_VALUE"""),"Bhubaneswar ")</f>
        <v>Bhubaneswar </v>
      </c>
      <c r="Q44" s="21">
        <f>IFERROR(__xludf.DUMMYFUNCTION("""COMPUTED_VALUE"""),9.433621899E9)</f>
        <v>9433621899</v>
      </c>
      <c r="R44" s="21" t="str">
        <f>IFERROR(__xludf.DUMMYFUNCTION("""COMPUTED_VALUE"""),"Sarita Gupta")</f>
        <v>Sarita Gupta</v>
      </c>
      <c r="S44" s="21" t="str">
        <f>IFERROR(__xludf.DUMMYFUNCTION("""COMPUTED_VALUE"""),"Tax consultant ")</f>
        <v>Tax consultant </v>
      </c>
      <c r="T44" s="21" t="str">
        <f>IFERROR(__xludf.DUMMYFUNCTION("""COMPUTED_VALUE"""),"Bhubaneswar ")</f>
        <v>Bhubaneswar </v>
      </c>
      <c r="U44" s="21">
        <f>IFERROR(__xludf.DUMMYFUNCTION("""COMPUTED_VALUE"""),9.674313292E9)</f>
        <v>9674313292</v>
      </c>
      <c r="V44" s="21">
        <f>IFERROR(__xludf.DUMMYFUNCTION("""COMPUTED_VALUE"""),2.0)</f>
        <v>2</v>
      </c>
      <c r="W44" s="21" t="str">
        <f>IFERROR(__xludf.DUMMYFUNCTION("""COMPUTED_VALUE"""),"Arun kumar khandelwal ")</f>
        <v>Arun kumar khandelwal </v>
      </c>
      <c r="X44" s="21" t="str">
        <f>IFERROR(__xludf.DUMMYFUNCTION("""COMPUTED_VALUE"""),"Father")</f>
        <v>Father</v>
      </c>
      <c r="Y44" s="21" t="str">
        <f>IFERROR(__xludf.DUMMYFUNCTION("""COMPUTED_VALUE"""),"Sarita gupta ")</f>
        <v>Sarita gupta </v>
      </c>
      <c r="Z44" s="21" t="str">
        <f>IFERROR(__xludf.DUMMYFUNCTION("""COMPUTED_VALUE"""),"Mother")</f>
        <v>Mother</v>
      </c>
      <c r="AA44" s="21" t="str">
        <f>IFERROR(__xludf.DUMMYFUNCTION("""COMPUTED_VALUE"""),"Veg")</f>
        <v>Veg</v>
      </c>
      <c r="AB44" s="21" t="str">
        <f>IFERROR(__xludf.DUMMYFUNCTION("""COMPUTED_VALUE"""),"Veg")</f>
        <v>Veg</v>
      </c>
      <c r="AC44" s="21" t="str">
        <f>IFERROR(__xludf.DUMMYFUNCTION("""COMPUTED_VALUE"""),"Veg")</f>
        <v>Veg</v>
      </c>
      <c r="AD44" s="21" t="str">
        <f>IFERROR(__xludf.DUMMYFUNCTION("""COMPUTED_VALUE"""),"Bus Drop Service not needed")</f>
        <v>Bus Drop Service not needed</v>
      </c>
      <c r="AE44" s="21"/>
    </row>
    <row r="45" ht="22.5" customHeight="1">
      <c r="A45" s="18">
        <f>IFERROR(__xludf.DUMMYFUNCTION("""COMPUTED_VALUE"""),46265.73187701389)</f>
        <v>46265.73188</v>
      </c>
      <c r="B45" s="21" t="str">
        <f>IFERROR(__xludf.DUMMYFUNCTION("""COMPUTED_VALUE"""),"arman.mbbs-2020@aiimskalyani.edu.in")</f>
        <v>arman.mbbs-2020@aiimskalyani.edu.in</v>
      </c>
      <c r="C45" s="21" t="str">
        <f>IFERROR(__xludf.DUMMYFUNCTION("""COMPUTED_VALUE"""),"ARMAN ANSARI ")</f>
        <v>ARMAN ANSARI </v>
      </c>
      <c r="D45" s="21">
        <f>IFERROR(__xludf.DUMMYFUNCTION("""COMPUTED_VALUE"""),2.0200175E7)</f>
        <v>20200175</v>
      </c>
      <c r="E45" s="21" t="str">
        <f>IFERROR(__xludf.DUMMYFUNCTION("""COMPUTED_VALUE"""),"MBBS 2020")</f>
        <v>MBBS 2020</v>
      </c>
      <c r="F45" s="21">
        <f>IFERROR(__xludf.DUMMYFUNCTION("""COMPUTED_VALUE"""),9.110037439E9)</f>
        <v>9110037439</v>
      </c>
      <c r="G45" s="21" t="str">
        <f>IFERROR(__xludf.DUMMYFUNCTION("""COMPUTED_VALUE"""),"arman.mbbs-2020@aiimskalyani.edu.in")</f>
        <v>arman.mbbs-2020@aiimskalyani.edu.in</v>
      </c>
      <c r="H45" s="21" t="str">
        <f>IFERROR(__xludf.DUMMYFUNCTION("""COMPUTED_VALUE"""),"Yes")</f>
        <v>Yes</v>
      </c>
      <c r="I45" s="21" t="str">
        <f>IFERROR(__xludf.DUMMYFUNCTION("""COMPUTED_VALUE"""),"Poetry")</f>
        <v>Poetry</v>
      </c>
      <c r="J45" s="21" t="str">
        <f>IFERROR(__xludf.DUMMYFUNCTION("""COMPUTED_VALUE"""),"Cricket ")</f>
        <v>Cricket </v>
      </c>
      <c r="K45" s="21" t="str">
        <f>IFERROR(__xludf.DUMMYFUNCTION("""COMPUTED_VALUE"""),"Pakur")</f>
        <v>Pakur</v>
      </c>
      <c r="L45" s="22" t="str">
        <f>IFERROR(__xludf.DUMMYFUNCTION("""COMPUTED_VALUE"""),"https://drive.google.com/open?id=1pkclO8SBRQ8Fkb84z4IuG_c-Fm5zLbqA")</f>
        <v>https://drive.google.com/open?id=1pkclO8SBRQ8Fkb84z4IuG_c-Fm5zLbqA</v>
      </c>
      <c r="M45" s="22" t="str">
        <f>IFERROR(__xludf.DUMMYFUNCTION("""COMPUTED_VALUE"""),"https://drive.google.com/open?id=1MCjRAjVQhzPZIpdpPzV6gSW3D60B3guq")</f>
        <v>https://drive.google.com/open?id=1MCjRAjVQhzPZIpdpPzV6gSW3D60B3guq</v>
      </c>
      <c r="N45" s="21" t="str">
        <f>IFERROR(__xludf.DUMMYFUNCTION("""COMPUTED_VALUE"""),"LIYAKAT ALI ")</f>
        <v>LIYAKAT ALI </v>
      </c>
      <c r="O45" s="21" t="str">
        <f>IFERROR(__xludf.DUMMYFUNCTION("""COMPUTED_VALUE"""),"Business ")</f>
        <v>Business </v>
      </c>
      <c r="P45" s="21" t="str">
        <f>IFERROR(__xludf.DUMMYFUNCTION("""COMPUTED_VALUE"""),"Pakur")</f>
        <v>Pakur</v>
      </c>
      <c r="Q45" s="21">
        <f>IFERROR(__xludf.DUMMYFUNCTION("""COMPUTED_VALUE"""),9.110037439E9)</f>
        <v>9110037439</v>
      </c>
      <c r="R45" s="21" t="str">
        <f>IFERROR(__xludf.DUMMYFUNCTION("""COMPUTED_VALUE"""),"RUBI BEGAM ")</f>
        <v>RUBI BEGAM </v>
      </c>
      <c r="S45" s="21" t="str">
        <f>IFERROR(__xludf.DUMMYFUNCTION("""COMPUTED_VALUE"""),"Homemaker ")</f>
        <v>Homemaker </v>
      </c>
      <c r="T45" s="21" t="str">
        <f>IFERROR(__xludf.DUMMYFUNCTION("""COMPUTED_VALUE"""),"Pakur ")</f>
        <v>Pakur </v>
      </c>
      <c r="U45" s="21">
        <f>IFERROR(__xludf.DUMMYFUNCTION("""COMPUTED_VALUE"""),9.110037439E9)</f>
        <v>9110037439</v>
      </c>
      <c r="V45" s="21">
        <f>IFERROR(__xludf.DUMMYFUNCTION("""COMPUTED_VALUE"""),2.0)</f>
        <v>2</v>
      </c>
      <c r="W45" s="21" t="str">
        <f>IFERROR(__xludf.DUMMYFUNCTION("""COMPUTED_VALUE"""),"RUBI BEGAM ")</f>
        <v>RUBI BEGAM </v>
      </c>
      <c r="X45" s="21" t="str">
        <f>IFERROR(__xludf.DUMMYFUNCTION("""COMPUTED_VALUE"""),"Mother ")</f>
        <v>Mother </v>
      </c>
      <c r="Y45" s="21" t="str">
        <f>IFERROR(__xludf.DUMMYFUNCTION("""COMPUTED_VALUE"""),"LIYAKAT Ali ")</f>
        <v>LIYAKAT Ali </v>
      </c>
      <c r="Z45" s="21" t="str">
        <f>IFERROR(__xludf.DUMMYFUNCTION("""COMPUTED_VALUE"""),"Father")</f>
        <v>Father</v>
      </c>
      <c r="AA45" s="21" t="str">
        <f>IFERROR(__xludf.DUMMYFUNCTION("""COMPUTED_VALUE"""),"Non-Veg")</f>
        <v>Non-Veg</v>
      </c>
      <c r="AB45" s="21" t="str">
        <f>IFERROR(__xludf.DUMMYFUNCTION("""COMPUTED_VALUE"""),"Non-Veg")</f>
        <v>Non-Veg</v>
      </c>
      <c r="AC45" s="21" t="str">
        <f>IFERROR(__xludf.DUMMYFUNCTION("""COMPUTED_VALUE"""),"Non-Veg")</f>
        <v>Non-Veg</v>
      </c>
      <c r="AD45" s="21" t="str">
        <f>IFERROR(__xludf.DUMMYFUNCTION("""COMPUTED_VALUE"""),"Drop at Kalyani Railway Station")</f>
        <v>Drop at Kalyani Railway Station</v>
      </c>
      <c r="AE45" s="21">
        <f>IFERROR(__xludf.DUMMYFUNCTION("""COMPUTED_VALUE"""),3.0)</f>
        <v>3</v>
      </c>
    </row>
    <row r="46" ht="22.5" customHeight="1">
      <c r="A46" s="18">
        <f>IFERROR(__xludf.DUMMYFUNCTION("""COMPUTED_VALUE"""),46265.72574436343)</f>
        <v>46265.72574</v>
      </c>
      <c r="B46" s="21" t="str">
        <f>IFERROR(__xludf.DUMMYFUNCTION("""COMPUTED_VALUE"""),"anurags.mbbs-2020@aiimskalyani.edu.in")</f>
        <v>anurags.mbbs-2020@aiimskalyani.edu.in</v>
      </c>
      <c r="C46" s="21" t="str">
        <f>IFERROR(__xludf.DUMMYFUNCTION("""COMPUTED_VALUE"""),"ANURAG SAMANTA")</f>
        <v>ANURAG SAMANTA</v>
      </c>
      <c r="D46" s="21" t="str">
        <f>IFERROR(__xludf.DUMMYFUNCTION("""COMPUTED_VALUE"""),"21/20200171")</f>
        <v>21/20200171</v>
      </c>
      <c r="E46" s="21" t="str">
        <f>IFERROR(__xludf.DUMMYFUNCTION("""COMPUTED_VALUE"""),"MBBS 2020")</f>
        <v>MBBS 2020</v>
      </c>
      <c r="F46" s="21">
        <f>IFERROR(__xludf.DUMMYFUNCTION("""COMPUTED_VALUE"""),7.602481593E9)</f>
        <v>7602481593</v>
      </c>
      <c r="G46" s="21" t="str">
        <f>IFERROR(__xludf.DUMMYFUNCTION("""COMPUTED_VALUE"""),"anurags.mbbs-2020@aiimskalyani.edu.in")</f>
        <v>anurags.mbbs-2020@aiimskalyani.edu.in</v>
      </c>
      <c r="H46" s="21" t="str">
        <f>IFERROR(__xludf.DUMMYFUNCTION("""COMPUTED_VALUE"""),"Yes")</f>
        <v>Yes</v>
      </c>
      <c r="I46" s="21" t="str">
        <f>IFERROR(__xludf.DUMMYFUNCTION("""COMPUTED_VALUE"""),"Travelling and fitness ")</f>
        <v>Travelling and fitness </v>
      </c>
      <c r="J46" s="21" t="str">
        <f>IFERROR(__xludf.DUMMYFUNCTION("""COMPUTED_VALUE"""),"Volleyball ")</f>
        <v>Volleyball </v>
      </c>
      <c r="K46" s="21" t="str">
        <f>IFERROR(__xludf.DUMMYFUNCTION("""COMPUTED_VALUE"""),"Mecheda ,Purba Medinipur ")</f>
        <v>Mecheda ,Purba Medinipur </v>
      </c>
      <c r="L46" s="22" t="str">
        <f>IFERROR(__xludf.DUMMYFUNCTION("""COMPUTED_VALUE"""),"https://drive.google.com/open?id=1PIlB8a8fUozyBqhUyq_KQHq_JBJw6yY6")</f>
        <v>https://drive.google.com/open?id=1PIlB8a8fUozyBqhUyq_KQHq_JBJw6yY6</v>
      </c>
      <c r="M46" s="22" t="str">
        <f>IFERROR(__xludf.DUMMYFUNCTION("""COMPUTED_VALUE"""),"https://drive.google.com/open?id=1jSid3nJ-FX0dAF3RNvRUcB9xyo_NyaIZ")</f>
        <v>https://drive.google.com/open?id=1jSid3nJ-FX0dAF3RNvRUcB9xyo_NyaIZ</v>
      </c>
      <c r="N46" s="21" t="str">
        <f>IFERROR(__xludf.DUMMYFUNCTION("""COMPUTED_VALUE"""),"SAMARESH SAMANTA")</f>
        <v>SAMARESH SAMANTA</v>
      </c>
      <c r="O46" s="21" t="str">
        <f>IFERROR(__xludf.DUMMYFUNCTION("""COMPUTED_VALUE"""),"Retired Office Superintendent in Indian Railways ")</f>
        <v>Retired Office Superintendent in Indian Railways </v>
      </c>
      <c r="P46" s="21" t="str">
        <f>IFERROR(__xludf.DUMMYFUNCTION("""COMPUTED_VALUE"""),"Mecheda,Purba Medinipur ")</f>
        <v>Mecheda,Purba Medinipur </v>
      </c>
      <c r="Q46" s="21">
        <f>IFERROR(__xludf.DUMMYFUNCTION("""COMPUTED_VALUE"""),9.475256007E9)</f>
        <v>9475256007</v>
      </c>
      <c r="R46" s="21" t="str">
        <f>IFERROR(__xludf.DUMMYFUNCTION("""COMPUTED_VALUE"""),"SNIGDHA SAMANTA")</f>
        <v>SNIGDHA SAMANTA</v>
      </c>
      <c r="S46" s="21" t="str">
        <f>IFERROR(__xludf.DUMMYFUNCTION("""COMPUTED_VALUE"""),"Staff Nurse in Government of West Bengal")</f>
        <v>Staff Nurse in Government of West Bengal</v>
      </c>
      <c r="T46" s="21" t="str">
        <f>IFERROR(__xludf.DUMMYFUNCTION("""COMPUTED_VALUE"""),"Debra,Paschim Medinipur ")</f>
        <v>Debra,Paschim Medinipur </v>
      </c>
      <c r="U46" s="21">
        <f>IFERROR(__xludf.DUMMYFUNCTION("""COMPUTED_VALUE"""),9.476480249E9)</f>
        <v>9476480249</v>
      </c>
      <c r="V46" s="21">
        <f>IFERROR(__xludf.DUMMYFUNCTION("""COMPUTED_VALUE"""),2.0)</f>
        <v>2</v>
      </c>
      <c r="W46" s="21" t="str">
        <f>IFERROR(__xludf.DUMMYFUNCTION("""COMPUTED_VALUE"""),"SAMARESH SAMANTA")</f>
        <v>SAMARESH SAMANTA</v>
      </c>
      <c r="X46" s="21" t="str">
        <f>IFERROR(__xludf.DUMMYFUNCTION("""COMPUTED_VALUE"""),"Father")</f>
        <v>Father</v>
      </c>
      <c r="Y46" s="21" t="str">
        <f>IFERROR(__xludf.DUMMYFUNCTION("""COMPUTED_VALUE"""),"SNIGDHA SAMANTA")</f>
        <v>SNIGDHA SAMANTA</v>
      </c>
      <c r="Z46" s="21" t="str">
        <f>IFERROR(__xludf.DUMMYFUNCTION("""COMPUTED_VALUE"""),"Mother")</f>
        <v>Mother</v>
      </c>
      <c r="AA46" s="21" t="str">
        <f>IFERROR(__xludf.DUMMYFUNCTION("""COMPUTED_VALUE"""),"Non-Veg")</f>
        <v>Non-Veg</v>
      </c>
      <c r="AB46" s="21" t="str">
        <f>IFERROR(__xludf.DUMMYFUNCTION("""COMPUTED_VALUE"""),"Non-Veg")</f>
        <v>Non-Veg</v>
      </c>
      <c r="AC46" s="21" t="str">
        <f>IFERROR(__xludf.DUMMYFUNCTION("""COMPUTED_VALUE"""),"Non-Veg")</f>
        <v>Non-Veg</v>
      </c>
      <c r="AD46" s="21" t="str">
        <f>IFERROR(__xludf.DUMMYFUNCTION("""COMPUTED_VALUE"""),"Bus Drop Service not needed")</f>
        <v>Bus Drop Service not needed</v>
      </c>
      <c r="AE46" s="21"/>
    </row>
    <row r="47" ht="22.5" customHeight="1">
      <c r="A47" s="18">
        <f>IFERROR(__xludf.DUMMYFUNCTION("""COMPUTED_VALUE"""),46265.72530863426)</f>
        <v>46265.72531</v>
      </c>
      <c r="B47" s="21" t="str">
        <f>IFERROR(__xludf.DUMMYFUNCTION("""COMPUTED_VALUE"""),"jayashree.psych_pgt23@aiimskalyani.edu.in")</f>
        <v>jayashree.psych_pgt23@aiimskalyani.edu.in</v>
      </c>
      <c r="C47" s="21" t="str">
        <f>IFERROR(__xludf.DUMMYFUNCTION("""COMPUTED_VALUE"""),"JAYASHREE KALITA")</f>
        <v>JAYASHREE KALITA</v>
      </c>
      <c r="D47" s="21">
        <f>IFERROR(__xludf.DUMMYFUNCTION("""COMPUTED_VALUE"""),2023035.0)</f>
        <v>2023035</v>
      </c>
      <c r="E47" s="21" t="str">
        <f>IFERROR(__xludf.DUMMYFUNCTION("""COMPUTED_VALUE"""),"MD/MS/MDS 2023")</f>
        <v>MD/MS/MDS 2023</v>
      </c>
      <c r="F47" s="21">
        <f>IFERROR(__xludf.DUMMYFUNCTION("""COMPUTED_VALUE"""),8.723959725E9)</f>
        <v>8723959725</v>
      </c>
      <c r="G47" s="21" t="str">
        <f>IFERROR(__xludf.DUMMYFUNCTION("""COMPUTED_VALUE"""),"jayashreeas5697@gmail.com")</f>
        <v>jayashreeas5697@gmail.com</v>
      </c>
      <c r="H47" s="21" t="str">
        <f>IFERROR(__xludf.DUMMYFUNCTION("""COMPUTED_VALUE"""),"Yes")</f>
        <v>Yes</v>
      </c>
      <c r="I47" s="21" t="str">
        <f>IFERROR(__xludf.DUMMYFUNCTION("""COMPUTED_VALUE"""),"Singing, travelling ")</f>
        <v>Singing, travelling </v>
      </c>
      <c r="J47" s="21"/>
      <c r="K47" s="21" t="str">
        <f>IFERROR(__xludf.DUMMYFUNCTION("""COMPUTED_VALUE"""),"guwahati")</f>
        <v>guwahati</v>
      </c>
      <c r="L47" s="22" t="str">
        <f>IFERROR(__xludf.DUMMYFUNCTION("""COMPUTED_VALUE"""),"https://drive.google.com/open?id=1NPmdqGptti8bxHVklA2TrXv8hZmjuwem")</f>
        <v>https://drive.google.com/open?id=1NPmdqGptti8bxHVklA2TrXv8hZmjuwem</v>
      </c>
      <c r="M47" s="22" t="str">
        <f>IFERROR(__xludf.DUMMYFUNCTION("""COMPUTED_VALUE"""),"https://drive.google.com/open?id=1o9mG8dwKI62kuFvg2MOMlrGDdbpdXVJF")</f>
        <v>https://drive.google.com/open?id=1o9mG8dwKI62kuFvg2MOMlrGDdbpdXVJF</v>
      </c>
      <c r="N47" s="21" t="str">
        <f>IFERROR(__xludf.DUMMYFUNCTION("""COMPUTED_VALUE"""),"Ananda Kalita")</f>
        <v>Ananda Kalita</v>
      </c>
      <c r="O47" s="21" t="str">
        <f>IFERROR(__xludf.DUMMYFUNCTION("""COMPUTED_VALUE"""),"administrative officer")</f>
        <v>administrative officer</v>
      </c>
      <c r="P47" s="21" t="str">
        <f>IFERROR(__xludf.DUMMYFUNCTION("""COMPUTED_VALUE"""),"assam")</f>
        <v>assam</v>
      </c>
      <c r="Q47" s="21">
        <f>IFERROR(__xludf.DUMMYFUNCTION("""COMPUTED_VALUE"""),9.706221193E9)</f>
        <v>9706221193</v>
      </c>
      <c r="R47" s="21" t="str">
        <f>IFERROR(__xludf.DUMMYFUNCTION("""COMPUTED_VALUE"""),"Tulumoni Kalita")</f>
        <v>Tulumoni Kalita</v>
      </c>
      <c r="S47" s="21" t="str">
        <f>IFERROR(__xludf.DUMMYFUNCTION("""COMPUTED_VALUE"""),"teacher")</f>
        <v>teacher</v>
      </c>
      <c r="T47" s="21" t="str">
        <f>IFERROR(__xludf.DUMMYFUNCTION("""COMPUTED_VALUE"""),"assam")</f>
        <v>assam</v>
      </c>
      <c r="U47" s="21">
        <f>IFERROR(__xludf.DUMMYFUNCTION("""COMPUTED_VALUE"""),8.822107243E9)</f>
        <v>8822107243</v>
      </c>
      <c r="V47" s="21">
        <f>IFERROR(__xludf.DUMMYFUNCTION("""COMPUTED_VALUE"""),0.0)</f>
        <v>0</v>
      </c>
      <c r="W47" s="21"/>
      <c r="X47" s="21"/>
      <c r="Y47" s="21"/>
      <c r="Z47" s="21"/>
      <c r="AA47" s="21" t="str">
        <f>IFERROR(__xludf.DUMMYFUNCTION("""COMPUTED_VALUE"""),"Non-Veg")</f>
        <v>Non-Veg</v>
      </c>
      <c r="AB47" s="21"/>
      <c r="AC47" s="21"/>
      <c r="AD47" s="21" t="str">
        <f>IFERROR(__xludf.DUMMYFUNCTION("""COMPUTED_VALUE"""),"Drop at Kolkata Airport")</f>
        <v>Drop at Kolkata Airport</v>
      </c>
      <c r="AE47" s="21">
        <f>IFERROR(__xludf.DUMMYFUNCTION("""COMPUTED_VALUE"""),1.0)</f>
        <v>1</v>
      </c>
    </row>
    <row r="48" ht="22.5" customHeight="1">
      <c r="A48" s="18">
        <f>IFERROR(__xludf.DUMMYFUNCTION("""COMPUTED_VALUE"""),46265.724526122685)</f>
        <v>46265.72453</v>
      </c>
      <c r="B48" s="21" t="str">
        <f>IFERROR(__xludf.DUMMYFUNCTION("""COMPUTED_VALUE"""),"aprajita.mbbs-2020@aiimskalyani.edu.in")</f>
        <v>aprajita.mbbs-2020@aiimskalyani.edu.in</v>
      </c>
      <c r="C48" s="21" t="str">
        <f>IFERROR(__xludf.DUMMYFUNCTION("""COMPUTED_VALUE"""),"APRAJITA")</f>
        <v>APRAJITA</v>
      </c>
      <c r="D48" s="21">
        <f>IFERROR(__xludf.DUMMYFUNCTION("""COMPUTED_VALUE"""),2.0200173E7)</f>
        <v>20200173</v>
      </c>
      <c r="E48" s="21" t="str">
        <f>IFERROR(__xludf.DUMMYFUNCTION("""COMPUTED_VALUE"""),"MBBS 2020")</f>
        <v>MBBS 2020</v>
      </c>
      <c r="F48" s="21">
        <f>IFERROR(__xludf.DUMMYFUNCTION("""COMPUTED_VALUE"""),9.142852466E9)</f>
        <v>9142852466</v>
      </c>
      <c r="G48" s="21" t="str">
        <f>IFERROR(__xludf.DUMMYFUNCTION("""COMPUTED_VALUE"""),"aprajita.mbbs-2020@aiimskalyani.edu.in")</f>
        <v>aprajita.mbbs-2020@aiimskalyani.edu.in</v>
      </c>
      <c r="H48" s="21" t="str">
        <f>IFERROR(__xludf.DUMMYFUNCTION("""COMPUTED_VALUE"""),"Yes")</f>
        <v>Yes</v>
      </c>
      <c r="I48" s="21" t="str">
        <f>IFERROR(__xludf.DUMMYFUNCTION("""COMPUTED_VALUE"""),"Sports(badminton,throwball,carrom) , ")</f>
        <v>Sports(badminton,throwball,carrom) , </v>
      </c>
      <c r="J48" s="21" t="str">
        <f>IFERROR(__xludf.DUMMYFUNCTION("""COMPUTED_VALUE"""),"Best female sports award ,  sports club head ")</f>
        <v>Best female sports award ,  sports club head </v>
      </c>
      <c r="K48" s="21" t="str">
        <f>IFERROR(__xludf.DUMMYFUNCTION("""COMPUTED_VALUE"""),"Bihar")</f>
        <v>Bihar</v>
      </c>
      <c r="L48" s="22" t="str">
        <f>IFERROR(__xludf.DUMMYFUNCTION("""COMPUTED_VALUE"""),"https://drive.google.com/open?id=1HQrbUDwE2Dr-HEe-H8jo9KfYUnZ7KBe5")</f>
        <v>https://drive.google.com/open?id=1HQrbUDwE2Dr-HEe-H8jo9KfYUnZ7KBe5</v>
      </c>
      <c r="M48" s="22" t="str">
        <f>IFERROR(__xludf.DUMMYFUNCTION("""COMPUTED_VALUE"""),"https://drive.google.com/open?id=1bfBdhx5yPF7amqqYEypjXEoZcqC-Ho1d")</f>
        <v>https://drive.google.com/open?id=1bfBdhx5yPF7amqqYEypjXEoZcqC-Ho1d</v>
      </c>
      <c r="N48" s="21" t="str">
        <f>IFERROR(__xludf.DUMMYFUNCTION("""COMPUTED_VALUE"""),"Kumar Manoj")</f>
        <v>Kumar Manoj</v>
      </c>
      <c r="O48" s="21" t="str">
        <f>IFERROR(__xludf.DUMMYFUNCTION("""COMPUTED_VALUE"""),"Business")</f>
        <v>Business</v>
      </c>
      <c r="P48" s="21" t="str">
        <f>IFERROR(__xludf.DUMMYFUNCTION("""COMPUTED_VALUE"""),"Sikandra, jamui, bihar")</f>
        <v>Sikandra, jamui, bihar</v>
      </c>
      <c r="Q48" s="21">
        <f>IFERROR(__xludf.DUMMYFUNCTION("""COMPUTED_VALUE"""),9.229970275E9)</f>
        <v>9229970275</v>
      </c>
      <c r="R48" s="21" t="str">
        <f>IFERROR(__xludf.DUMMYFUNCTION("""COMPUTED_VALUE"""),"Manju devi")</f>
        <v>Manju devi</v>
      </c>
      <c r="S48" s="21" t="str">
        <f>IFERROR(__xludf.DUMMYFUNCTION("""COMPUTED_VALUE"""),"Homemaker")</f>
        <v>Homemaker</v>
      </c>
      <c r="T48" s="21" t="str">
        <f>IFERROR(__xludf.DUMMYFUNCTION("""COMPUTED_VALUE"""),"Sikandra, jamui, Bihar")</f>
        <v>Sikandra, jamui, Bihar</v>
      </c>
      <c r="U48" s="21">
        <f>IFERROR(__xludf.DUMMYFUNCTION("""COMPUTED_VALUE"""),6.201534568E9)</f>
        <v>6201534568</v>
      </c>
      <c r="V48" s="21">
        <f>IFERROR(__xludf.DUMMYFUNCTION("""COMPUTED_VALUE"""),2.0)</f>
        <v>2</v>
      </c>
      <c r="W48" s="21" t="str">
        <f>IFERROR(__xludf.DUMMYFUNCTION("""COMPUTED_VALUE"""),"Kumar manoj")</f>
        <v>Kumar manoj</v>
      </c>
      <c r="X48" s="21" t="str">
        <f>IFERROR(__xludf.DUMMYFUNCTION("""COMPUTED_VALUE"""),"Father")</f>
        <v>Father</v>
      </c>
      <c r="Y48" s="21" t="str">
        <f>IFERROR(__xludf.DUMMYFUNCTION("""COMPUTED_VALUE"""),"Manju devi")</f>
        <v>Manju devi</v>
      </c>
      <c r="Z48" s="21" t="str">
        <f>IFERROR(__xludf.DUMMYFUNCTION("""COMPUTED_VALUE"""),"Mother")</f>
        <v>Mother</v>
      </c>
      <c r="AA48" s="21" t="str">
        <f>IFERROR(__xludf.DUMMYFUNCTION("""COMPUTED_VALUE"""),"Non-Veg")</f>
        <v>Non-Veg</v>
      </c>
      <c r="AB48" s="21" t="str">
        <f>IFERROR(__xludf.DUMMYFUNCTION("""COMPUTED_VALUE"""),"Non-Veg")</f>
        <v>Non-Veg</v>
      </c>
      <c r="AC48" s="21" t="str">
        <f>IFERROR(__xludf.DUMMYFUNCTION("""COMPUTED_VALUE"""),"Non-Veg")</f>
        <v>Non-Veg</v>
      </c>
      <c r="AD48" s="21" t="str">
        <f>IFERROR(__xludf.DUMMYFUNCTION("""COMPUTED_VALUE"""),"Bus Drop Service not needed")</f>
        <v>Bus Drop Service not needed</v>
      </c>
      <c r="AE48" s="21">
        <f>IFERROR(__xludf.DUMMYFUNCTION("""COMPUTED_VALUE"""),0.0)</f>
        <v>0</v>
      </c>
    </row>
    <row r="49" ht="22.5" customHeight="1">
      <c r="A49" s="18">
        <f>IFERROR(__xludf.DUMMYFUNCTION("""COMPUTED_VALUE"""),46265.71912721064)</f>
        <v>46265.71913</v>
      </c>
      <c r="B49" s="21" t="str">
        <f>IFERROR(__xludf.DUMMYFUNCTION("""COMPUTED_VALUE"""),"rohit.mbbs-2020@aiimskalyani.edu.in")</f>
        <v>rohit.mbbs-2020@aiimskalyani.edu.in</v>
      </c>
      <c r="C49" s="21" t="str">
        <f>IFERROR(__xludf.DUMMYFUNCTION("""COMPUTED_VALUE"""),"ROHIT KR SAHANI")</f>
        <v>ROHIT KR SAHANI</v>
      </c>
      <c r="D49" s="21">
        <f>IFERROR(__xludf.DUMMYFUNCTION("""COMPUTED_VALUE"""),2.02001128E8)</f>
        <v>202001128</v>
      </c>
      <c r="E49" s="21" t="str">
        <f>IFERROR(__xludf.DUMMYFUNCTION("""COMPUTED_VALUE"""),"MBBS 2020")</f>
        <v>MBBS 2020</v>
      </c>
      <c r="F49" s="21">
        <f>IFERROR(__xludf.DUMMYFUNCTION("""COMPUTED_VALUE"""),7.890847759E9)</f>
        <v>7890847759</v>
      </c>
      <c r="G49" s="21" t="str">
        <f>IFERROR(__xludf.DUMMYFUNCTION("""COMPUTED_VALUE"""),"rohitkrsahani2@gmail.com")</f>
        <v>rohitkrsahani2@gmail.com</v>
      </c>
      <c r="H49" s="21" t="str">
        <f>IFERROR(__xludf.DUMMYFUNCTION("""COMPUTED_VALUE"""),"Yes")</f>
        <v>Yes</v>
      </c>
      <c r="I49" s="21"/>
      <c r="J49" s="21"/>
      <c r="K49" s="21" t="str">
        <f>IFERROR(__xludf.DUMMYFUNCTION("""COMPUTED_VALUE"""),"Barrackpore ")</f>
        <v>Barrackpore </v>
      </c>
      <c r="L49" s="22" t="str">
        <f>IFERROR(__xludf.DUMMYFUNCTION("""COMPUTED_VALUE"""),"https://drive.google.com/open?id=1HU34fZM7HSXHjONRwz8ToBFkzv_qYsSW")</f>
        <v>https://drive.google.com/open?id=1HU34fZM7HSXHjONRwz8ToBFkzv_qYsSW</v>
      </c>
      <c r="M49" s="22" t="str">
        <f>IFERROR(__xludf.DUMMYFUNCTION("""COMPUTED_VALUE"""),"https://drive.google.com/open?id=1hSr_jp_RTXIQ1FKAYzWqj61dcxPdJLo7")</f>
        <v>https://drive.google.com/open?id=1hSr_jp_RTXIQ1FKAYzWqj61dcxPdJLo7</v>
      </c>
      <c r="N49" s="21" t="str">
        <f>IFERROR(__xludf.DUMMYFUNCTION("""COMPUTED_VALUE"""),"Binod Kr Sahani")</f>
        <v>Binod Kr Sahani</v>
      </c>
      <c r="O49" s="21" t="str">
        <f>IFERROR(__xludf.DUMMYFUNCTION("""COMPUTED_VALUE"""),"Central Government Job at CIFRI")</f>
        <v>Central Government Job at CIFRI</v>
      </c>
      <c r="P49" s="21" t="str">
        <f>IFERROR(__xludf.DUMMYFUNCTION("""COMPUTED_VALUE"""),"Barrackpore ")</f>
        <v>Barrackpore </v>
      </c>
      <c r="Q49" s="21">
        <f>IFERROR(__xludf.DUMMYFUNCTION("""COMPUTED_VALUE"""),9.038862029E9)</f>
        <v>9038862029</v>
      </c>
      <c r="R49" s="21" t="str">
        <f>IFERROR(__xludf.DUMMYFUNCTION("""COMPUTED_VALUE"""),"Neelam Devi")</f>
        <v>Neelam Devi</v>
      </c>
      <c r="S49" s="21" t="str">
        <f>IFERROR(__xludf.DUMMYFUNCTION("""COMPUTED_VALUE"""),"Home maker")</f>
        <v>Home maker</v>
      </c>
      <c r="T49" s="21" t="str">
        <f>IFERROR(__xludf.DUMMYFUNCTION("""COMPUTED_VALUE"""),"Barrackpore ")</f>
        <v>Barrackpore </v>
      </c>
      <c r="U49" s="21">
        <f>IFERROR(__xludf.DUMMYFUNCTION("""COMPUTED_VALUE"""),9.330230651E9)</f>
        <v>9330230651</v>
      </c>
      <c r="V49" s="21">
        <f>IFERROR(__xludf.DUMMYFUNCTION("""COMPUTED_VALUE"""),2.0)</f>
        <v>2</v>
      </c>
      <c r="W49" s="21" t="str">
        <f>IFERROR(__xludf.DUMMYFUNCTION("""COMPUTED_VALUE"""),"Binod kr Sahani")</f>
        <v>Binod kr Sahani</v>
      </c>
      <c r="X49" s="21" t="str">
        <f>IFERROR(__xludf.DUMMYFUNCTION("""COMPUTED_VALUE"""),"Father")</f>
        <v>Father</v>
      </c>
      <c r="Y49" s="21" t="str">
        <f>IFERROR(__xludf.DUMMYFUNCTION("""COMPUTED_VALUE"""),"Neelam Devi ")</f>
        <v>Neelam Devi </v>
      </c>
      <c r="Z49" s="21" t="str">
        <f>IFERROR(__xludf.DUMMYFUNCTION("""COMPUTED_VALUE"""),"Mother")</f>
        <v>Mother</v>
      </c>
      <c r="AA49" s="21" t="str">
        <f>IFERROR(__xludf.DUMMYFUNCTION("""COMPUTED_VALUE"""),"Veg")</f>
        <v>Veg</v>
      </c>
      <c r="AB49" s="21" t="str">
        <f>IFERROR(__xludf.DUMMYFUNCTION("""COMPUTED_VALUE"""),"Non-Veg")</f>
        <v>Non-Veg</v>
      </c>
      <c r="AC49" s="21" t="str">
        <f>IFERROR(__xludf.DUMMYFUNCTION("""COMPUTED_VALUE"""),"Veg")</f>
        <v>Veg</v>
      </c>
      <c r="AD49" s="21"/>
      <c r="AE49" s="21"/>
    </row>
    <row r="50" ht="22.5" customHeight="1">
      <c r="A50" s="18">
        <f>IFERROR(__xludf.DUMMYFUNCTION("""COMPUTED_VALUE"""),46265.71878545139)</f>
        <v>46265.71879</v>
      </c>
      <c r="B50" s="21" t="str">
        <f>IFERROR(__xludf.DUMMYFUNCTION("""COMPUTED_VALUE"""),"aman1.mbbs-2020@aiimskalyani.edu.in")</f>
        <v>aman1.mbbs-2020@aiimskalyani.edu.in</v>
      </c>
      <c r="C50" s="21" t="str">
        <f>IFERROR(__xludf.DUMMYFUNCTION("""COMPUTED_VALUE"""),"Aman Kumar ")</f>
        <v>Aman Kumar </v>
      </c>
      <c r="D50" s="21" t="str">
        <f>IFERROR(__xludf.DUMMYFUNCTION("""COMPUTED_VALUE"""),"10/20200160")</f>
        <v>10/20200160</v>
      </c>
      <c r="E50" s="21" t="str">
        <f>IFERROR(__xludf.DUMMYFUNCTION("""COMPUTED_VALUE"""),"MBBS 2020")</f>
        <v>MBBS 2020</v>
      </c>
      <c r="F50" s="21">
        <f>IFERROR(__xludf.DUMMYFUNCTION("""COMPUTED_VALUE"""),7.665571951E9)</f>
        <v>7665571951</v>
      </c>
      <c r="G50" s="21" t="str">
        <f>IFERROR(__xludf.DUMMYFUNCTION("""COMPUTED_VALUE"""),"aman1.mbbs-2020@aiimskalyani.edu.in")</f>
        <v>aman1.mbbs-2020@aiimskalyani.edu.in</v>
      </c>
      <c r="H50" s="21" t="str">
        <f>IFERROR(__xludf.DUMMYFUNCTION("""COMPUTED_VALUE"""),"Yes")</f>
        <v>Yes</v>
      </c>
      <c r="I50" s="21"/>
      <c r="J50" s="21"/>
      <c r="K50" s="21" t="str">
        <f>IFERROR(__xludf.DUMMYFUNCTION("""COMPUTED_VALUE"""),"Motihari ")</f>
        <v>Motihari </v>
      </c>
      <c r="L50" s="22" t="str">
        <f>IFERROR(__xludf.DUMMYFUNCTION("""COMPUTED_VALUE"""),"https://drive.google.com/open?id=1R1gtCqMAhDFfdQwMWOSS1fbnQcxnNxZR")</f>
        <v>https://drive.google.com/open?id=1R1gtCqMAhDFfdQwMWOSS1fbnQcxnNxZR</v>
      </c>
      <c r="M50" s="22" t="str">
        <f>IFERROR(__xludf.DUMMYFUNCTION("""COMPUTED_VALUE"""),"https://drive.google.com/open?id=1Fb6lfF9worxGAHa7aPvmrYXfqhbM3jAV")</f>
        <v>https://drive.google.com/open?id=1Fb6lfF9worxGAHa7aPvmrYXfqhbM3jAV</v>
      </c>
      <c r="N50" s="21" t="str">
        <f>IFERROR(__xludf.DUMMYFUNCTION("""COMPUTED_VALUE"""),"Arvind Kumar Singh ")</f>
        <v>Arvind Kumar Singh </v>
      </c>
      <c r="O50" s="21" t="str">
        <f>IFERROR(__xludf.DUMMYFUNCTION("""COMPUTED_VALUE"""),"Agriculture ")</f>
        <v>Agriculture </v>
      </c>
      <c r="P50" s="21" t="str">
        <f>IFERROR(__xludf.DUMMYFUNCTION("""COMPUTED_VALUE"""),"Motihari ")</f>
        <v>Motihari </v>
      </c>
      <c r="Q50" s="21">
        <f>IFERROR(__xludf.DUMMYFUNCTION("""COMPUTED_VALUE"""),9.006118054E9)</f>
        <v>9006118054</v>
      </c>
      <c r="R50" s="21" t="str">
        <f>IFERROR(__xludf.DUMMYFUNCTION("""COMPUTED_VALUE"""),"Ranjana Singh")</f>
        <v>Ranjana Singh</v>
      </c>
      <c r="S50" s="21" t="str">
        <f>IFERROR(__xludf.DUMMYFUNCTION("""COMPUTED_VALUE"""),"Homemaker ")</f>
        <v>Homemaker </v>
      </c>
      <c r="T50" s="21" t="str">
        <f>IFERROR(__xludf.DUMMYFUNCTION("""COMPUTED_VALUE"""),"Motihari ")</f>
        <v>Motihari </v>
      </c>
      <c r="U50" s="21">
        <f>IFERROR(__xludf.DUMMYFUNCTION("""COMPUTED_VALUE"""),9.006118054E9)</f>
        <v>9006118054</v>
      </c>
      <c r="V50" s="21">
        <f>IFERROR(__xludf.DUMMYFUNCTION("""COMPUTED_VALUE"""),1.0)</f>
        <v>1</v>
      </c>
      <c r="W50" s="21" t="str">
        <f>IFERROR(__xludf.DUMMYFUNCTION("""COMPUTED_VALUE"""),"Sweta Bharti ")</f>
        <v>Sweta Bharti </v>
      </c>
      <c r="X50" s="21" t="str">
        <f>IFERROR(__xludf.DUMMYFUNCTION("""COMPUTED_VALUE"""),"Sister ")</f>
        <v>Sister </v>
      </c>
      <c r="Y50" s="21"/>
      <c r="Z50" s="21"/>
      <c r="AA50" s="21" t="str">
        <f>IFERROR(__xludf.DUMMYFUNCTION("""COMPUTED_VALUE"""),"Non-Veg")</f>
        <v>Non-Veg</v>
      </c>
      <c r="AB50" s="21" t="str">
        <f>IFERROR(__xludf.DUMMYFUNCTION("""COMPUTED_VALUE"""),"Non-Veg")</f>
        <v>Non-Veg</v>
      </c>
      <c r="AC50" s="21"/>
      <c r="AD50" s="21"/>
      <c r="AE50" s="21"/>
    </row>
    <row r="51" ht="22.5" customHeight="1">
      <c r="A51" s="18">
        <f>IFERROR(__xludf.DUMMYFUNCTION("""COMPUTED_VALUE"""),46265.71767813657)</f>
        <v>46265.71768</v>
      </c>
      <c r="B51" s="21" t="str">
        <f>IFERROR(__xludf.DUMMYFUNCTION("""COMPUTED_VALUE"""),"atul.mbbs-2020@aiimskalyani.edu.in")</f>
        <v>atul.mbbs-2020@aiimskalyani.edu.in</v>
      </c>
      <c r="C51" s="21" t="str">
        <f>IFERROR(__xludf.DUMMYFUNCTION("""COMPUTED_VALUE"""),"ATUL BHARTI")</f>
        <v>ATUL BHARTI</v>
      </c>
      <c r="D51" s="21" t="str">
        <f>IFERROR(__xludf.DUMMYFUNCTION("""COMPUTED_VALUE"""),"29/20200179")</f>
        <v>29/20200179</v>
      </c>
      <c r="E51" s="21" t="str">
        <f>IFERROR(__xludf.DUMMYFUNCTION("""COMPUTED_VALUE"""),"MBBS 2020")</f>
        <v>MBBS 2020</v>
      </c>
      <c r="F51" s="21">
        <f>IFERROR(__xludf.DUMMYFUNCTION("""COMPUTED_VALUE"""),6.299592194E9)</f>
        <v>6299592194</v>
      </c>
      <c r="G51" s="21" t="str">
        <f>IFERROR(__xludf.DUMMYFUNCTION("""COMPUTED_VALUE"""),"atul.mbbs-2020@aiimskalyani.edu.in")</f>
        <v>atul.mbbs-2020@aiimskalyani.edu.in</v>
      </c>
      <c r="H51" s="21" t="str">
        <f>IFERROR(__xludf.DUMMYFUNCTION("""COMPUTED_VALUE"""),"Yes")</f>
        <v>Yes</v>
      </c>
      <c r="I51" s="21" t="str">
        <f>IFERROR(__xludf.DUMMYFUNCTION("""COMPUTED_VALUE"""),"Painting ")</f>
        <v>Painting </v>
      </c>
      <c r="J51" s="21" t="str">
        <f>IFERROR(__xludf.DUMMYFUNCTION("""COMPUTED_VALUE"""),"Club Head of Art Club for 3 yrs")</f>
        <v>Club Head of Art Club for 3 yrs</v>
      </c>
      <c r="K51" s="21" t="str">
        <f>IFERROR(__xludf.DUMMYFUNCTION("""COMPUTED_VALUE"""),"Patna, Bihar")</f>
        <v>Patna, Bihar</v>
      </c>
      <c r="L51" s="22" t="str">
        <f>IFERROR(__xludf.DUMMYFUNCTION("""COMPUTED_VALUE"""),"https://drive.google.com/open?id=18xwbRuQk_4qlFl55NM7IuWdQkjK3odPm")</f>
        <v>https://drive.google.com/open?id=18xwbRuQk_4qlFl55NM7IuWdQkjK3odPm</v>
      </c>
      <c r="M51" s="22" t="str">
        <f>IFERROR(__xludf.DUMMYFUNCTION("""COMPUTED_VALUE"""),"https://drive.google.com/open?id=1eyLJPN3lw_f1Ch7Egwvs-Ru0H_aj6dLb")</f>
        <v>https://drive.google.com/open?id=1eyLJPN3lw_f1Ch7Egwvs-Ru0H_aj6dLb</v>
      </c>
      <c r="N51" s="21" t="str">
        <f>IFERROR(__xludf.DUMMYFUNCTION("""COMPUTED_VALUE"""),"Manohar Lal")</f>
        <v>Manohar Lal</v>
      </c>
      <c r="O51" s="21" t="str">
        <f>IFERROR(__xludf.DUMMYFUNCTION("""COMPUTED_VALUE"""),"Railway Employee/Senior Sectional Incharge ")</f>
        <v>Railway Employee/Senior Sectional Incharge </v>
      </c>
      <c r="P51" s="21" t="str">
        <f>IFERROR(__xludf.DUMMYFUNCTION("""COMPUTED_VALUE"""),"Patna/Patna,Bihar")</f>
        <v>Patna/Patna,Bihar</v>
      </c>
      <c r="Q51" s="21">
        <f>IFERROR(__xludf.DUMMYFUNCTION("""COMPUTED_VALUE"""),9.771449249E9)</f>
        <v>9771449249</v>
      </c>
      <c r="R51" s="21" t="str">
        <f>IFERROR(__xludf.DUMMYFUNCTION("""COMPUTED_VALUE"""),"Anita Devi")</f>
        <v>Anita Devi</v>
      </c>
      <c r="S51" s="21" t="str">
        <f>IFERROR(__xludf.DUMMYFUNCTION("""COMPUTED_VALUE"""),"Home maker/ Intermediate ")</f>
        <v>Home maker/ Intermediate </v>
      </c>
      <c r="T51" s="21" t="str">
        <f>IFERROR(__xludf.DUMMYFUNCTION("""COMPUTED_VALUE"""),"Patna/Patna,Bihar")</f>
        <v>Patna/Patna,Bihar</v>
      </c>
      <c r="U51" s="21">
        <f>IFERROR(__xludf.DUMMYFUNCTION("""COMPUTED_VALUE"""),8.409443636E9)</f>
        <v>8409443636</v>
      </c>
      <c r="V51" s="21">
        <f>IFERROR(__xludf.DUMMYFUNCTION("""COMPUTED_VALUE"""),0.0)</f>
        <v>0</v>
      </c>
      <c r="W51" s="21"/>
      <c r="X51" s="21"/>
      <c r="Y51" s="21"/>
      <c r="Z51" s="21"/>
      <c r="AA51" s="21" t="str">
        <f>IFERROR(__xludf.DUMMYFUNCTION("""COMPUTED_VALUE"""),"Non-Veg")</f>
        <v>Non-Veg</v>
      </c>
      <c r="AB51" s="21"/>
      <c r="AC51" s="21"/>
      <c r="AD51" s="21"/>
      <c r="AE51" s="21">
        <f>IFERROR(__xludf.DUMMYFUNCTION("""COMPUTED_VALUE"""),0.0)</f>
        <v>0</v>
      </c>
    </row>
    <row r="52" ht="22.5" customHeight="1">
      <c r="A52" s="18">
        <f>IFERROR(__xludf.DUMMYFUNCTION("""COMPUTED_VALUE"""),46265.716470266205)</f>
        <v>46265.71647</v>
      </c>
      <c r="B52" s="21" t="str">
        <f>IFERROR(__xludf.DUMMYFUNCTION("""COMPUTED_VALUE"""),"nargisbanu004@gmail.com")</f>
        <v>nargisbanu004@gmail.com</v>
      </c>
      <c r="C52" s="21" t="str">
        <f>IFERROR(__xludf.DUMMYFUNCTION("""COMPUTED_VALUE"""),"NARGIS BANU")</f>
        <v>NARGIS BANU</v>
      </c>
      <c r="D52" s="21">
        <f>IFERROR(__xludf.DUMMYFUNCTION("""COMPUTED_VALUE"""),2.021023E7)</f>
        <v>20210230</v>
      </c>
      <c r="E52" s="21" t="str">
        <f>IFERROR(__xludf.DUMMYFUNCTION("""COMPUTED_VALUE"""),"B.Sc (Hons) Nursing 2021")</f>
        <v>B.Sc (Hons) Nursing 2021</v>
      </c>
      <c r="F52" s="21">
        <f>IFERROR(__xludf.DUMMYFUNCTION("""COMPUTED_VALUE"""),7.501758665E9)</f>
        <v>7501758665</v>
      </c>
      <c r="G52" s="21" t="str">
        <f>IFERROR(__xludf.DUMMYFUNCTION("""COMPUTED_VALUE"""),"nargisbanu004@gmail.com")</f>
        <v>nargisbanu004@gmail.com</v>
      </c>
      <c r="H52" s="21" t="str">
        <f>IFERROR(__xludf.DUMMYFUNCTION("""COMPUTED_VALUE"""),"Yes")</f>
        <v>Yes</v>
      </c>
      <c r="I52" s="21" t="str">
        <f>IFERROR(__xludf.DUMMYFUNCTION("""COMPUTED_VALUE"""),"Gardening ")</f>
        <v>Gardening </v>
      </c>
      <c r="J52" s="21" t="str">
        <f>IFERROR(__xludf.DUMMYFUNCTION("""COMPUTED_VALUE"""),"Cricket ")</f>
        <v>Cricket </v>
      </c>
      <c r="K52" s="21" t="str">
        <f>IFERROR(__xludf.DUMMYFUNCTION("""COMPUTED_VALUE"""),"Uttar Dinajpur ")</f>
        <v>Uttar Dinajpur </v>
      </c>
      <c r="L52" s="22" t="str">
        <f>IFERROR(__xludf.DUMMYFUNCTION("""COMPUTED_VALUE"""),"https://drive.google.com/open?id=14IGg4zMswkm243qLG6lAuHvHj7PTfs92")</f>
        <v>https://drive.google.com/open?id=14IGg4zMswkm243qLG6lAuHvHj7PTfs92</v>
      </c>
      <c r="M52" s="22" t="str">
        <f>IFERROR(__xludf.DUMMYFUNCTION("""COMPUTED_VALUE"""),"https://drive.google.com/open?id=15U1aWPkjU2mlNHMOjUQn8KDcDguBn5cq")</f>
        <v>https://drive.google.com/open?id=15U1aWPkjU2mlNHMOjUQn8KDcDguBn5cq</v>
      </c>
      <c r="N52" s="21" t="str">
        <f>IFERROR(__xludf.DUMMYFUNCTION("""COMPUTED_VALUE"""),"Nasim akhter ")</f>
        <v>Nasim akhter </v>
      </c>
      <c r="O52" s="21" t="str">
        <f>IFERROR(__xludf.DUMMYFUNCTION("""COMPUTED_VALUE"""),"Farmer ")</f>
        <v>Farmer </v>
      </c>
      <c r="P52" s="21" t="str">
        <f>IFERROR(__xludf.DUMMYFUNCTION("""COMPUTED_VALUE"""),"Goagaon ")</f>
        <v>Goagaon </v>
      </c>
      <c r="Q52" s="21">
        <f>IFERROR(__xludf.DUMMYFUNCTION("""COMPUTED_VALUE"""),9.002210945E9)</f>
        <v>9002210945</v>
      </c>
      <c r="R52" s="21" t="str">
        <f>IFERROR(__xludf.DUMMYFUNCTION("""COMPUTED_VALUE"""),"Najma khatun")</f>
        <v>Najma khatun</v>
      </c>
      <c r="S52" s="21" t="str">
        <f>IFERROR(__xludf.DUMMYFUNCTION("""COMPUTED_VALUE"""),"Housewife ")</f>
        <v>Housewife </v>
      </c>
      <c r="T52" s="21" t="str">
        <f>IFERROR(__xludf.DUMMYFUNCTION("""COMPUTED_VALUE"""),"Goagaon ")</f>
        <v>Goagaon </v>
      </c>
      <c r="U52" s="21">
        <f>IFERROR(__xludf.DUMMYFUNCTION("""COMPUTED_VALUE"""),8.250597108E9)</f>
        <v>8250597108</v>
      </c>
      <c r="V52" s="21">
        <f>IFERROR(__xludf.DUMMYFUNCTION("""COMPUTED_VALUE"""),2.0)</f>
        <v>2</v>
      </c>
      <c r="W52" s="21" t="str">
        <f>IFERROR(__xludf.DUMMYFUNCTION("""COMPUTED_VALUE"""),"Nasim Akhter ")</f>
        <v>Nasim Akhter </v>
      </c>
      <c r="X52" s="21" t="str">
        <f>IFERROR(__xludf.DUMMYFUNCTION("""COMPUTED_VALUE"""),"Father ")</f>
        <v>Father </v>
      </c>
      <c r="Y52" s="21" t="str">
        <f>IFERROR(__xludf.DUMMYFUNCTION("""COMPUTED_VALUE"""),"Nasima Khatun ")</f>
        <v>Nasima Khatun </v>
      </c>
      <c r="Z52" s="21" t="str">
        <f>IFERROR(__xludf.DUMMYFUNCTION("""COMPUTED_VALUE"""),"Sister ")</f>
        <v>Sister </v>
      </c>
      <c r="AA52" s="21" t="str">
        <f>IFERROR(__xludf.DUMMYFUNCTION("""COMPUTED_VALUE"""),"Non-Veg")</f>
        <v>Non-Veg</v>
      </c>
      <c r="AB52" s="21" t="str">
        <f>IFERROR(__xludf.DUMMYFUNCTION("""COMPUTED_VALUE"""),"Non-Veg")</f>
        <v>Non-Veg</v>
      </c>
      <c r="AC52" s="21" t="str">
        <f>IFERROR(__xludf.DUMMYFUNCTION("""COMPUTED_VALUE"""),"Non-Veg")</f>
        <v>Non-Veg</v>
      </c>
      <c r="AD52" s="21" t="str">
        <f>IFERROR(__xludf.DUMMYFUNCTION("""COMPUTED_VALUE"""),"Drop at Kalyani Railway Station")</f>
        <v>Drop at Kalyani Railway Station</v>
      </c>
      <c r="AE52" s="21">
        <f>IFERROR(__xludf.DUMMYFUNCTION("""COMPUTED_VALUE"""),3.0)</f>
        <v>3</v>
      </c>
    </row>
    <row r="53" ht="22.5" customHeight="1">
      <c r="A53" s="18">
        <f>IFERROR(__xludf.DUMMYFUNCTION("""COMPUTED_VALUE"""),46265.71362978009)</f>
        <v>46265.71363</v>
      </c>
      <c r="B53" s="21" t="str">
        <f>IFERROR(__xludf.DUMMYFUNCTION("""COMPUTED_VALUE"""),"punya.mbbs-2020@aiimskalyani.edu.in")</f>
        <v>punya.mbbs-2020@aiimskalyani.edu.in</v>
      </c>
      <c r="C53" s="21" t="str">
        <f>IFERROR(__xludf.DUMMYFUNCTION("""COMPUTED_VALUE"""),"PUNYA PRAKASH k")</f>
        <v>PUNYA PRAKASH k</v>
      </c>
      <c r="D53" s="21">
        <f>IFERROR(__xludf.DUMMYFUNCTION("""COMPUTED_VALUE"""),2.02001121E8)</f>
        <v>202001121</v>
      </c>
      <c r="E53" s="21" t="str">
        <f>IFERROR(__xludf.DUMMYFUNCTION("""COMPUTED_VALUE"""),"MBBS 2020")</f>
        <v>MBBS 2020</v>
      </c>
      <c r="F53" s="21">
        <f>IFERROR(__xludf.DUMMYFUNCTION("""COMPUTED_VALUE"""),8.129749735E9)</f>
        <v>8129749735</v>
      </c>
      <c r="G53" s="21" t="str">
        <f>IFERROR(__xludf.DUMMYFUNCTION("""COMPUTED_VALUE"""),"punyaprakashk2001@gmail.com")</f>
        <v>punyaprakashk2001@gmail.com</v>
      </c>
      <c r="H53" s="21" t="str">
        <f>IFERROR(__xludf.DUMMYFUNCTION("""COMPUTED_VALUE"""),"Yes")</f>
        <v>Yes</v>
      </c>
      <c r="I53" s="21" t="str">
        <f>IFERROR(__xludf.DUMMYFUNCTION("""COMPUTED_VALUE"""),"Dancing ")</f>
        <v>Dancing </v>
      </c>
      <c r="J53" s="21"/>
      <c r="K53" s="21" t="str">
        <f>IFERROR(__xludf.DUMMYFUNCTION("""COMPUTED_VALUE"""),"Malappuram, Kerala ")</f>
        <v>Malappuram, Kerala </v>
      </c>
      <c r="L53" s="22" t="str">
        <f>IFERROR(__xludf.DUMMYFUNCTION("""COMPUTED_VALUE"""),"https://drive.google.com/open?id=1jy6suLzwa_dTurH5eohBevYr_ycOniMu")</f>
        <v>https://drive.google.com/open?id=1jy6suLzwa_dTurH5eohBevYr_ycOniMu</v>
      </c>
      <c r="M53" s="22" t="str">
        <f>IFERROR(__xludf.DUMMYFUNCTION("""COMPUTED_VALUE"""),"https://drive.google.com/open?id=1g5PJZfQe2LsPmQD_nyzYI2PbSRoHhrRG")</f>
        <v>https://drive.google.com/open?id=1g5PJZfQe2LsPmQD_nyzYI2PbSRoHhrRG</v>
      </c>
      <c r="N53" s="21" t="str">
        <f>IFERROR(__xludf.DUMMYFUNCTION("""COMPUTED_VALUE"""),"Jayaprakash KV ")</f>
        <v>Jayaprakash KV </v>
      </c>
      <c r="O53" s="21" t="str">
        <f>IFERROR(__xludf.DUMMYFUNCTION("""COMPUTED_VALUE"""),"Electrician ")</f>
        <v>Electrician </v>
      </c>
      <c r="P53" s="21" t="str">
        <f>IFERROR(__xludf.DUMMYFUNCTION("""COMPUTED_VALUE"""),"Malappuram, Kerala ")</f>
        <v>Malappuram, Kerala </v>
      </c>
      <c r="Q53" s="21">
        <f>IFERROR(__xludf.DUMMYFUNCTION("""COMPUTED_VALUE"""),9.645492625E9)</f>
        <v>9645492625</v>
      </c>
      <c r="R53" s="21" t="str">
        <f>IFERROR(__xludf.DUMMYFUNCTION("""COMPUTED_VALUE"""),"Preetha Kumar ")</f>
        <v>Preetha Kumar </v>
      </c>
      <c r="S53" s="21" t="str">
        <f>IFERROR(__xludf.DUMMYFUNCTION("""COMPUTED_VALUE"""),"Teacher ")</f>
        <v>Teacher </v>
      </c>
      <c r="T53" s="21" t="str">
        <f>IFERROR(__xludf.DUMMYFUNCTION("""COMPUTED_VALUE"""),"Malappuram, Kerala ")</f>
        <v>Malappuram, Kerala </v>
      </c>
      <c r="U53" s="21">
        <f>IFERROR(__xludf.DUMMYFUNCTION("""COMPUTED_VALUE"""),9.895572035E9)</f>
        <v>9895572035</v>
      </c>
      <c r="V53" s="21">
        <f>IFERROR(__xludf.DUMMYFUNCTION("""COMPUTED_VALUE"""),2.0)</f>
        <v>2</v>
      </c>
      <c r="W53" s="21" t="str">
        <f>IFERROR(__xludf.DUMMYFUNCTION("""COMPUTED_VALUE"""),"Jayaprakash KV")</f>
        <v>Jayaprakash KV</v>
      </c>
      <c r="X53" s="21" t="str">
        <f>IFERROR(__xludf.DUMMYFUNCTION("""COMPUTED_VALUE"""),"Father ")</f>
        <v>Father </v>
      </c>
      <c r="Y53" s="21" t="str">
        <f>IFERROR(__xludf.DUMMYFUNCTION("""COMPUTED_VALUE"""),"Preetha Kumar ")</f>
        <v>Preetha Kumar </v>
      </c>
      <c r="Z53" s="21" t="str">
        <f>IFERROR(__xludf.DUMMYFUNCTION("""COMPUTED_VALUE"""),"Mother")</f>
        <v>Mother</v>
      </c>
      <c r="AA53" s="21" t="str">
        <f>IFERROR(__xludf.DUMMYFUNCTION("""COMPUTED_VALUE"""),"Non-Veg")</f>
        <v>Non-Veg</v>
      </c>
      <c r="AB53" s="21" t="str">
        <f>IFERROR(__xludf.DUMMYFUNCTION("""COMPUTED_VALUE"""),"Non-Veg")</f>
        <v>Non-Veg</v>
      </c>
      <c r="AC53" s="21" t="str">
        <f>IFERROR(__xludf.DUMMYFUNCTION("""COMPUTED_VALUE"""),"Non-Veg")</f>
        <v>Non-Veg</v>
      </c>
      <c r="AD53" s="21" t="str">
        <f>IFERROR(__xludf.DUMMYFUNCTION("""COMPUTED_VALUE"""),"Bus Drop Service not needed")</f>
        <v>Bus Drop Service not needed</v>
      </c>
      <c r="AE53" s="21"/>
    </row>
    <row r="54" ht="22.5" customHeight="1">
      <c r="A54" s="18">
        <f>IFERROR(__xludf.DUMMYFUNCTION("""COMPUTED_VALUE"""),46265.70953979167)</f>
        <v>46265.70954</v>
      </c>
      <c r="B54" s="21" t="str">
        <f>IFERROR(__xludf.DUMMYFUNCTION("""COMPUTED_VALUE"""),"abhilasha.mbbs-2020@aiimskalyani.edu.in")</f>
        <v>abhilasha.mbbs-2020@aiimskalyani.edu.in</v>
      </c>
      <c r="C54" s="21" t="str">
        <f>IFERROR(__xludf.DUMMYFUNCTION("""COMPUTED_VALUE"""),"ABHILASHA SABOTH")</f>
        <v>ABHILASHA SABOTH</v>
      </c>
      <c r="D54" s="21">
        <f>IFERROR(__xludf.DUMMYFUNCTION("""COMPUTED_VALUE"""),2.0200151E7)</f>
        <v>20200151</v>
      </c>
      <c r="E54" s="21" t="str">
        <f>IFERROR(__xludf.DUMMYFUNCTION("""COMPUTED_VALUE"""),"MBBS 2020")</f>
        <v>MBBS 2020</v>
      </c>
      <c r="F54" s="21">
        <f>IFERROR(__xludf.DUMMYFUNCTION("""COMPUTED_VALUE"""),9.337129829E9)</f>
        <v>9337129829</v>
      </c>
      <c r="G54" s="21" t="str">
        <f>IFERROR(__xludf.DUMMYFUNCTION("""COMPUTED_VALUE"""),"sabothabhilasha@gmail.com")</f>
        <v>sabothabhilasha@gmail.com</v>
      </c>
      <c r="H54" s="21" t="str">
        <f>IFERROR(__xludf.DUMMYFUNCTION("""COMPUTED_VALUE"""),"Yes")</f>
        <v>Yes</v>
      </c>
      <c r="I54" s="21" t="str">
        <f>IFERROR(__xludf.DUMMYFUNCTION("""COMPUTED_VALUE"""),"I like to sing or run in my leisure times; I am interested in dance and qlass painting, Besides, I like watching shows online, my favourite genres are action comedy, mystery, and fantasy drama.")</f>
        <v>I like to sing or run in my leisure times; I am interested in dance and qlass painting, Besides, I like watching shows online, my favourite genres are action comedy, mystery, and fantasy drama.</v>
      </c>
      <c r="J54" s="21" t="str">
        <f>IFERROR(__xludf.DUMMYFUNCTION("""COMPUTED_VALUE"""),"1. Responsibility of Student Organising Secretary of Annual sociocultural fest - Elvssia 2024
2. Represented college in intercollege Band Group Dance and Quiz competitions
3. Volunteered in free health checkup camps in Rural Bengal")</f>
        <v>1. Responsibility of Student Organising Secretary of Annual sociocultural fest - Elvssia 2024
2. Represented college in intercollege Band Group Dance and Quiz competitions
3. Volunteered in free health checkup camps in Rural Bengal</v>
      </c>
      <c r="K54" s="21" t="str">
        <f>IFERROR(__xludf.DUMMYFUNCTION("""COMPUTED_VALUE"""),"Bhubaneswar, Odisha")</f>
        <v>Bhubaneswar, Odisha</v>
      </c>
      <c r="L54" s="22" t="str">
        <f>IFERROR(__xludf.DUMMYFUNCTION("""COMPUTED_VALUE"""),"https://drive.google.com/open?id=1oiD-5x7tgVJalldoJDukD9pLaxJ6l2rM")</f>
        <v>https://drive.google.com/open?id=1oiD-5x7tgVJalldoJDukD9pLaxJ6l2rM</v>
      </c>
      <c r="M54" s="22" t="str">
        <f>IFERROR(__xludf.DUMMYFUNCTION("""COMPUTED_VALUE"""),"https://drive.google.com/open?id=1YUuDhitGgo-CCmCX2VG3nOAvqHqlOy7Z")</f>
        <v>https://drive.google.com/open?id=1YUuDhitGgo-CCmCX2VG3nOAvqHqlOy7Z</v>
      </c>
      <c r="N54" s="21" t="str">
        <f>IFERROR(__xludf.DUMMYFUNCTION("""COMPUTED_VALUE"""),"Prasant kumar Saboth")</f>
        <v>Prasant kumar Saboth</v>
      </c>
      <c r="O54" s="21" t="str">
        <f>IFERROR(__xludf.DUMMYFUNCTION("""COMPUTED_VALUE"""),"MD Pediatrics, Professor at IMS and SUM Hospital, Bhubaneswar")</f>
        <v>MD Pediatrics, Professor at IMS and SUM Hospital, Bhubaneswar</v>
      </c>
      <c r="P54" s="21" t="str">
        <f>IFERROR(__xludf.DUMMYFUNCTION("""COMPUTED_VALUE"""),"Bhubaneswar ")</f>
        <v>Bhubaneswar </v>
      </c>
      <c r="Q54" s="21">
        <f>IFERROR(__xludf.DUMMYFUNCTION("""COMPUTED_VALUE"""),7.827575483E9)</f>
        <v>7827575483</v>
      </c>
      <c r="R54" s="21" t="str">
        <f>IFERROR(__xludf.DUMMYFUNCTION("""COMPUTED_VALUE"""),"Sibani Satpathy")</f>
        <v>Sibani Satpathy</v>
      </c>
      <c r="S54" s="21" t="str">
        <f>IFERROR(__xludf.DUMMYFUNCTION("""COMPUTED_VALUE"""),"Mental Health Counselor")</f>
        <v>Mental Health Counselor</v>
      </c>
      <c r="T54" s="21" t="str">
        <f>IFERROR(__xludf.DUMMYFUNCTION("""COMPUTED_VALUE"""),"Bhubaneswar ")</f>
        <v>Bhubaneswar </v>
      </c>
      <c r="U54" s="21">
        <f>IFERROR(__xludf.DUMMYFUNCTION("""COMPUTED_VALUE"""),8.895584818E9)</f>
        <v>8895584818</v>
      </c>
      <c r="V54" s="21">
        <f>IFERROR(__xludf.DUMMYFUNCTION("""COMPUTED_VALUE"""),1.0)</f>
        <v>1</v>
      </c>
      <c r="W54" s="21" t="str">
        <f>IFERROR(__xludf.DUMMYFUNCTION("""COMPUTED_VALUE"""),"Dr. Prasant kumar Saboth")</f>
        <v>Dr. Prasant kumar Saboth</v>
      </c>
      <c r="X54" s="21" t="str">
        <f>IFERROR(__xludf.DUMMYFUNCTION("""COMPUTED_VALUE"""),"Father")</f>
        <v>Father</v>
      </c>
      <c r="Y54" s="21"/>
      <c r="Z54" s="21"/>
      <c r="AA54" s="21" t="str">
        <f>IFERROR(__xludf.DUMMYFUNCTION("""COMPUTED_VALUE"""),"Veg")</f>
        <v>Veg</v>
      </c>
      <c r="AB54" s="21" t="str">
        <f>IFERROR(__xludf.DUMMYFUNCTION("""COMPUTED_VALUE"""),"Veg")</f>
        <v>Veg</v>
      </c>
      <c r="AC54" s="21"/>
      <c r="AD54" s="21" t="str">
        <f>IFERROR(__xludf.DUMMYFUNCTION("""COMPUTED_VALUE"""),"Bus Drop Service not needed")</f>
        <v>Bus Drop Service not needed</v>
      </c>
      <c r="AE54" s="21">
        <f>IFERROR(__xludf.DUMMYFUNCTION("""COMPUTED_VALUE"""),0.0)</f>
        <v>0</v>
      </c>
    </row>
    <row r="55" ht="22.5" customHeight="1">
      <c r="A55" s="18">
        <f>IFERROR(__xludf.DUMMYFUNCTION("""COMPUTED_VALUE"""),46265.70371563657)</f>
        <v>46265.70372</v>
      </c>
      <c r="B55" s="21" t="str">
        <f>IFERROR(__xludf.DUMMYFUNCTION("""COMPUTED_VALUE"""),"ashutosh.mbbs-2020@aiimskalyani.edu.in")</f>
        <v>ashutosh.mbbs-2020@aiimskalyani.edu.in</v>
      </c>
      <c r="C55" s="21" t="str">
        <f>IFERROR(__xludf.DUMMYFUNCTION("""COMPUTED_VALUE"""),"ASHUTOSH KUMAR ")</f>
        <v>ASHUTOSH KUMAR </v>
      </c>
      <c r="D55" s="21" t="str">
        <f>IFERROR(__xludf.DUMMYFUNCTION("""COMPUTED_VALUE"""),"28 / 20200178")</f>
        <v>28 / 20200178</v>
      </c>
      <c r="E55" s="21" t="str">
        <f>IFERROR(__xludf.DUMMYFUNCTION("""COMPUTED_VALUE"""),"MBBS 2020")</f>
        <v>MBBS 2020</v>
      </c>
      <c r="F55" s="21">
        <f>IFERROR(__xludf.DUMMYFUNCTION("""COMPUTED_VALUE"""),9.128781515E9)</f>
        <v>9128781515</v>
      </c>
      <c r="G55" s="21" t="str">
        <f>IFERROR(__xludf.DUMMYFUNCTION("""COMPUTED_VALUE"""),"ashutoshajnvi@gmail.com")</f>
        <v>ashutoshajnvi@gmail.com</v>
      </c>
      <c r="H55" s="21" t="str">
        <f>IFERROR(__xludf.DUMMYFUNCTION("""COMPUTED_VALUE"""),"Yes")</f>
        <v>Yes</v>
      </c>
      <c r="I55" s="21" t="str">
        <f>IFERROR(__xludf.DUMMYFUNCTION("""COMPUTED_VALUE"""),"Acting ")</f>
        <v>Acting </v>
      </c>
      <c r="J55" s="21" t="str">
        <f>IFERROR(__xludf.DUMMYFUNCTION("""COMPUTED_VALUE"""),"Nothing ")</f>
        <v>Nothing </v>
      </c>
      <c r="K55" s="21" t="str">
        <f>IFERROR(__xludf.DUMMYFUNCTION("""COMPUTED_VALUE"""),"Nawada ")</f>
        <v>Nawada </v>
      </c>
      <c r="L55" s="22" t="str">
        <f>IFERROR(__xludf.DUMMYFUNCTION("""COMPUTED_VALUE"""),"https://drive.google.com/open?id=19I6hrZOuMWLrfICQwNh3M1riywaHpy-N")</f>
        <v>https://drive.google.com/open?id=19I6hrZOuMWLrfICQwNh3M1riywaHpy-N</v>
      </c>
      <c r="M55" s="22" t="str">
        <f>IFERROR(__xludf.DUMMYFUNCTION("""COMPUTED_VALUE"""),"https://drive.google.com/open?id=1ThszkALqpabg3JKiI8FixCV8pXi-dssS")</f>
        <v>https://drive.google.com/open?id=1ThszkALqpabg3JKiI8FixCV8pXi-dssS</v>
      </c>
      <c r="N55" s="21" t="str">
        <f>IFERROR(__xludf.DUMMYFUNCTION("""COMPUTED_VALUE"""),"Lt Jay prakash singh ")</f>
        <v>Lt Jay prakash singh </v>
      </c>
      <c r="O55" s="21" t="str">
        <f>IFERROR(__xludf.DUMMYFUNCTION("""COMPUTED_VALUE"""),"Teacher ")</f>
        <v>Teacher </v>
      </c>
      <c r="P55" s="21" t="str">
        <f>IFERROR(__xludf.DUMMYFUNCTION("""COMPUTED_VALUE"""),"NAWADA ")</f>
        <v>NAWADA </v>
      </c>
      <c r="Q55" s="21">
        <f>IFERROR(__xludf.DUMMYFUNCTION("""COMPUTED_VALUE"""),9.546925948E9)</f>
        <v>9546925948</v>
      </c>
      <c r="R55" s="21" t="str">
        <f>IFERROR(__xludf.DUMMYFUNCTION("""COMPUTED_VALUE"""),"UMA DEVI")</f>
        <v>UMA DEVI</v>
      </c>
      <c r="S55" s="21" t="str">
        <f>IFERROR(__xludf.DUMMYFUNCTION("""COMPUTED_VALUE"""),"HOME MAKER")</f>
        <v>HOME MAKER</v>
      </c>
      <c r="T55" s="21" t="str">
        <f>IFERROR(__xludf.DUMMYFUNCTION("""COMPUTED_VALUE"""),"NAWADA")</f>
        <v>NAWADA</v>
      </c>
      <c r="U55" s="21">
        <f>IFERROR(__xludf.DUMMYFUNCTION("""COMPUTED_VALUE"""),7.004429822E9)</f>
        <v>7004429822</v>
      </c>
      <c r="V55" s="21">
        <f>IFERROR(__xludf.DUMMYFUNCTION("""COMPUTED_VALUE"""),2.0)</f>
        <v>2</v>
      </c>
      <c r="W55" s="21" t="str">
        <f>IFERROR(__xludf.DUMMYFUNCTION("""COMPUTED_VALUE"""),"UMA DEVI")</f>
        <v>UMA DEVI</v>
      </c>
      <c r="X55" s="21" t="str">
        <f>IFERROR(__xludf.DUMMYFUNCTION("""COMPUTED_VALUE"""),"Mother ")</f>
        <v>Mother </v>
      </c>
      <c r="Y55" s="21" t="str">
        <f>IFERROR(__xludf.DUMMYFUNCTION("""COMPUTED_VALUE"""),"Anokha kumar")</f>
        <v>Anokha kumar</v>
      </c>
      <c r="Z55" s="21" t="str">
        <f>IFERROR(__xludf.DUMMYFUNCTION("""COMPUTED_VALUE"""),"Brother ")</f>
        <v>Brother </v>
      </c>
      <c r="AA55" s="21" t="str">
        <f>IFERROR(__xludf.DUMMYFUNCTION("""COMPUTED_VALUE"""),"Non-Veg")</f>
        <v>Non-Veg</v>
      </c>
      <c r="AB55" s="21" t="str">
        <f>IFERROR(__xludf.DUMMYFUNCTION("""COMPUTED_VALUE"""),"Veg")</f>
        <v>Veg</v>
      </c>
      <c r="AC55" s="21" t="str">
        <f>IFERROR(__xludf.DUMMYFUNCTION("""COMPUTED_VALUE"""),"Veg")</f>
        <v>Veg</v>
      </c>
      <c r="AD55" s="21"/>
      <c r="AE55" s="21"/>
    </row>
    <row r="56" ht="22.5" customHeight="1">
      <c r="A56" s="18">
        <f>IFERROR(__xludf.DUMMYFUNCTION("""COMPUTED_VALUE"""),46265.67343512732)</f>
        <v>46265.67344</v>
      </c>
      <c r="B56" s="21" t="str">
        <f>IFERROR(__xludf.DUMMYFUNCTION("""COMPUTED_VALUE"""),"balram.mbbs-2020@aiimskalyani.edu.in")</f>
        <v>balram.mbbs-2020@aiimskalyani.edu.in</v>
      </c>
      <c r="C56" s="21" t="str">
        <f>IFERROR(__xludf.DUMMYFUNCTION("""COMPUTED_VALUE"""),"BALRAM SHARMA")</f>
        <v>BALRAM SHARMA</v>
      </c>
      <c r="D56" s="21">
        <f>IFERROR(__xludf.DUMMYFUNCTION("""COMPUTED_VALUE"""),117.0)</f>
        <v>117</v>
      </c>
      <c r="E56" s="21" t="str">
        <f>IFERROR(__xludf.DUMMYFUNCTION("""COMPUTED_VALUE"""),"MBBS 2020")</f>
        <v>MBBS 2020</v>
      </c>
      <c r="F56" s="21">
        <f>IFERROR(__xludf.DUMMYFUNCTION("""COMPUTED_VALUE"""),9.024523413E9)</f>
        <v>9024523413</v>
      </c>
      <c r="G56" s="21" t="str">
        <f>IFERROR(__xludf.DUMMYFUNCTION("""COMPUTED_VALUE"""),"nicebalramsharma@gmail.com")</f>
        <v>nicebalramsharma@gmail.com</v>
      </c>
      <c r="H56" s="21" t="str">
        <f>IFERROR(__xludf.DUMMYFUNCTION("""COMPUTED_VALUE"""),"Yes")</f>
        <v>Yes</v>
      </c>
      <c r="I56" s="21"/>
      <c r="J56" s="21"/>
      <c r="K56" s="21" t="str">
        <f>IFERROR(__xludf.DUMMYFUNCTION("""COMPUTED_VALUE"""),"Vimalpura ")</f>
        <v>Vimalpura </v>
      </c>
      <c r="L56" s="22" t="str">
        <f>IFERROR(__xludf.DUMMYFUNCTION("""COMPUTED_VALUE"""),"https://drive.google.com/open?id=1YNlHO2Sdw2o2_z4aADxeUoJacLrk4iaY")</f>
        <v>https://drive.google.com/open?id=1YNlHO2Sdw2o2_z4aADxeUoJacLrk4iaY</v>
      </c>
      <c r="M56" s="22" t="str">
        <f>IFERROR(__xludf.DUMMYFUNCTION("""COMPUTED_VALUE"""),"https://drive.google.com/open?id=1th2NXqCtk6V21Xh0Lt2PNm5TT5DW0g5j")</f>
        <v>https://drive.google.com/open?id=1th2NXqCtk6V21Xh0Lt2PNm5TT5DW0g5j</v>
      </c>
      <c r="N56" s="21" t="str">
        <f>IFERROR(__xludf.DUMMYFUNCTION("""COMPUTED_VALUE"""),"Bhagwan sahay Sharma ")</f>
        <v>Bhagwan sahay Sharma </v>
      </c>
      <c r="O56" s="21" t="str">
        <f>IFERROR(__xludf.DUMMYFUNCTION("""COMPUTED_VALUE"""),"Farmer")</f>
        <v>Farmer</v>
      </c>
      <c r="P56" s="21" t="str">
        <f>IFERROR(__xludf.DUMMYFUNCTION("""COMPUTED_VALUE"""),"Vimalpura ")</f>
        <v>Vimalpura </v>
      </c>
      <c r="Q56" s="21">
        <f>IFERROR(__xludf.DUMMYFUNCTION("""COMPUTED_VALUE"""),9.024523413E9)</f>
        <v>9024523413</v>
      </c>
      <c r="R56" s="21" t="str">
        <f>IFERROR(__xludf.DUMMYFUNCTION("""COMPUTED_VALUE"""),"Gulab Devi ")</f>
        <v>Gulab Devi </v>
      </c>
      <c r="S56" s="21" t="str">
        <f>IFERROR(__xludf.DUMMYFUNCTION("""COMPUTED_VALUE"""),"Housewife")</f>
        <v>Housewife</v>
      </c>
      <c r="T56" s="21" t="str">
        <f>IFERROR(__xludf.DUMMYFUNCTION("""COMPUTED_VALUE"""),"Vimalpura ")</f>
        <v>Vimalpura </v>
      </c>
      <c r="U56" s="21">
        <f>IFERROR(__xludf.DUMMYFUNCTION("""COMPUTED_VALUE"""),9.024523413E9)</f>
        <v>9024523413</v>
      </c>
      <c r="V56" s="21">
        <f>IFERROR(__xludf.DUMMYFUNCTION("""COMPUTED_VALUE"""),1.0)</f>
        <v>1</v>
      </c>
      <c r="W56" s="21"/>
      <c r="X56" s="21"/>
      <c r="Y56" s="21"/>
      <c r="Z56" s="21" t="str">
        <f>IFERROR(__xludf.DUMMYFUNCTION("""COMPUTED_VALUE"""),"Brother ")</f>
        <v>Brother </v>
      </c>
      <c r="AA56" s="21" t="str">
        <f>IFERROR(__xludf.DUMMYFUNCTION("""COMPUTED_VALUE"""),"Veg")</f>
        <v>Veg</v>
      </c>
      <c r="AB56" s="21" t="str">
        <f>IFERROR(__xludf.DUMMYFUNCTION("""COMPUTED_VALUE"""),"Veg")</f>
        <v>Veg</v>
      </c>
      <c r="AC56" s="21"/>
      <c r="AD56" s="21" t="str">
        <f>IFERROR(__xludf.DUMMYFUNCTION("""COMPUTED_VALUE"""),"Bus Drop Service not needed")</f>
        <v>Bus Drop Service not needed</v>
      </c>
      <c r="AE56" s="21">
        <f>IFERROR(__xludf.DUMMYFUNCTION("""COMPUTED_VALUE"""),0.0)</f>
        <v>0</v>
      </c>
    </row>
    <row r="57" ht="22.5" customHeight="1">
      <c r="A57" s="18">
        <f>IFERROR(__xludf.DUMMYFUNCTION("""COMPUTED_VALUE"""),46265.64980111111)</f>
        <v>46265.6498</v>
      </c>
      <c r="B57" s="21" t="str">
        <f>IFERROR(__xludf.DUMMYFUNCTION("""COMPUTED_VALUE"""),"lucky.mbbs-2020@aiimskalyani.edu.in")</f>
        <v>lucky.mbbs-2020@aiimskalyani.edu.in</v>
      </c>
      <c r="C57" s="21" t="str">
        <f>IFERROR(__xludf.DUMMYFUNCTION("""COMPUTED_VALUE"""),"LUCKY BANSAL")</f>
        <v>LUCKY BANSAL</v>
      </c>
      <c r="D57" s="21">
        <f>IFERROR(__xludf.DUMMYFUNCTION("""COMPUTED_VALUE"""),2.0200117E8)</f>
        <v>202001170</v>
      </c>
      <c r="E57" s="21" t="str">
        <f>IFERROR(__xludf.DUMMYFUNCTION("""COMPUTED_VALUE"""),"MBBS 2020")</f>
        <v>MBBS 2020</v>
      </c>
      <c r="F57" s="21">
        <f>IFERROR(__xludf.DUMMYFUNCTION("""COMPUTED_VALUE"""),8.824926103E9)</f>
        <v>8824926103</v>
      </c>
      <c r="G57" s="21" t="str">
        <f>IFERROR(__xludf.DUMMYFUNCTION("""COMPUTED_VALUE"""),"lucky.mbbs-2020@aiimskalyani.edu.in")</f>
        <v>lucky.mbbs-2020@aiimskalyani.edu.in</v>
      </c>
      <c r="H57" s="21" t="str">
        <f>IFERROR(__xludf.DUMMYFUNCTION("""COMPUTED_VALUE"""),"Yes")</f>
        <v>Yes</v>
      </c>
      <c r="I57" s="21" t="str">
        <f>IFERROR(__xludf.DUMMYFUNCTION("""COMPUTED_VALUE"""),"I like sports and games , love doing art and craft , painting and travelling and photography. ")</f>
        <v>I like sports and games , love doing art and craft , painting and travelling and photography. </v>
      </c>
      <c r="J57" s="21" t="str">
        <f>IFERROR(__xludf.DUMMYFUNCTION("""COMPUTED_VALUE"""),"I have participated in many events during fest in college such as arts and craft and badminton, volleyball , throwball and achieved many prizes.")</f>
        <v>I have participated in many events during fest in college such as arts and craft and badminton, volleyball , throwball and achieved many prizes.</v>
      </c>
      <c r="K57" s="21" t="str">
        <f>IFERROR(__xludf.DUMMYFUNCTION("""COMPUTED_VALUE"""),"Jaipur , Rajasthan")</f>
        <v>Jaipur , Rajasthan</v>
      </c>
      <c r="L57" s="22" t="str">
        <f>IFERROR(__xludf.DUMMYFUNCTION("""COMPUTED_VALUE"""),"https://drive.google.com/open?id=1WfEEKO1GwbW3GEdHnu0Lep3QC_G034Dt")</f>
        <v>https://drive.google.com/open?id=1WfEEKO1GwbW3GEdHnu0Lep3QC_G034Dt</v>
      </c>
      <c r="M57" s="22" t="str">
        <f>IFERROR(__xludf.DUMMYFUNCTION("""COMPUTED_VALUE"""),"https://drive.google.com/open?id=16WSpzrs0e-SrP9vdTQpzH3V6kfbIgvOP")</f>
        <v>https://drive.google.com/open?id=16WSpzrs0e-SrP9vdTQpzH3V6kfbIgvOP</v>
      </c>
      <c r="N57" s="21" t="str">
        <f>IFERROR(__xludf.DUMMYFUNCTION("""COMPUTED_VALUE"""),"Rajesh Bansal")</f>
        <v>Rajesh Bansal</v>
      </c>
      <c r="O57" s="21" t="str">
        <f>IFERROR(__xludf.DUMMYFUNCTION("""COMPUTED_VALUE"""),"Businessman")</f>
        <v>Businessman</v>
      </c>
      <c r="P57" s="21" t="str">
        <f>IFERROR(__xludf.DUMMYFUNCTION("""COMPUTED_VALUE"""),"Dausa, Rajasthan ")</f>
        <v>Dausa, Rajasthan </v>
      </c>
      <c r="Q57" s="21">
        <f>IFERROR(__xludf.DUMMYFUNCTION("""COMPUTED_VALUE"""),9.460913524E9)</f>
        <v>9460913524</v>
      </c>
      <c r="R57" s="21" t="str">
        <f>IFERROR(__xludf.DUMMYFUNCTION("""COMPUTED_VALUE"""),"Mamta Bansal")</f>
        <v>Mamta Bansal</v>
      </c>
      <c r="S57" s="21" t="str">
        <f>IFERROR(__xludf.DUMMYFUNCTION("""COMPUTED_VALUE"""),"Homemaker")</f>
        <v>Homemaker</v>
      </c>
      <c r="T57" s="21" t="str">
        <f>IFERROR(__xludf.DUMMYFUNCTION("""COMPUTED_VALUE"""),"Dausa , Rajasthan ")</f>
        <v>Dausa , Rajasthan </v>
      </c>
      <c r="U57" s="21">
        <f>IFERROR(__xludf.DUMMYFUNCTION("""COMPUTED_VALUE"""),7.014433177E9)</f>
        <v>7014433177</v>
      </c>
      <c r="V57" s="21">
        <f>IFERROR(__xludf.DUMMYFUNCTION("""COMPUTED_VALUE"""),2.0)</f>
        <v>2</v>
      </c>
      <c r="W57" s="21" t="str">
        <f>IFERROR(__xludf.DUMMYFUNCTION("""COMPUTED_VALUE"""),"Rajesh Bansal")</f>
        <v>Rajesh Bansal</v>
      </c>
      <c r="X57" s="21" t="str">
        <f>IFERROR(__xludf.DUMMYFUNCTION("""COMPUTED_VALUE"""),"Father")</f>
        <v>Father</v>
      </c>
      <c r="Y57" s="21" t="str">
        <f>IFERROR(__xludf.DUMMYFUNCTION("""COMPUTED_VALUE"""),"Mamta Bansal")</f>
        <v>Mamta Bansal</v>
      </c>
      <c r="Z57" s="21" t="str">
        <f>IFERROR(__xludf.DUMMYFUNCTION("""COMPUTED_VALUE"""),"Mother")</f>
        <v>Mother</v>
      </c>
      <c r="AA57" s="21" t="str">
        <f>IFERROR(__xludf.DUMMYFUNCTION("""COMPUTED_VALUE"""),"Veg")</f>
        <v>Veg</v>
      </c>
      <c r="AB57" s="21" t="str">
        <f>IFERROR(__xludf.DUMMYFUNCTION("""COMPUTED_VALUE"""),"Veg")</f>
        <v>Veg</v>
      </c>
      <c r="AC57" s="21" t="str">
        <f>IFERROR(__xludf.DUMMYFUNCTION("""COMPUTED_VALUE"""),"Veg")</f>
        <v>Veg</v>
      </c>
      <c r="AD57" s="21" t="str">
        <f>IFERROR(__xludf.DUMMYFUNCTION("""COMPUTED_VALUE"""),"Bus Drop Service not needed")</f>
        <v>Bus Drop Service not needed</v>
      </c>
      <c r="AE57" s="21">
        <f>IFERROR(__xludf.DUMMYFUNCTION("""COMPUTED_VALUE"""),0.0)</f>
        <v>0</v>
      </c>
    </row>
    <row r="58" ht="22.5" customHeight="1">
      <c r="A58" s="18">
        <f>IFERROR(__xludf.DUMMYFUNCTION("""COMPUTED_VALUE"""),46265.6488611574)</f>
        <v>46265.64886</v>
      </c>
      <c r="B58" s="21" t="str">
        <f>IFERROR(__xludf.DUMMYFUNCTION("""COMPUTED_VALUE"""),"ajay.mbbs-2020@aiimskalyani.edu.in")</f>
        <v>ajay.mbbs-2020@aiimskalyani.edu.in</v>
      </c>
      <c r="C58" s="21" t="str">
        <f>IFERROR(__xludf.DUMMYFUNCTION("""COMPUTED_VALUE"""),"AJAY MOHAN ")</f>
        <v>AJAY MOHAN </v>
      </c>
      <c r="D58" s="21" t="str">
        <f>IFERROR(__xludf.DUMMYFUNCTION("""COMPUTED_VALUE"""),"116/202001166")</f>
        <v>116/202001166</v>
      </c>
      <c r="E58" s="21" t="str">
        <f>IFERROR(__xludf.DUMMYFUNCTION("""COMPUTED_VALUE"""),"MBBS 2020")</f>
        <v>MBBS 2020</v>
      </c>
      <c r="F58" s="21">
        <f>IFERROR(__xludf.DUMMYFUNCTION("""COMPUTED_VALUE"""),8.606642894E9)</f>
        <v>8606642894</v>
      </c>
      <c r="G58" s="21" t="str">
        <f>IFERROR(__xludf.DUMMYFUNCTION("""COMPUTED_VALUE"""),"ajay.mbbs-2020@aiimskalyani.edu.in")</f>
        <v>ajay.mbbs-2020@aiimskalyani.edu.in</v>
      </c>
      <c r="H58" s="21" t="str">
        <f>IFERROR(__xludf.DUMMYFUNCTION("""COMPUTED_VALUE"""),"Yes")</f>
        <v>Yes</v>
      </c>
      <c r="I58" s="21" t="str">
        <f>IFERROR(__xludf.DUMMYFUNCTION("""COMPUTED_VALUE"""),"Outdoor sports, playing chess and listening to music.")</f>
        <v>Outdoor sports, playing chess and listening to music.</v>
      </c>
      <c r="J58" s="21" t="str">
        <f>IFERROR(__xludf.DUMMYFUNCTION("""COMPUTED_VALUE"""),"Football,throwball,chess, carroms , volleyball/ won multiple awards for each in every year.")</f>
        <v>Football,throwball,chess, carroms , volleyball/ won multiple awards for each in every year.</v>
      </c>
      <c r="K58" s="21" t="str">
        <f>IFERROR(__xludf.DUMMYFUNCTION("""COMPUTED_VALUE"""),"KOLLAM")</f>
        <v>KOLLAM</v>
      </c>
      <c r="L58" s="22" t="str">
        <f>IFERROR(__xludf.DUMMYFUNCTION("""COMPUTED_VALUE"""),"https://drive.google.com/open?id=16SyqDdIfbnjIEjxl_lbS2zIR65AdIHHI")</f>
        <v>https://drive.google.com/open?id=16SyqDdIfbnjIEjxl_lbS2zIR65AdIHHI</v>
      </c>
      <c r="M58" s="22" t="str">
        <f>IFERROR(__xludf.DUMMYFUNCTION("""COMPUTED_VALUE"""),"https://drive.google.com/open?id=1Se8DrkIUwzWpWyzR-Igc_qlTBp5Mhxs0")</f>
        <v>https://drive.google.com/open?id=1Se8DrkIUwzWpWyzR-Igc_qlTBp5Mhxs0</v>
      </c>
      <c r="N58" s="21" t="str">
        <f>IFERROR(__xludf.DUMMYFUNCTION("""COMPUTED_VALUE"""),"MOHAN KUMAR T")</f>
        <v>MOHAN KUMAR T</v>
      </c>
      <c r="O58" s="21" t="str">
        <f>IFERROR(__xludf.DUMMYFUNCTION("""COMPUTED_VALUE"""),"RETIRED/MBA, BCOM")</f>
        <v>RETIRED/MBA, BCOM</v>
      </c>
      <c r="P58" s="21" t="str">
        <f>IFERROR(__xludf.DUMMYFUNCTION("""COMPUTED_VALUE"""),"KOLLAM")</f>
        <v>KOLLAM</v>
      </c>
      <c r="Q58" s="21">
        <f>IFERROR(__xludf.DUMMYFUNCTION("""COMPUTED_VALUE"""),9.447071531E9)</f>
        <v>9447071531</v>
      </c>
      <c r="R58" s="21" t="str">
        <f>IFERROR(__xludf.DUMMYFUNCTION("""COMPUTED_VALUE"""),"SREELATHA I")</f>
        <v>SREELATHA I</v>
      </c>
      <c r="S58" s="21" t="str">
        <f>IFERROR(__xludf.DUMMYFUNCTION("""COMPUTED_VALUE"""),"HOME MAKER/ BCOM")</f>
        <v>HOME MAKER/ BCOM</v>
      </c>
      <c r="T58" s="21" t="str">
        <f>IFERROR(__xludf.DUMMYFUNCTION("""COMPUTED_VALUE"""),"KOLLAM")</f>
        <v>KOLLAM</v>
      </c>
      <c r="U58" s="21">
        <f>IFERROR(__xludf.DUMMYFUNCTION("""COMPUTED_VALUE"""),9.074081562E9)</f>
        <v>9074081562</v>
      </c>
      <c r="V58" s="21">
        <f>IFERROR(__xludf.DUMMYFUNCTION("""COMPUTED_VALUE"""),2.0)</f>
        <v>2</v>
      </c>
      <c r="W58" s="21" t="str">
        <f>IFERROR(__xludf.DUMMYFUNCTION("""COMPUTED_VALUE"""),"MOHAN KUMAR T")</f>
        <v>MOHAN KUMAR T</v>
      </c>
      <c r="X58" s="21" t="str">
        <f>IFERROR(__xludf.DUMMYFUNCTION("""COMPUTED_VALUE"""),"FATHER ")</f>
        <v>FATHER </v>
      </c>
      <c r="Y58" s="21" t="str">
        <f>IFERROR(__xludf.DUMMYFUNCTION("""COMPUTED_VALUE"""),"SREELATHA I")</f>
        <v>SREELATHA I</v>
      </c>
      <c r="Z58" s="21" t="str">
        <f>IFERROR(__xludf.DUMMYFUNCTION("""COMPUTED_VALUE"""),"MOTHER")</f>
        <v>MOTHER</v>
      </c>
      <c r="AA58" s="21" t="str">
        <f>IFERROR(__xludf.DUMMYFUNCTION("""COMPUTED_VALUE"""),"Non-Veg")</f>
        <v>Non-Veg</v>
      </c>
      <c r="AB58" s="21" t="str">
        <f>IFERROR(__xludf.DUMMYFUNCTION("""COMPUTED_VALUE"""),"Non-Veg")</f>
        <v>Non-Veg</v>
      </c>
      <c r="AC58" s="21" t="str">
        <f>IFERROR(__xludf.DUMMYFUNCTION("""COMPUTED_VALUE"""),"Non-Veg")</f>
        <v>Non-Veg</v>
      </c>
      <c r="AD58" s="21" t="str">
        <f>IFERROR(__xludf.DUMMYFUNCTION("""COMPUTED_VALUE"""),"Drop at Kolkata Airport")</f>
        <v>Drop at Kolkata Airport</v>
      </c>
      <c r="AE58" s="21">
        <f>IFERROR(__xludf.DUMMYFUNCTION("""COMPUTED_VALUE"""),3.0)</f>
        <v>3</v>
      </c>
    </row>
    <row r="59" ht="22.5" customHeight="1">
      <c r="A59" s="18">
        <f>IFERROR(__xludf.DUMMYFUNCTION("""COMPUTED_VALUE"""),46265.64432767361)</f>
        <v>46265.64433</v>
      </c>
      <c r="B59" s="21" t="str">
        <f>IFERROR(__xludf.DUMMYFUNCTION("""COMPUTED_VALUE"""),"debmalya.mbbs-2020@aiimskalyani.edu.in")</f>
        <v>debmalya.mbbs-2020@aiimskalyani.edu.in</v>
      </c>
      <c r="C59" s="21" t="str">
        <f>IFERROR(__xludf.DUMMYFUNCTION("""COMPUTED_VALUE"""),"DEBMALYA BANERJEE ")</f>
        <v>DEBMALYA BANERJEE </v>
      </c>
      <c r="D59" s="21" t="str">
        <f>IFERROR(__xludf.DUMMYFUNCTION("""COMPUTED_VALUE"""),"42/ 20200192")</f>
        <v>42/ 20200192</v>
      </c>
      <c r="E59" s="21" t="str">
        <f>IFERROR(__xludf.DUMMYFUNCTION("""COMPUTED_VALUE"""),"MBBS 2020")</f>
        <v>MBBS 2020</v>
      </c>
      <c r="F59" s="21">
        <f>IFERROR(__xludf.DUMMYFUNCTION("""COMPUTED_VALUE"""),9.88394833E9)</f>
        <v>9883948330</v>
      </c>
      <c r="G59" s="21" t="str">
        <f>IFERROR(__xludf.DUMMYFUNCTION("""COMPUTED_VALUE"""),"debmalya.mbbs-2020@aiimskalyani.edu.in")</f>
        <v>debmalya.mbbs-2020@aiimskalyani.edu.in</v>
      </c>
      <c r="H59" s="21" t="str">
        <f>IFERROR(__xludf.DUMMYFUNCTION("""COMPUTED_VALUE"""),"Yes")</f>
        <v>Yes</v>
      </c>
      <c r="I59" s="21" t="str">
        <f>IFERROR(__xludf.DUMMYFUNCTION("""COMPUTED_VALUE"""),"Cricket")</f>
        <v>Cricket</v>
      </c>
      <c r="J59" s="21"/>
      <c r="K59" s="21" t="str">
        <f>IFERROR(__xludf.DUMMYFUNCTION("""COMPUTED_VALUE"""),"Burdwan")</f>
        <v>Burdwan</v>
      </c>
      <c r="L59" s="22" t="str">
        <f>IFERROR(__xludf.DUMMYFUNCTION("""COMPUTED_VALUE"""),"https://drive.google.com/open?id=1w0p1UgCZceHpl4zAHRlEDEs-mamWZRR0")</f>
        <v>https://drive.google.com/open?id=1w0p1UgCZceHpl4zAHRlEDEs-mamWZRR0</v>
      </c>
      <c r="M59" s="22" t="str">
        <f>IFERROR(__xludf.DUMMYFUNCTION("""COMPUTED_VALUE"""),"https://drive.google.com/open?id=1VypwVnmo6UgJ2Qmc_15cn-26yojIIqxW")</f>
        <v>https://drive.google.com/open?id=1VypwVnmo6UgJ2Qmc_15cn-26yojIIqxW</v>
      </c>
      <c r="N59" s="21" t="str">
        <f>IFERROR(__xludf.DUMMYFUNCTION("""COMPUTED_VALUE"""),"Debasis Banerjee ")</f>
        <v>Debasis Banerjee </v>
      </c>
      <c r="O59" s="21" t="str">
        <f>IFERROR(__xludf.DUMMYFUNCTION("""COMPUTED_VALUE"""),"Business")</f>
        <v>Business</v>
      </c>
      <c r="P59" s="21" t="str">
        <f>IFERROR(__xludf.DUMMYFUNCTION("""COMPUTED_VALUE"""),"Burdwan ")</f>
        <v>Burdwan </v>
      </c>
      <c r="Q59" s="21">
        <f>IFERROR(__xludf.DUMMYFUNCTION("""COMPUTED_VALUE"""),9.933403721E9)</f>
        <v>9933403721</v>
      </c>
      <c r="R59" s="21" t="str">
        <f>IFERROR(__xludf.DUMMYFUNCTION("""COMPUTED_VALUE"""),"Mala Banerjee")</f>
        <v>Mala Banerjee</v>
      </c>
      <c r="S59" s="21" t="str">
        <f>IFERROR(__xludf.DUMMYFUNCTION("""COMPUTED_VALUE"""),"Homemaker ")</f>
        <v>Homemaker </v>
      </c>
      <c r="T59" s="21" t="str">
        <f>IFERROR(__xludf.DUMMYFUNCTION("""COMPUTED_VALUE"""),"Burdwan")</f>
        <v>Burdwan</v>
      </c>
      <c r="U59" s="21">
        <f>IFERROR(__xludf.DUMMYFUNCTION("""COMPUTED_VALUE"""),7.908808593E9)</f>
        <v>7908808593</v>
      </c>
      <c r="V59" s="21">
        <f>IFERROR(__xludf.DUMMYFUNCTION("""COMPUTED_VALUE"""),2.0)</f>
        <v>2</v>
      </c>
      <c r="W59" s="21" t="str">
        <f>IFERROR(__xludf.DUMMYFUNCTION("""COMPUTED_VALUE"""),"Debasis Banerjee ")</f>
        <v>Debasis Banerjee </v>
      </c>
      <c r="X59" s="21" t="str">
        <f>IFERROR(__xludf.DUMMYFUNCTION("""COMPUTED_VALUE"""),"Father")</f>
        <v>Father</v>
      </c>
      <c r="Y59" s="21" t="str">
        <f>IFERROR(__xludf.DUMMYFUNCTION("""COMPUTED_VALUE"""),"Mala Banerjee ")</f>
        <v>Mala Banerjee </v>
      </c>
      <c r="Z59" s="21" t="str">
        <f>IFERROR(__xludf.DUMMYFUNCTION("""COMPUTED_VALUE"""),"Mother")</f>
        <v>Mother</v>
      </c>
      <c r="AA59" s="21" t="str">
        <f>IFERROR(__xludf.DUMMYFUNCTION("""COMPUTED_VALUE"""),"Non-Veg")</f>
        <v>Non-Veg</v>
      </c>
      <c r="AB59" s="21" t="str">
        <f>IFERROR(__xludf.DUMMYFUNCTION("""COMPUTED_VALUE"""),"Non-Veg")</f>
        <v>Non-Veg</v>
      </c>
      <c r="AC59" s="21" t="str">
        <f>IFERROR(__xludf.DUMMYFUNCTION("""COMPUTED_VALUE"""),"Veg")</f>
        <v>Veg</v>
      </c>
      <c r="AD59" s="21" t="str">
        <f>IFERROR(__xludf.DUMMYFUNCTION("""COMPUTED_VALUE"""),"Bus Drop Service not needed")</f>
        <v>Bus Drop Service not needed</v>
      </c>
      <c r="AE59" s="21">
        <f>IFERROR(__xludf.DUMMYFUNCTION("""COMPUTED_VALUE"""),0.0)</f>
        <v>0</v>
      </c>
    </row>
    <row r="60" ht="22.5" customHeight="1">
      <c r="A60" s="18">
        <f>IFERROR(__xludf.DUMMYFUNCTION("""COMPUTED_VALUE"""),46265.587196747685)</f>
        <v>46265.5872</v>
      </c>
      <c r="B60" s="21" t="str">
        <f>IFERROR(__xludf.DUMMYFUNCTION("""COMPUTED_VALUE"""),"druvan.mbbs-2020@aiimskalyani.edu.in")</f>
        <v>druvan.mbbs-2020@aiimskalyani.edu.in</v>
      </c>
      <c r="C60" s="21" t="str">
        <f>IFERROR(__xludf.DUMMYFUNCTION("""COMPUTED_VALUE"""),"DRUVAN J")</f>
        <v>DRUVAN J</v>
      </c>
      <c r="D60" s="21">
        <f>IFERROR(__xludf.DUMMYFUNCTION("""COMPUTED_VALUE"""),2.0200198E7)</f>
        <v>20200198</v>
      </c>
      <c r="E60" s="21" t="str">
        <f>IFERROR(__xludf.DUMMYFUNCTION("""COMPUTED_VALUE"""),"MBBS 2020")</f>
        <v>MBBS 2020</v>
      </c>
      <c r="F60" s="21">
        <f>IFERROR(__xludf.DUMMYFUNCTION("""COMPUTED_VALUE"""),7.558930045E9)</f>
        <v>7558930045</v>
      </c>
      <c r="G60" s="21" t="str">
        <f>IFERROR(__xludf.DUMMYFUNCTION("""COMPUTED_VALUE"""),"druvanj@gmail.com")</f>
        <v>druvanj@gmail.com</v>
      </c>
      <c r="H60" s="21" t="str">
        <f>IFERROR(__xludf.DUMMYFUNCTION("""COMPUTED_VALUE"""),"Yes")</f>
        <v>Yes</v>
      </c>
      <c r="I60" s="21"/>
      <c r="J60" s="21"/>
      <c r="K60" s="21" t="str">
        <f>IFERROR(__xludf.DUMMYFUNCTION("""COMPUTED_VALUE"""),"Malappuram")</f>
        <v>Malappuram</v>
      </c>
      <c r="L60" s="22" t="str">
        <f>IFERROR(__xludf.DUMMYFUNCTION("""COMPUTED_VALUE"""),"https://drive.google.com/open?id=1_Fws1n7UzAq40kmglexanOG1kBZE5KGi")</f>
        <v>https://drive.google.com/open?id=1_Fws1n7UzAq40kmglexanOG1kBZE5KGi</v>
      </c>
      <c r="M60" s="22" t="str">
        <f>IFERROR(__xludf.DUMMYFUNCTION("""COMPUTED_VALUE"""),"https://drive.google.com/open?id=1SV6HkHqvwbebo7ozYz_e03owDQxGPPt5")</f>
        <v>https://drive.google.com/open?id=1SV6HkHqvwbebo7ozYz_e03owDQxGPPt5</v>
      </c>
      <c r="N60" s="21" t="str">
        <f>IFERROR(__xludf.DUMMYFUNCTION("""COMPUTED_VALUE"""),"JayanDas  P P")</f>
        <v>JayanDas  P P</v>
      </c>
      <c r="O60" s="21" t="str">
        <f>IFERROR(__xludf.DUMMYFUNCTION("""COMPUTED_VALUE"""),"Senior Superintendent, Kerala State Electricity Board")</f>
        <v>Senior Superintendent, Kerala State Electricity Board</v>
      </c>
      <c r="P60" s="21" t="str">
        <f>IFERROR(__xludf.DUMMYFUNCTION("""COMPUTED_VALUE"""),"Malappuram")</f>
        <v>Malappuram</v>
      </c>
      <c r="Q60" s="21">
        <f>IFERROR(__xludf.DUMMYFUNCTION("""COMPUTED_VALUE"""),7.0121221E9)</f>
        <v>7012122100</v>
      </c>
      <c r="R60" s="21" t="str">
        <f>IFERROR(__xludf.DUMMYFUNCTION("""COMPUTED_VALUE"""),"Nisha Balachandran")</f>
        <v>Nisha Balachandran</v>
      </c>
      <c r="S60" s="21" t="str">
        <f>IFERROR(__xludf.DUMMYFUNCTION("""COMPUTED_VALUE"""),"Teacher, Ace public school")</f>
        <v>Teacher, Ace public school</v>
      </c>
      <c r="T60" s="21" t="str">
        <f>IFERROR(__xludf.DUMMYFUNCTION("""COMPUTED_VALUE"""),"Malappuram")</f>
        <v>Malappuram</v>
      </c>
      <c r="U60" s="21">
        <f>IFERROR(__xludf.DUMMYFUNCTION("""COMPUTED_VALUE"""),9.496460408E9)</f>
        <v>9496460408</v>
      </c>
      <c r="V60" s="21">
        <f>IFERROR(__xludf.DUMMYFUNCTION("""COMPUTED_VALUE"""),2.0)</f>
        <v>2</v>
      </c>
      <c r="W60" s="21" t="str">
        <f>IFERROR(__xludf.DUMMYFUNCTION("""COMPUTED_VALUE"""),"JayanDas P P")</f>
        <v>JayanDas P P</v>
      </c>
      <c r="X60" s="21" t="str">
        <f>IFERROR(__xludf.DUMMYFUNCTION("""COMPUTED_VALUE"""),"Father")</f>
        <v>Father</v>
      </c>
      <c r="Y60" s="21" t="str">
        <f>IFERROR(__xludf.DUMMYFUNCTION("""COMPUTED_VALUE"""),"Nisha Balachandran")</f>
        <v>Nisha Balachandran</v>
      </c>
      <c r="Z60" s="21" t="str">
        <f>IFERROR(__xludf.DUMMYFUNCTION("""COMPUTED_VALUE"""),"Mother")</f>
        <v>Mother</v>
      </c>
      <c r="AA60" s="21" t="str">
        <f>IFERROR(__xludf.DUMMYFUNCTION("""COMPUTED_VALUE"""),"Non-Veg")</f>
        <v>Non-Veg</v>
      </c>
      <c r="AB60" s="21" t="str">
        <f>IFERROR(__xludf.DUMMYFUNCTION("""COMPUTED_VALUE"""),"Non-Veg")</f>
        <v>Non-Veg</v>
      </c>
      <c r="AC60" s="21" t="str">
        <f>IFERROR(__xludf.DUMMYFUNCTION("""COMPUTED_VALUE"""),"Non-Veg")</f>
        <v>Non-Veg</v>
      </c>
      <c r="AD60" s="21" t="str">
        <f>IFERROR(__xludf.DUMMYFUNCTION("""COMPUTED_VALUE"""),"Bus Drop Service not needed")</f>
        <v>Bus Drop Service not needed</v>
      </c>
      <c r="AE60" s="21">
        <f>IFERROR(__xludf.DUMMYFUNCTION("""COMPUTED_VALUE"""),0.0)</f>
        <v>0</v>
      </c>
    </row>
    <row r="61" ht="22.5" customHeight="1">
      <c r="A61" s="18">
        <f>IFERROR(__xludf.DUMMYFUNCTION("""COMPUTED_VALUE"""),46265.51328320602)</f>
        <v>46265.51328</v>
      </c>
      <c r="B61" s="21" t="str">
        <f>IFERROR(__xludf.DUMMYFUNCTION("""COMPUTED_VALUE"""),"ritik.mbbs-2020@aiimskalyani.edu.in")</f>
        <v>ritik.mbbs-2020@aiimskalyani.edu.in</v>
      </c>
      <c r="C61" s="21" t="str">
        <f>IFERROR(__xludf.DUMMYFUNCTION("""COMPUTED_VALUE"""),"RITIK KOTHARI")</f>
        <v>RITIK KOTHARI</v>
      </c>
      <c r="D61" s="21">
        <f>IFERROR(__xludf.DUMMYFUNCTION("""COMPUTED_VALUE"""),2.02001126E8)</f>
        <v>202001126</v>
      </c>
      <c r="E61" s="21" t="str">
        <f>IFERROR(__xludf.DUMMYFUNCTION("""COMPUTED_VALUE"""),"MBBS 2020")</f>
        <v>MBBS 2020</v>
      </c>
      <c r="F61" s="21">
        <f>IFERROR(__xludf.DUMMYFUNCTION("""COMPUTED_VALUE"""),7.632894316E9)</f>
        <v>7632894316</v>
      </c>
      <c r="G61" s="21" t="str">
        <f>IFERROR(__xludf.DUMMYFUNCTION("""COMPUTED_VALUE"""),"ritikkotharigrd2000@gmail.com")</f>
        <v>ritikkotharigrd2000@gmail.com</v>
      </c>
      <c r="H61" s="21" t="str">
        <f>IFERROR(__xludf.DUMMYFUNCTION("""COMPUTED_VALUE"""),"Yes")</f>
        <v>Yes</v>
      </c>
      <c r="I61" s="21" t="str">
        <f>IFERROR(__xludf.DUMMYFUNCTION("""COMPUTED_VALUE"""),"travelling ,trekking, adventure activities and fitness.
Community engagement and doing health camps.
")</f>
        <v>travelling ,trekking, adventure activities and fitness.
Community engagement and doing health camps.
</v>
      </c>
      <c r="J61" s="21" t="str">
        <f>IFERROR(__xludf.DUMMYFUNCTION("""COMPUTED_VALUE"""),"Badminton &amp; trekking.")</f>
        <v>Badminton &amp; trekking.</v>
      </c>
      <c r="K61" s="21" t="str">
        <f>IFERROR(__xludf.DUMMYFUNCTION("""COMPUTED_VALUE"""),"Giridih")</f>
        <v>Giridih</v>
      </c>
      <c r="L61" s="22" t="str">
        <f>IFERROR(__xludf.DUMMYFUNCTION("""COMPUTED_VALUE"""),"https://drive.google.com/open?id=1wHZS8OrWJEM90wgdYvyFydCuzRS1HMFQ")</f>
        <v>https://drive.google.com/open?id=1wHZS8OrWJEM90wgdYvyFydCuzRS1HMFQ</v>
      </c>
      <c r="M61" s="22" t="str">
        <f>IFERROR(__xludf.DUMMYFUNCTION("""COMPUTED_VALUE"""),"https://drive.google.com/open?id=1sChepRzxmD6AOCZJfQ2_8-Wd-2_z2vfU")</f>
        <v>https://drive.google.com/open?id=1sChepRzxmD6AOCZJfQ2_8-Wd-2_z2vfU</v>
      </c>
      <c r="N61" s="21" t="str">
        <f>IFERROR(__xludf.DUMMYFUNCTION("""COMPUTED_VALUE"""),"Dilip saw")</f>
        <v>Dilip saw</v>
      </c>
      <c r="O61" s="21" t="str">
        <f>IFERROR(__xludf.DUMMYFUNCTION("""COMPUTED_VALUE"""),"Business")</f>
        <v>Business</v>
      </c>
      <c r="P61" s="21" t="str">
        <f>IFERROR(__xludf.DUMMYFUNCTION("""COMPUTED_VALUE"""),"Giridih")</f>
        <v>Giridih</v>
      </c>
      <c r="Q61" s="21">
        <f>IFERROR(__xludf.DUMMYFUNCTION("""COMPUTED_VALUE"""),9.934195982E9)</f>
        <v>9934195982</v>
      </c>
      <c r="R61" s="21" t="str">
        <f>IFERROR(__xludf.DUMMYFUNCTION("""COMPUTED_VALUE"""),"Geeta Devi")</f>
        <v>Geeta Devi</v>
      </c>
      <c r="S61" s="21" t="str">
        <f>IFERROR(__xludf.DUMMYFUNCTION("""COMPUTED_VALUE"""),"Housewife")</f>
        <v>Housewife</v>
      </c>
      <c r="T61" s="21" t="str">
        <f>IFERROR(__xludf.DUMMYFUNCTION("""COMPUTED_VALUE"""),"Giridih")</f>
        <v>Giridih</v>
      </c>
      <c r="U61" s="21">
        <f>IFERROR(__xludf.DUMMYFUNCTION("""COMPUTED_VALUE"""),7.06190087E9)</f>
        <v>7061900870</v>
      </c>
      <c r="V61" s="21">
        <f>IFERROR(__xludf.DUMMYFUNCTION("""COMPUTED_VALUE"""),2.0)</f>
        <v>2</v>
      </c>
      <c r="W61" s="21" t="str">
        <f>IFERROR(__xludf.DUMMYFUNCTION("""COMPUTED_VALUE"""),"Dilip saw ")</f>
        <v>Dilip saw </v>
      </c>
      <c r="X61" s="21" t="str">
        <f>IFERROR(__xludf.DUMMYFUNCTION("""COMPUTED_VALUE"""),"Father")</f>
        <v>Father</v>
      </c>
      <c r="Y61" s="21" t="str">
        <f>IFERROR(__xludf.DUMMYFUNCTION("""COMPUTED_VALUE"""),"Geeta Devi")</f>
        <v>Geeta Devi</v>
      </c>
      <c r="Z61" s="21" t="str">
        <f>IFERROR(__xludf.DUMMYFUNCTION("""COMPUTED_VALUE"""),"Mother")</f>
        <v>Mother</v>
      </c>
      <c r="AA61" s="21" t="str">
        <f>IFERROR(__xludf.DUMMYFUNCTION("""COMPUTED_VALUE"""),"Non-Veg")</f>
        <v>Non-Veg</v>
      </c>
      <c r="AB61" s="21" t="str">
        <f>IFERROR(__xludf.DUMMYFUNCTION("""COMPUTED_VALUE"""),"Non-Veg")</f>
        <v>Non-Veg</v>
      </c>
      <c r="AC61" s="21" t="str">
        <f>IFERROR(__xludf.DUMMYFUNCTION("""COMPUTED_VALUE"""),"Non-Veg")</f>
        <v>Non-Veg</v>
      </c>
      <c r="AD61" s="21" t="str">
        <f>IFERROR(__xludf.DUMMYFUNCTION("""COMPUTED_VALUE"""),"Drop at Kalyani Railway Station")</f>
        <v>Drop at Kalyani Railway Station</v>
      </c>
      <c r="AE61" s="21">
        <f>IFERROR(__xludf.DUMMYFUNCTION("""COMPUTED_VALUE"""),3.0)</f>
        <v>3</v>
      </c>
    </row>
    <row r="62" ht="22.5" customHeight="1">
      <c r="A62" s="18">
        <f>IFERROR(__xludf.DUMMYFUNCTION("""COMPUTED_VALUE"""),46265.513045555555)</f>
        <v>46265.51305</v>
      </c>
      <c r="B62" s="21" t="str">
        <f>IFERROR(__xludf.DUMMYFUNCTION("""COMPUTED_VALUE"""),"sudip.mbbs-2020@aiimskalyani.edu.in")</f>
        <v>sudip.mbbs-2020@aiimskalyani.edu.in</v>
      </c>
      <c r="C62" s="21" t="str">
        <f>IFERROR(__xludf.DUMMYFUNCTION("""COMPUTED_VALUE"""),"SUDIP CHATTERJEE")</f>
        <v>SUDIP CHATTERJEE</v>
      </c>
      <c r="D62" s="21" t="str">
        <f>IFERROR(__xludf.DUMMYFUNCTION("""COMPUTED_VALUE"""),"102/202001152")</f>
        <v>102/202001152</v>
      </c>
      <c r="E62" s="21" t="str">
        <f>IFERROR(__xludf.DUMMYFUNCTION("""COMPUTED_VALUE"""),"MBBS 2020")</f>
        <v>MBBS 2020</v>
      </c>
      <c r="F62" s="21">
        <f>IFERROR(__xludf.DUMMYFUNCTION("""COMPUTED_VALUE"""),8.116171221E9)</f>
        <v>8116171221</v>
      </c>
      <c r="G62" s="21" t="str">
        <f>IFERROR(__xludf.DUMMYFUNCTION("""COMPUTED_VALUE"""),"sudipchatterjee429@gmail.com")</f>
        <v>sudipchatterjee429@gmail.com</v>
      </c>
      <c r="H62" s="21" t="str">
        <f>IFERROR(__xludf.DUMMYFUNCTION("""COMPUTED_VALUE"""),"Yes")</f>
        <v>Yes</v>
      </c>
      <c r="I62" s="21" t="str">
        <f>IFERROR(__xludf.DUMMYFUNCTION("""COMPUTED_VALUE"""),"Drawing")</f>
        <v>Drawing</v>
      </c>
      <c r="J62" s="21"/>
      <c r="K62" s="21" t="str">
        <f>IFERROR(__xludf.DUMMYFUNCTION("""COMPUTED_VALUE"""),"Tarakeswar")</f>
        <v>Tarakeswar</v>
      </c>
      <c r="L62" s="22" t="str">
        <f>IFERROR(__xludf.DUMMYFUNCTION("""COMPUTED_VALUE"""),"https://drive.google.com/open?id=1A4XDVORt_CDsjhRF3DMaEsPZHR5ZnYcg")</f>
        <v>https://drive.google.com/open?id=1A4XDVORt_CDsjhRF3DMaEsPZHR5ZnYcg</v>
      </c>
      <c r="M62" s="22" t="str">
        <f>IFERROR(__xludf.DUMMYFUNCTION("""COMPUTED_VALUE"""),"https://drive.google.com/open?id=1-CT1lElOCOApOe8HcjXxEVMeahpqcT2L")</f>
        <v>https://drive.google.com/open?id=1-CT1lElOCOApOe8HcjXxEVMeahpqcT2L</v>
      </c>
      <c r="N62" s="21" t="str">
        <f>IFERROR(__xludf.DUMMYFUNCTION("""COMPUTED_VALUE"""),"RAGHUNATH CHATTERJEE")</f>
        <v>RAGHUNATH CHATTERJEE</v>
      </c>
      <c r="O62" s="21" t="str">
        <f>IFERROR(__xludf.DUMMYFUNCTION("""COMPUTED_VALUE"""),"Businessman")</f>
        <v>Businessman</v>
      </c>
      <c r="P62" s="21" t="str">
        <f>IFERROR(__xludf.DUMMYFUNCTION("""COMPUTED_VALUE"""),"Tarakeswar")</f>
        <v>Tarakeswar</v>
      </c>
      <c r="Q62" s="21">
        <f>IFERROR(__xludf.DUMMYFUNCTION("""COMPUTED_VALUE"""),9.339283518E9)</f>
        <v>9339283518</v>
      </c>
      <c r="R62" s="21" t="str">
        <f>IFERROR(__xludf.DUMMYFUNCTION("""COMPUTED_VALUE"""),"MANASI CHATTERJEE")</f>
        <v>MANASI CHATTERJEE</v>
      </c>
      <c r="S62" s="21" t="str">
        <f>IFERROR(__xludf.DUMMYFUNCTION("""COMPUTED_VALUE"""),"Housewife")</f>
        <v>Housewife</v>
      </c>
      <c r="T62" s="21" t="str">
        <f>IFERROR(__xludf.DUMMYFUNCTION("""COMPUTED_VALUE"""),"Tarakeswar")</f>
        <v>Tarakeswar</v>
      </c>
      <c r="U62" s="21">
        <f>IFERROR(__xludf.DUMMYFUNCTION("""COMPUTED_VALUE"""),8.670852689E9)</f>
        <v>8670852689</v>
      </c>
      <c r="V62" s="21">
        <f>IFERROR(__xludf.DUMMYFUNCTION("""COMPUTED_VALUE"""),2.0)</f>
        <v>2</v>
      </c>
      <c r="W62" s="21" t="str">
        <f>IFERROR(__xludf.DUMMYFUNCTION("""COMPUTED_VALUE"""),"RAGHUNATH CHATTERJEE ")</f>
        <v>RAGHUNATH CHATTERJEE </v>
      </c>
      <c r="X62" s="21" t="str">
        <f>IFERROR(__xludf.DUMMYFUNCTION("""COMPUTED_VALUE"""),"Father")</f>
        <v>Father</v>
      </c>
      <c r="Y62" s="21" t="str">
        <f>IFERROR(__xludf.DUMMYFUNCTION("""COMPUTED_VALUE"""),"MANASI CHATTERJEE ")</f>
        <v>MANASI CHATTERJEE </v>
      </c>
      <c r="Z62" s="21" t="str">
        <f>IFERROR(__xludf.DUMMYFUNCTION("""COMPUTED_VALUE"""),"Mother")</f>
        <v>Mother</v>
      </c>
      <c r="AA62" s="21" t="str">
        <f>IFERROR(__xludf.DUMMYFUNCTION("""COMPUTED_VALUE"""),"Non-Veg")</f>
        <v>Non-Veg</v>
      </c>
      <c r="AB62" s="21" t="str">
        <f>IFERROR(__xludf.DUMMYFUNCTION("""COMPUTED_VALUE"""),"Non-Veg")</f>
        <v>Non-Veg</v>
      </c>
      <c r="AC62" s="21" t="str">
        <f>IFERROR(__xludf.DUMMYFUNCTION("""COMPUTED_VALUE"""),"Non-Veg")</f>
        <v>Non-Veg</v>
      </c>
      <c r="AD62" s="21" t="str">
        <f>IFERROR(__xludf.DUMMYFUNCTION("""COMPUTED_VALUE"""),"Drop at Kalyani Railway Station")</f>
        <v>Drop at Kalyani Railway Station</v>
      </c>
      <c r="AE62" s="21">
        <f>IFERROR(__xludf.DUMMYFUNCTION("""COMPUTED_VALUE"""),3.0)</f>
        <v>3</v>
      </c>
    </row>
    <row r="63" ht="22.5" customHeight="1">
      <c r="A63" s="18">
        <f>IFERROR(__xludf.DUMMYFUNCTION("""COMPUTED_VALUE"""),46265.494035972224)</f>
        <v>46265.49404</v>
      </c>
      <c r="B63" s="21" t="str">
        <f>IFERROR(__xludf.DUMMYFUNCTION("""COMPUTED_VALUE"""),"murari.mbbs-2020@aiimskalyani.edu.in")</f>
        <v>murari.mbbs-2020@aiimskalyani.edu.in</v>
      </c>
      <c r="C63" s="21" t="str">
        <f>IFERROR(__xludf.DUMMYFUNCTION("""COMPUTED_VALUE"""),"MURARI SHARMA ")</f>
        <v>MURARI SHARMA </v>
      </c>
      <c r="D63" s="21">
        <f>IFERROR(__xludf.DUMMYFUNCTION("""COMPUTED_VALUE"""),2.02001173E8)</f>
        <v>202001173</v>
      </c>
      <c r="E63" s="21" t="str">
        <f>IFERROR(__xludf.DUMMYFUNCTION("""COMPUTED_VALUE"""),"MBBS 2020")</f>
        <v>MBBS 2020</v>
      </c>
      <c r="F63" s="21">
        <f>IFERROR(__xludf.DUMMYFUNCTION("""COMPUTED_VALUE"""),7.424949993E9)</f>
        <v>7424949993</v>
      </c>
      <c r="G63" s="21" t="str">
        <f>IFERROR(__xludf.DUMMYFUNCTION("""COMPUTED_VALUE"""),"sharmamd1405@gmail.com")</f>
        <v>sharmamd1405@gmail.com</v>
      </c>
      <c r="H63" s="21" t="str">
        <f>IFERROR(__xludf.DUMMYFUNCTION("""COMPUTED_VALUE"""),"Yes")</f>
        <v>Yes</v>
      </c>
      <c r="I63" s="21"/>
      <c r="J63" s="21" t="str">
        <f>IFERROR(__xludf.DUMMYFUNCTION("""COMPUTED_VALUE"""),"cricket and shotput ")</f>
        <v>cricket and shotput </v>
      </c>
      <c r="K63" s="21" t="str">
        <f>IFERROR(__xludf.DUMMYFUNCTION("""COMPUTED_VALUE"""),"jaipur ")</f>
        <v>jaipur </v>
      </c>
      <c r="L63" s="22" t="str">
        <f>IFERROR(__xludf.DUMMYFUNCTION("""COMPUTED_VALUE"""),"https://drive.google.com/open?id=1KQ-Xwv7YV4z_8uNWiPqxFY3is8juWUs-")</f>
        <v>https://drive.google.com/open?id=1KQ-Xwv7YV4z_8uNWiPqxFY3is8juWUs-</v>
      </c>
      <c r="M63" s="22" t="str">
        <f>IFERROR(__xludf.DUMMYFUNCTION("""COMPUTED_VALUE"""),"https://drive.google.com/open?id=1KyaLIdCt2MgshoIA4JrddZDP2txkUFS8")</f>
        <v>https://drive.google.com/open?id=1KyaLIdCt2MgshoIA4JrddZDP2txkUFS8</v>
      </c>
      <c r="N63" s="21" t="str">
        <f>IFERROR(__xludf.DUMMYFUNCTION("""COMPUTED_VALUE"""),"HANUMAN SAHAY SHARMA ")</f>
        <v>HANUMAN SAHAY SHARMA </v>
      </c>
      <c r="O63" s="21" t="str">
        <f>IFERROR(__xludf.DUMMYFUNCTION("""COMPUTED_VALUE"""),"businessman ")</f>
        <v>businessman </v>
      </c>
      <c r="P63" s="21" t="str">
        <f>IFERROR(__xludf.DUMMYFUNCTION("""COMPUTED_VALUE"""),"jaipur ")</f>
        <v>jaipur </v>
      </c>
      <c r="Q63" s="21">
        <f>IFERROR(__xludf.DUMMYFUNCTION("""COMPUTED_VALUE"""),9.829803332E9)</f>
        <v>9829803332</v>
      </c>
      <c r="R63" s="21" t="str">
        <f>IFERROR(__xludf.DUMMYFUNCTION("""COMPUTED_VALUE"""),"Raju Devi ")</f>
        <v>Raju Devi </v>
      </c>
      <c r="S63" s="21" t="str">
        <f>IFERROR(__xludf.DUMMYFUNCTION("""COMPUTED_VALUE"""),"N/a")</f>
        <v>N/a</v>
      </c>
      <c r="T63" s="21" t="str">
        <f>IFERROR(__xludf.DUMMYFUNCTION("""COMPUTED_VALUE"""),"jaipur ")</f>
        <v>jaipur </v>
      </c>
      <c r="U63" s="21">
        <f>IFERROR(__xludf.DUMMYFUNCTION("""COMPUTED_VALUE"""),9.950151856E9)</f>
        <v>9950151856</v>
      </c>
      <c r="V63" s="21">
        <f>IFERROR(__xludf.DUMMYFUNCTION("""COMPUTED_VALUE"""),0.0)</f>
        <v>0</v>
      </c>
      <c r="W63" s="21"/>
      <c r="X63" s="21"/>
      <c r="Y63" s="21"/>
      <c r="Z63" s="21"/>
      <c r="AA63" s="21" t="str">
        <f>IFERROR(__xludf.DUMMYFUNCTION("""COMPUTED_VALUE"""),"Veg")</f>
        <v>Veg</v>
      </c>
      <c r="AB63" s="21"/>
      <c r="AC63" s="21"/>
      <c r="AD63" s="21" t="str">
        <f>IFERROR(__xludf.DUMMYFUNCTION("""COMPUTED_VALUE"""),"Bus Drop Service not needed")</f>
        <v>Bus Drop Service not needed</v>
      </c>
      <c r="AE63" s="21">
        <f>IFERROR(__xludf.DUMMYFUNCTION("""COMPUTED_VALUE"""),0.0)</f>
        <v>0</v>
      </c>
    </row>
    <row r="64" ht="22.5" customHeight="1">
      <c r="A64" s="18">
        <f>IFERROR(__xludf.DUMMYFUNCTION("""COMPUTED_VALUE"""),46265.42724255787)</f>
        <v>46265.42724</v>
      </c>
      <c r="B64" s="21" t="str">
        <f>IFERROR(__xludf.DUMMYFUNCTION("""COMPUTED_VALUE"""),"sabita.mbbs-2020@aiimskalyani.edu.in")</f>
        <v>sabita.mbbs-2020@aiimskalyani.edu.in</v>
      </c>
      <c r="C64" s="21" t="str">
        <f>IFERROR(__xludf.DUMMYFUNCTION("""COMPUTED_VALUE"""),"SABITA MEHER")</f>
        <v>SABITA MEHER</v>
      </c>
      <c r="D64" s="21">
        <f>IFERROR(__xludf.DUMMYFUNCTION("""COMPUTED_VALUE"""),2.0200113E8)</f>
        <v>202001130</v>
      </c>
      <c r="E64" s="21" t="str">
        <f>IFERROR(__xludf.DUMMYFUNCTION("""COMPUTED_VALUE"""),"MBBS 2020")</f>
        <v>MBBS 2020</v>
      </c>
      <c r="F64" s="21">
        <f>IFERROR(__xludf.DUMMYFUNCTION("""COMPUTED_VALUE"""),8.260607752E9)</f>
        <v>8260607752</v>
      </c>
      <c r="G64" s="21" t="str">
        <f>IFERROR(__xludf.DUMMYFUNCTION("""COMPUTED_VALUE"""),"sabitameher054@gmail.com")</f>
        <v>sabitameher054@gmail.com</v>
      </c>
      <c r="H64" s="21" t="str">
        <f>IFERROR(__xludf.DUMMYFUNCTION("""COMPUTED_VALUE"""),"Yes")</f>
        <v>Yes</v>
      </c>
      <c r="I64" s="21" t="str">
        <f>IFERROR(__xludf.DUMMYFUNCTION("""COMPUTED_VALUE"""),"Painting")</f>
        <v>Painting</v>
      </c>
      <c r="J64" s="21" t="str">
        <f>IFERROR(__xludf.DUMMYFUNCTION("""COMPUTED_VALUE"""),"Badminton, Volleyball")</f>
        <v>Badminton, Volleyball</v>
      </c>
      <c r="K64" s="21" t="str">
        <f>IFERROR(__xludf.DUMMYFUNCTION("""COMPUTED_VALUE"""),"Duajhar, khariar , Nuapada , Odisha")</f>
        <v>Duajhar, khariar , Nuapada , Odisha</v>
      </c>
      <c r="L64" s="22" t="str">
        <f>IFERROR(__xludf.DUMMYFUNCTION("""COMPUTED_VALUE"""),"https://drive.google.com/open?id=1Awo4tkcxz5_bkVWxO7auydndnGz_goeX")</f>
        <v>https://drive.google.com/open?id=1Awo4tkcxz5_bkVWxO7auydndnGz_goeX</v>
      </c>
      <c r="M64" s="22" t="str">
        <f>IFERROR(__xludf.DUMMYFUNCTION("""COMPUTED_VALUE"""),"https://drive.google.com/open?id=1mq7q831Mr_qKEhpGM03-BNeH3VBL5AbI")</f>
        <v>https://drive.google.com/open?id=1mq7q831Mr_qKEhpGM03-BNeH3VBL5AbI</v>
      </c>
      <c r="N64" s="21" t="str">
        <f>IFERROR(__xludf.DUMMYFUNCTION("""COMPUTED_VALUE"""),"Bibatsa Meher")</f>
        <v>Bibatsa Meher</v>
      </c>
      <c r="O64" s="21" t="str">
        <f>IFERROR(__xludf.DUMMYFUNCTION("""COMPUTED_VALUE"""),"Teacher")</f>
        <v>Teacher</v>
      </c>
      <c r="P64" s="21" t="str">
        <f>IFERROR(__xludf.DUMMYFUNCTION("""COMPUTED_VALUE"""),"Duajhar, Khariar, Nuapada ,Odisha")</f>
        <v>Duajhar, Khariar, Nuapada ,Odisha</v>
      </c>
      <c r="Q64" s="21">
        <f>IFERROR(__xludf.DUMMYFUNCTION("""COMPUTED_VALUE"""),9.437725896E9)</f>
        <v>9437725896</v>
      </c>
      <c r="R64" s="21" t="str">
        <f>IFERROR(__xludf.DUMMYFUNCTION("""COMPUTED_VALUE"""),"Sanjukta Meher")</f>
        <v>Sanjukta Meher</v>
      </c>
      <c r="S64" s="21" t="str">
        <f>IFERROR(__xludf.DUMMYFUNCTION("""COMPUTED_VALUE"""),"Home maker")</f>
        <v>Home maker</v>
      </c>
      <c r="T64" s="21" t="str">
        <f>IFERROR(__xludf.DUMMYFUNCTION("""COMPUTED_VALUE"""),"Duajhar, Khariar, Nuapada ,Odisha")</f>
        <v>Duajhar, Khariar, Nuapada ,Odisha</v>
      </c>
      <c r="U64" s="21">
        <f>IFERROR(__xludf.DUMMYFUNCTION("""COMPUTED_VALUE"""),9.178614061E9)</f>
        <v>9178614061</v>
      </c>
      <c r="V64" s="21">
        <f>IFERROR(__xludf.DUMMYFUNCTION("""COMPUTED_VALUE"""),2.0)</f>
        <v>2</v>
      </c>
      <c r="W64" s="21" t="str">
        <f>IFERROR(__xludf.DUMMYFUNCTION("""COMPUTED_VALUE"""),"Sanjukta Meher")</f>
        <v>Sanjukta Meher</v>
      </c>
      <c r="X64" s="21" t="str">
        <f>IFERROR(__xludf.DUMMYFUNCTION("""COMPUTED_VALUE"""),"Mother")</f>
        <v>Mother</v>
      </c>
      <c r="Y64" s="21" t="str">
        <f>IFERROR(__xludf.DUMMYFUNCTION("""COMPUTED_VALUE"""),"Bibatsa Meher")</f>
        <v>Bibatsa Meher</v>
      </c>
      <c r="Z64" s="21" t="str">
        <f>IFERROR(__xludf.DUMMYFUNCTION("""COMPUTED_VALUE"""),"Father")</f>
        <v>Father</v>
      </c>
      <c r="AA64" s="21" t="str">
        <f>IFERROR(__xludf.DUMMYFUNCTION("""COMPUTED_VALUE"""),"Veg")</f>
        <v>Veg</v>
      </c>
      <c r="AB64" s="21" t="str">
        <f>IFERROR(__xludf.DUMMYFUNCTION("""COMPUTED_VALUE"""),"Veg")</f>
        <v>Veg</v>
      </c>
      <c r="AC64" s="21" t="str">
        <f>IFERROR(__xludf.DUMMYFUNCTION("""COMPUTED_VALUE"""),"Veg")</f>
        <v>Veg</v>
      </c>
      <c r="AD64" s="21" t="str">
        <f>IFERROR(__xludf.DUMMYFUNCTION("""COMPUTED_VALUE"""),"Bus Drop Service not needed")</f>
        <v>Bus Drop Service not needed</v>
      </c>
      <c r="AE64" s="21"/>
    </row>
    <row r="65" ht="22.5" customHeight="1">
      <c r="A65" s="18">
        <f>IFERROR(__xludf.DUMMYFUNCTION("""COMPUTED_VALUE"""),46265.398029108794)</f>
        <v>46265.39803</v>
      </c>
      <c r="B65" s="21" t="str">
        <f>IFERROR(__xludf.DUMMYFUNCTION("""COMPUTED_VALUE"""),"satyajeetrajmgr@gmail.com")</f>
        <v>satyajeetrajmgr@gmail.com</v>
      </c>
      <c r="C65" s="21" t="str">
        <f>IFERROR(__xludf.DUMMYFUNCTION("""COMPUTED_VALUE"""),"SATYAJEET RAJ ")</f>
        <v>SATYAJEET RAJ </v>
      </c>
      <c r="D65" s="21">
        <f>IFERROR(__xludf.DUMMYFUNCTION("""COMPUTED_VALUE"""),2.02001135E8)</f>
        <v>202001135</v>
      </c>
      <c r="E65" s="21" t="str">
        <f>IFERROR(__xludf.DUMMYFUNCTION("""COMPUTED_VALUE"""),"MBBS 2020")</f>
        <v>MBBS 2020</v>
      </c>
      <c r="F65" s="21">
        <f>IFERROR(__xludf.DUMMYFUNCTION("""COMPUTED_VALUE"""),7.564035942E9)</f>
        <v>7564035942</v>
      </c>
      <c r="G65" s="21" t="str">
        <f>IFERROR(__xludf.DUMMYFUNCTION("""COMPUTED_VALUE"""),"satyajeet.mbbs-2020@aiimskalyani.edu.in")</f>
        <v>satyajeet.mbbs-2020@aiimskalyani.edu.in</v>
      </c>
      <c r="H65" s="21" t="str">
        <f>IFERROR(__xludf.DUMMYFUNCTION("""COMPUTED_VALUE"""),"Yes")</f>
        <v>Yes</v>
      </c>
      <c r="I65" s="21" t="str">
        <f>IFERROR(__xludf.DUMMYFUNCTION("""COMPUTED_VALUE"""),"Playing cricket ")</f>
        <v>Playing cricket </v>
      </c>
      <c r="J65" s="21" t="str">
        <f>IFERROR(__xludf.DUMMYFUNCTION("""COMPUTED_VALUE"""),"ICMR STS completed ")</f>
        <v>ICMR STS completed </v>
      </c>
      <c r="K65" s="21" t="str">
        <f>IFERROR(__xludf.DUMMYFUNCTION("""COMPUTED_VALUE"""),"Munger ")</f>
        <v>Munger </v>
      </c>
      <c r="L65" s="22" t="str">
        <f>IFERROR(__xludf.DUMMYFUNCTION("""COMPUTED_VALUE"""),"https://drive.google.com/open?id=168MUPAft9nz3m2kjmj8i_54f5AFf1pyf")</f>
        <v>https://drive.google.com/open?id=168MUPAft9nz3m2kjmj8i_54f5AFf1pyf</v>
      </c>
      <c r="M65" s="22" t="str">
        <f>IFERROR(__xludf.DUMMYFUNCTION("""COMPUTED_VALUE"""),"https://drive.google.com/open?id=1BlByegnrRZoQ6dQfUCSXpHSMRgmp18KO")</f>
        <v>https://drive.google.com/open?id=1BlByegnrRZoQ6dQfUCSXpHSMRgmp18KO</v>
      </c>
      <c r="N65" s="21" t="str">
        <f>IFERROR(__xludf.DUMMYFUNCTION("""COMPUTED_VALUE"""),"Gopal Kumar ")</f>
        <v>Gopal Kumar </v>
      </c>
      <c r="O65" s="21" t="str">
        <f>IFERROR(__xludf.DUMMYFUNCTION("""COMPUTED_VALUE"""),"Government employee ")</f>
        <v>Government employee </v>
      </c>
      <c r="P65" s="21" t="str">
        <f>IFERROR(__xludf.DUMMYFUNCTION("""COMPUTED_VALUE"""),"Munger")</f>
        <v>Munger</v>
      </c>
      <c r="Q65" s="21">
        <f>IFERROR(__xludf.DUMMYFUNCTION("""COMPUTED_VALUE"""),9.63165648E9)</f>
        <v>9631656480</v>
      </c>
      <c r="R65" s="21" t="str">
        <f>IFERROR(__xludf.DUMMYFUNCTION("""COMPUTED_VALUE"""),"Soni Devi")</f>
        <v>Soni Devi</v>
      </c>
      <c r="S65" s="21" t="str">
        <f>IFERROR(__xludf.DUMMYFUNCTION("""COMPUTED_VALUE"""),"Housewife ")</f>
        <v>Housewife </v>
      </c>
      <c r="T65" s="21" t="str">
        <f>IFERROR(__xludf.DUMMYFUNCTION("""COMPUTED_VALUE"""),"Munger")</f>
        <v>Munger</v>
      </c>
      <c r="U65" s="21">
        <f>IFERROR(__xludf.DUMMYFUNCTION("""COMPUTED_VALUE"""),9.065179139E9)</f>
        <v>9065179139</v>
      </c>
      <c r="V65" s="21">
        <f>IFERROR(__xludf.DUMMYFUNCTION("""COMPUTED_VALUE"""),2.0)</f>
        <v>2</v>
      </c>
      <c r="W65" s="21" t="str">
        <f>IFERROR(__xludf.DUMMYFUNCTION("""COMPUTED_VALUE"""),"Soni Devi")</f>
        <v>Soni Devi</v>
      </c>
      <c r="X65" s="21" t="str">
        <f>IFERROR(__xludf.DUMMYFUNCTION("""COMPUTED_VALUE"""),"Mother")</f>
        <v>Mother</v>
      </c>
      <c r="Y65" s="21" t="str">
        <f>IFERROR(__xludf.DUMMYFUNCTION("""COMPUTED_VALUE"""),"Satyapriya Raj ")</f>
        <v>Satyapriya Raj </v>
      </c>
      <c r="Z65" s="21" t="str">
        <f>IFERROR(__xludf.DUMMYFUNCTION("""COMPUTED_VALUE"""),"Brother")</f>
        <v>Brother</v>
      </c>
      <c r="AA65" s="21" t="str">
        <f>IFERROR(__xludf.DUMMYFUNCTION("""COMPUTED_VALUE"""),"Non-Veg")</f>
        <v>Non-Veg</v>
      </c>
      <c r="AB65" s="21" t="str">
        <f>IFERROR(__xludf.DUMMYFUNCTION("""COMPUTED_VALUE"""),"Non-Veg")</f>
        <v>Non-Veg</v>
      </c>
      <c r="AC65" s="21" t="str">
        <f>IFERROR(__xludf.DUMMYFUNCTION("""COMPUTED_VALUE"""),"Non-Veg")</f>
        <v>Non-Veg</v>
      </c>
      <c r="AD65" s="21" t="str">
        <f>IFERROR(__xludf.DUMMYFUNCTION("""COMPUTED_VALUE"""),"Bus Drop Service not needed")</f>
        <v>Bus Drop Service not needed</v>
      </c>
      <c r="AE65" s="21"/>
    </row>
    <row r="66" ht="22.5" customHeight="1">
      <c r="A66" s="18">
        <f>IFERROR(__xludf.DUMMYFUNCTION("""COMPUTED_VALUE"""),46265.39387876158)</f>
        <v>46265.39388</v>
      </c>
      <c r="B66" s="21" t="str">
        <f>IFERROR(__xludf.DUMMYFUNCTION("""COMPUTED_VALUE"""),"aniket.mbbs-2020@aiimskalyani.edu.in")</f>
        <v>aniket.mbbs-2020@aiimskalyani.edu.in</v>
      </c>
      <c r="C66" s="21" t="str">
        <f>IFERROR(__xludf.DUMMYFUNCTION("""COMPUTED_VALUE"""),"ANIKET SARKAR")</f>
        <v>ANIKET SARKAR</v>
      </c>
      <c r="D66" s="21" t="str">
        <f>IFERROR(__xludf.DUMMYFUNCTION("""COMPUTED_VALUE"""),"16/ 20200166")</f>
        <v>16/ 20200166</v>
      </c>
      <c r="E66" s="21" t="str">
        <f>IFERROR(__xludf.DUMMYFUNCTION("""COMPUTED_VALUE"""),"MBBS 2020")</f>
        <v>MBBS 2020</v>
      </c>
      <c r="F66" s="21">
        <f>IFERROR(__xludf.DUMMYFUNCTION("""COMPUTED_VALUE"""),9.547483864E9)</f>
        <v>9547483864</v>
      </c>
      <c r="G66" s="21" t="str">
        <f>IFERROR(__xludf.DUMMYFUNCTION("""COMPUTED_VALUE"""),"aniket.mbbs-2020@aiimskalyani.edu.in")</f>
        <v>aniket.mbbs-2020@aiimskalyani.edu.in</v>
      </c>
      <c r="H66" s="21" t="str">
        <f>IFERROR(__xludf.DUMMYFUNCTION("""COMPUTED_VALUE"""),"Yes")</f>
        <v>Yes</v>
      </c>
      <c r="I66" s="21" t="str">
        <f>IFERROR(__xludf.DUMMYFUNCTION("""COMPUTED_VALUE"""),"Trekking ")</f>
        <v>Trekking </v>
      </c>
      <c r="J66" s="21" t="str">
        <f>IFERROR(__xludf.DUMMYFUNCTION("""COMPUTED_VALUE"""),"Nil")</f>
        <v>Nil</v>
      </c>
      <c r="K66" s="21" t="str">
        <f>IFERROR(__xludf.DUMMYFUNCTION("""COMPUTED_VALUE"""),"Haldia ")</f>
        <v>Haldia </v>
      </c>
      <c r="L66" s="22" t="str">
        <f>IFERROR(__xludf.DUMMYFUNCTION("""COMPUTED_VALUE"""),"https://drive.google.com/open?id=1bEWCSfyhLSa7C1kgtitoPCS8bkIuBpmf")</f>
        <v>https://drive.google.com/open?id=1bEWCSfyhLSa7C1kgtitoPCS8bkIuBpmf</v>
      </c>
      <c r="M66" s="22" t="str">
        <f>IFERROR(__xludf.DUMMYFUNCTION("""COMPUTED_VALUE"""),"https://drive.google.com/open?id=1a8yvFYEqjTFWSGtX0ctxOqXemjricIEX")</f>
        <v>https://drive.google.com/open?id=1a8yvFYEqjTFWSGtX0ctxOqXemjricIEX</v>
      </c>
      <c r="N66" s="21" t="str">
        <f>IFERROR(__xludf.DUMMYFUNCTION("""COMPUTED_VALUE"""),"BARUN KUMAR SARKAR")</f>
        <v>BARUN KUMAR SARKAR</v>
      </c>
      <c r="O66" s="21" t="str">
        <f>IFERROR(__xludf.DUMMYFUNCTION("""COMPUTED_VALUE"""),"Retired govt. Employee")</f>
        <v>Retired govt. Employee</v>
      </c>
      <c r="P66" s="21" t="str">
        <f>IFERROR(__xludf.DUMMYFUNCTION("""COMPUTED_VALUE"""),"Haldia ")</f>
        <v>Haldia </v>
      </c>
      <c r="Q66" s="21">
        <f>IFERROR(__xludf.DUMMYFUNCTION("""COMPUTED_VALUE"""),9.434087023E9)</f>
        <v>9434087023</v>
      </c>
      <c r="R66" s="21" t="str">
        <f>IFERROR(__xludf.DUMMYFUNCTION("""COMPUTED_VALUE"""),"Rinku Sarkar")</f>
        <v>Rinku Sarkar</v>
      </c>
      <c r="S66" s="21" t="str">
        <f>IFERROR(__xludf.DUMMYFUNCTION("""COMPUTED_VALUE"""),"Govt. School teacher")</f>
        <v>Govt. School teacher</v>
      </c>
      <c r="T66" s="21" t="str">
        <f>IFERROR(__xludf.DUMMYFUNCTION("""COMPUTED_VALUE"""),"Haldia ")</f>
        <v>Haldia </v>
      </c>
      <c r="U66" s="21">
        <f>IFERROR(__xludf.DUMMYFUNCTION("""COMPUTED_VALUE"""),9.474068198E9)</f>
        <v>9474068198</v>
      </c>
      <c r="V66" s="21">
        <f>IFERROR(__xludf.DUMMYFUNCTION("""COMPUTED_VALUE"""),2.0)</f>
        <v>2</v>
      </c>
      <c r="W66" s="21" t="str">
        <f>IFERROR(__xludf.DUMMYFUNCTION("""COMPUTED_VALUE"""),"Barun Kumar Sarkar")</f>
        <v>Barun Kumar Sarkar</v>
      </c>
      <c r="X66" s="21" t="str">
        <f>IFERROR(__xludf.DUMMYFUNCTION("""COMPUTED_VALUE"""),"Father")</f>
        <v>Father</v>
      </c>
      <c r="Y66" s="21" t="str">
        <f>IFERROR(__xludf.DUMMYFUNCTION("""COMPUTED_VALUE"""),"Rinku Sarkar")</f>
        <v>Rinku Sarkar</v>
      </c>
      <c r="Z66" s="21" t="str">
        <f>IFERROR(__xludf.DUMMYFUNCTION("""COMPUTED_VALUE"""),"Mother")</f>
        <v>Mother</v>
      </c>
      <c r="AA66" s="21" t="str">
        <f>IFERROR(__xludf.DUMMYFUNCTION("""COMPUTED_VALUE"""),"Non-Veg")</f>
        <v>Non-Veg</v>
      </c>
      <c r="AB66" s="21" t="str">
        <f>IFERROR(__xludf.DUMMYFUNCTION("""COMPUTED_VALUE"""),"Non-Veg")</f>
        <v>Non-Veg</v>
      </c>
      <c r="AC66" s="21" t="str">
        <f>IFERROR(__xludf.DUMMYFUNCTION("""COMPUTED_VALUE"""),"Veg")</f>
        <v>Veg</v>
      </c>
      <c r="AD66" s="21" t="str">
        <f>IFERROR(__xludf.DUMMYFUNCTION("""COMPUTED_VALUE"""),"Bus Drop Service not needed")</f>
        <v>Bus Drop Service not needed</v>
      </c>
      <c r="AE66" s="21">
        <f>IFERROR(__xludf.DUMMYFUNCTION("""COMPUTED_VALUE"""),0.0)</f>
        <v>0</v>
      </c>
    </row>
    <row r="67" ht="22.5" customHeight="1">
      <c r="A67" s="18">
        <f>IFERROR(__xludf.DUMMYFUNCTION("""COMPUTED_VALUE"""),46265.39331462963)</f>
        <v>46265.39331</v>
      </c>
      <c r="B67" s="21" t="str">
        <f>IFERROR(__xludf.DUMMYFUNCTION("""COMPUTED_VALUE"""),"anusree.mbbs-2020@aiimskalyani.edu.in")</f>
        <v>anusree.mbbs-2020@aiimskalyani.edu.in</v>
      </c>
      <c r="C67" s="21" t="str">
        <f>IFERROR(__xludf.DUMMYFUNCTION("""COMPUTED_VALUE"""),"ANUSREE JAYAN")</f>
        <v>ANUSREE JAYAN</v>
      </c>
      <c r="D67" s="21">
        <f>IFERROR(__xludf.DUMMYFUNCTION("""COMPUTED_VALUE"""),2.0200172E7)</f>
        <v>20200172</v>
      </c>
      <c r="E67" s="21" t="str">
        <f>IFERROR(__xludf.DUMMYFUNCTION("""COMPUTED_VALUE"""),"MBBS 2020")</f>
        <v>MBBS 2020</v>
      </c>
      <c r="F67" s="21">
        <f>IFERROR(__xludf.DUMMYFUNCTION("""COMPUTED_VALUE"""),7.510692429E9)</f>
        <v>7510692429</v>
      </c>
      <c r="G67" s="21" t="str">
        <f>IFERROR(__xludf.DUMMYFUNCTION("""COMPUTED_VALUE"""),"anusreejayan77@gmail.com")</f>
        <v>anusreejayan77@gmail.com</v>
      </c>
      <c r="H67" s="21" t="str">
        <f>IFERROR(__xludf.DUMMYFUNCTION("""COMPUTED_VALUE"""),"Yes")</f>
        <v>Yes</v>
      </c>
      <c r="I67" s="21" t="str">
        <f>IFERROR(__xludf.DUMMYFUNCTION("""COMPUTED_VALUE"""),"Music-vocals, movies")</f>
        <v>Music-vocals, movies</v>
      </c>
      <c r="J67" s="21"/>
      <c r="K67" s="21" t="str">
        <f>IFERROR(__xludf.DUMMYFUNCTION("""COMPUTED_VALUE"""),"Edappal, Kerala ")</f>
        <v>Edappal, Kerala </v>
      </c>
      <c r="L67" s="22" t="str">
        <f>IFERROR(__xludf.DUMMYFUNCTION("""COMPUTED_VALUE"""),"https://drive.google.com/open?id=11TxnwfocD6eDqSWk_1PNN0MI2jyrL5ZS")</f>
        <v>https://drive.google.com/open?id=11TxnwfocD6eDqSWk_1PNN0MI2jyrL5ZS</v>
      </c>
      <c r="M67" s="22" t="str">
        <f>IFERROR(__xludf.DUMMYFUNCTION("""COMPUTED_VALUE"""),"https://drive.google.com/open?id=1friM3Un9sYBrvVFof6J8GyRDWrPBGbVU")</f>
        <v>https://drive.google.com/open?id=1friM3Un9sYBrvVFof6J8GyRDWrPBGbVU</v>
      </c>
      <c r="N67" s="21" t="str">
        <f>IFERROR(__xludf.DUMMYFUNCTION("""COMPUTED_VALUE"""),"Jayan k k")</f>
        <v>Jayan k k</v>
      </c>
      <c r="O67" s="21" t="str">
        <f>IFERROR(__xludf.DUMMYFUNCTION("""COMPUTED_VALUE"""),"Boat mechanic")</f>
        <v>Boat mechanic</v>
      </c>
      <c r="P67" s="21" t="str">
        <f>IFERROR(__xludf.DUMMYFUNCTION("""COMPUTED_VALUE"""),"Palakkad, kerala")</f>
        <v>Palakkad, kerala</v>
      </c>
      <c r="Q67" s="21">
        <f>IFERROR(__xludf.DUMMYFUNCTION("""COMPUTED_VALUE"""),9.048595467E9)</f>
        <v>9048595467</v>
      </c>
      <c r="R67" s="21" t="str">
        <f>IFERROR(__xludf.DUMMYFUNCTION("""COMPUTED_VALUE"""),"Ranjini jayan ")</f>
        <v>Ranjini jayan </v>
      </c>
      <c r="S67" s="21" t="str">
        <f>IFERROR(__xludf.DUMMYFUNCTION("""COMPUTED_VALUE"""),"Homemaker ")</f>
        <v>Homemaker </v>
      </c>
      <c r="T67" s="21" t="str">
        <f>IFERROR(__xludf.DUMMYFUNCTION("""COMPUTED_VALUE"""),"Ponnani, Kerala")</f>
        <v>Ponnani, Kerala</v>
      </c>
      <c r="U67" s="21">
        <f>IFERROR(__xludf.DUMMYFUNCTION("""COMPUTED_VALUE"""),9.961177429E9)</f>
        <v>9961177429</v>
      </c>
      <c r="V67" s="21">
        <f>IFERROR(__xludf.DUMMYFUNCTION("""COMPUTED_VALUE"""),2.0)</f>
        <v>2</v>
      </c>
      <c r="W67" s="21" t="str">
        <f>IFERROR(__xludf.DUMMYFUNCTION("""COMPUTED_VALUE"""),"Ranjini Jayan")</f>
        <v>Ranjini Jayan</v>
      </c>
      <c r="X67" s="21" t="str">
        <f>IFERROR(__xludf.DUMMYFUNCTION("""COMPUTED_VALUE"""),"Mother")</f>
        <v>Mother</v>
      </c>
      <c r="Y67" s="21" t="str">
        <f>IFERROR(__xludf.DUMMYFUNCTION("""COMPUTED_VALUE"""),"Jayan K K")</f>
        <v>Jayan K K</v>
      </c>
      <c r="Z67" s="21" t="str">
        <f>IFERROR(__xludf.DUMMYFUNCTION("""COMPUTED_VALUE"""),"Father")</f>
        <v>Father</v>
      </c>
      <c r="AA67" s="21" t="str">
        <f>IFERROR(__xludf.DUMMYFUNCTION("""COMPUTED_VALUE"""),"Non-Veg")</f>
        <v>Non-Veg</v>
      </c>
      <c r="AB67" s="21" t="str">
        <f>IFERROR(__xludf.DUMMYFUNCTION("""COMPUTED_VALUE"""),"Non-Veg")</f>
        <v>Non-Veg</v>
      </c>
      <c r="AC67" s="21" t="str">
        <f>IFERROR(__xludf.DUMMYFUNCTION("""COMPUTED_VALUE"""),"Non-Veg")</f>
        <v>Non-Veg</v>
      </c>
      <c r="AD67" s="21" t="str">
        <f>IFERROR(__xludf.DUMMYFUNCTION("""COMPUTED_VALUE"""),"Bus Drop Service not needed")</f>
        <v>Bus Drop Service not needed</v>
      </c>
      <c r="AE67" s="21">
        <f>IFERROR(__xludf.DUMMYFUNCTION("""COMPUTED_VALUE"""),0.0)</f>
        <v>0</v>
      </c>
    </row>
    <row r="68" ht="22.5" customHeight="1">
      <c r="A68" s="18">
        <f>IFERROR(__xludf.DUMMYFUNCTION("""COMPUTED_VALUE"""),46265.39031640046)</f>
        <v>46265.39032</v>
      </c>
      <c r="B68" s="21" t="str">
        <f>IFERROR(__xludf.DUMMYFUNCTION("""COMPUTED_VALUE"""),"vikash.mbbs-2020@aiimskalyani.edu.in")</f>
        <v>vikash.mbbs-2020@aiimskalyani.edu.in</v>
      </c>
      <c r="C68" s="21" t="str">
        <f>IFERROR(__xludf.DUMMYFUNCTION("""COMPUTED_VALUE"""),"VIKASH KUMAR RAI ")</f>
        <v>VIKASH KUMAR RAI </v>
      </c>
      <c r="D68" s="21" t="str">
        <f>IFERROR(__xludf.DUMMYFUNCTION("""COMPUTED_VALUE"""),"111/202001161")</f>
        <v>111/202001161</v>
      </c>
      <c r="E68" s="21" t="str">
        <f>IFERROR(__xludf.DUMMYFUNCTION("""COMPUTED_VALUE"""),"MBBS 2020")</f>
        <v>MBBS 2020</v>
      </c>
      <c r="F68" s="21">
        <f>IFERROR(__xludf.DUMMYFUNCTION("""COMPUTED_VALUE"""),9.546802465E9)</f>
        <v>9546802465</v>
      </c>
      <c r="G68" s="21" t="str">
        <f>IFERROR(__xludf.DUMMYFUNCTION("""COMPUTED_VALUE"""),"vikash.mbbs-2020@aiimskalyani.edu.in")</f>
        <v>vikash.mbbs-2020@aiimskalyani.edu.in</v>
      </c>
      <c r="H68" s="21" t="str">
        <f>IFERROR(__xludf.DUMMYFUNCTION("""COMPUTED_VALUE"""),"Yes")</f>
        <v>Yes</v>
      </c>
      <c r="I68" s="21" t="str">
        <f>IFERROR(__xludf.DUMMYFUNCTION("""COMPUTED_VALUE"""),"Playing cricket ,watching movies ")</f>
        <v>Playing cricket ,watching movies </v>
      </c>
      <c r="J68" s="21" t="str">
        <f>IFERROR(__xludf.DUMMYFUNCTION("""COMPUTED_VALUE"""),"STS 2023 awardee.published 5 research papers during MBBS.")</f>
        <v>STS 2023 awardee.published 5 research papers during MBBS.</v>
      </c>
      <c r="K68" s="21" t="str">
        <f>IFERROR(__xludf.DUMMYFUNCTION("""COMPUTED_VALUE"""),"Pokhrera,Taraiya ,Saran ,841424 ,Bihar ")</f>
        <v>Pokhrera,Taraiya ,Saran ,841424 ,Bihar </v>
      </c>
      <c r="L68" s="22" t="str">
        <f>IFERROR(__xludf.DUMMYFUNCTION("""COMPUTED_VALUE"""),"https://drive.google.com/open?id=1xoY71ouDAOV0jnsCI692BaKWbhCiZL-r")</f>
        <v>https://drive.google.com/open?id=1xoY71ouDAOV0jnsCI692BaKWbhCiZL-r</v>
      </c>
      <c r="M68" s="22" t="str">
        <f>IFERROR(__xludf.DUMMYFUNCTION("""COMPUTED_VALUE"""),"https://drive.google.com/open?id=1CpvOYOqC8OXeTRFmNioCrYg3_7hSZ39Q")</f>
        <v>https://drive.google.com/open?id=1CpvOYOqC8OXeTRFmNioCrYg3_7hSZ39Q</v>
      </c>
      <c r="N68" s="21" t="str">
        <f>IFERROR(__xludf.DUMMYFUNCTION("""COMPUTED_VALUE"""),"Brahma Deo Rai")</f>
        <v>Brahma Deo Rai</v>
      </c>
      <c r="O68" s="21" t="str">
        <f>IFERROR(__xludf.DUMMYFUNCTION("""COMPUTED_VALUE"""),"Business/graduate ")</f>
        <v>Business/graduate </v>
      </c>
      <c r="P68" s="21" t="str">
        <f>IFERROR(__xludf.DUMMYFUNCTION("""COMPUTED_VALUE"""),"Pokhrera ,Taraiya ,Saran ")</f>
        <v>Pokhrera ,Taraiya ,Saran </v>
      </c>
      <c r="Q68" s="21">
        <f>IFERROR(__xludf.DUMMYFUNCTION("""COMPUTED_VALUE"""),9.939257994E9)</f>
        <v>9939257994</v>
      </c>
      <c r="R68" s="21" t="str">
        <f>IFERROR(__xludf.DUMMYFUNCTION("""COMPUTED_VALUE"""),"Sushila devi ")</f>
        <v>Sushila devi </v>
      </c>
      <c r="S68" s="21" t="str">
        <f>IFERROR(__xludf.DUMMYFUNCTION("""COMPUTED_VALUE"""),"Homemaker /graduate ")</f>
        <v>Homemaker /graduate </v>
      </c>
      <c r="T68" s="21" t="str">
        <f>IFERROR(__xludf.DUMMYFUNCTION("""COMPUTED_VALUE"""),"Pokhrera ,Taraiya ,Saran ")</f>
        <v>Pokhrera ,Taraiya ,Saran </v>
      </c>
      <c r="U68" s="21">
        <f>IFERROR(__xludf.DUMMYFUNCTION("""COMPUTED_VALUE"""),9.939257994E9)</f>
        <v>9939257994</v>
      </c>
      <c r="V68" s="21">
        <f>IFERROR(__xludf.DUMMYFUNCTION("""COMPUTED_VALUE"""),2.0)</f>
        <v>2</v>
      </c>
      <c r="W68" s="21" t="str">
        <f>IFERROR(__xludf.DUMMYFUNCTION("""COMPUTED_VALUE"""),"Brahma Deo Rai ")</f>
        <v>Brahma Deo Rai </v>
      </c>
      <c r="X68" s="21" t="str">
        <f>IFERROR(__xludf.DUMMYFUNCTION("""COMPUTED_VALUE"""),"Father ")</f>
        <v>Father </v>
      </c>
      <c r="Y68" s="21" t="str">
        <f>IFERROR(__xludf.DUMMYFUNCTION("""COMPUTED_VALUE"""),"Sushila devi ")</f>
        <v>Sushila devi </v>
      </c>
      <c r="Z68" s="21" t="str">
        <f>IFERROR(__xludf.DUMMYFUNCTION("""COMPUTED_VALUE"""),"Mother ")</f>
        <v>Mother </v>
      </c>
      <c r="AA68" s="21" t="str">
        <f>IFERROR(__xludf.DUMMYFUNCTION("""COMPUTED_VALUE"""),"Non-Veg")</f>
        <v>Non-Veg</v>
      </c>
      <c r="AB68" s="21" t="str">
        <f>IFERROR(__xludf.DUMMYFUNCTION("""COMPUTED_VALUE"""),"Non-Veg")</f>
        <v>Non-Veg</v>
      </c>
      <c r="AC68" s="21" t="str">
        <f>IFERROR(__xludf.DUMMYFUNCTION("""COMPUTED_VALUE"""),"Non-Veg")</f>
        <v>Non-Veg</v>
      </c>
      <c r="AD68" s="21" t="str">
        <f>IFERROR(__xludf.DUMMYFUNCTION("""COMPUTED_VALUE"""),"Bus Drop Service not needed")</f>
        <v>Bus Drop Service not needed</v>
      </c>
      <c r="AE68" s="21"/>
    </row>
    <row r="69" ht="22.5" customHeight="1">
      <c r="A69" s="18">
        <f>IFERROR(__xludf.DUMMYFUNCTION("""COMPUTED_VALUE"""),46265.3801097338)</f>
        <v>46265.38011</v>
      </c>
      <c r="B69" s="21" t="str">
        <f>IFERROR(__xludf.DUMMYFUNCTION("""COMPUTED_VALUE"""),"pinki.bscnursing-2021@aiimskalyani.edu.in")</f>
        <v>pinki.bscnursing-2021@aiimskalyani.edu.in</v>
      </c>
      <c r="C69" s="21" t="str">
        <f>IFERROR(__xludf.DUMMYFUNCTION("""COMPUTED_VALUE"""),"Pinki Sharma ")</f>
        <v>Pinki Sharma </v>
      </c>
      <c r="D69" s="21">
        <f>IFERROR(__xludf.DUMMYFUNCTION("""COMPUTED_VALUE"""),2.0210235E7)</f>
        <v>20210235</v>
      </c>
      <c r="E69" s="21" t="str">
        <f>IFERROR(__xludf.DUMMYFUNCTION("""COMPUTED_VALUE"""),"B.Sc (Hons) Nursing 2021")</f>
        <v>B.Sc (Hons) Nursing 2021</v>
      </c>
      <c r="F69" s="21">
        <f>IFERROR(__xludf.DUMMYFUNCTION("""COMPUTED_VALUE"""),9.667437706E9)</f>
        <v>9667437706</v>
      </c>
      <c r="G69" s="21" t="str">
        <f>IFERROR(__xludf.DUMMYFUNCTION("""COMPUTED_VALUE"""),"pinkisharma.sant1996@gmail.com")</f>
        <v>pinkisharma.sant1996@gmail.com</v>
      </c>
      <c r="H69" s="21" t="str">
        <f>IFERROR(__xludf.DUMMYFUNCTION("""COMPUTED_VALUE"""),"Yes")</f>
        <v>Yes</v>
      </c>
      <c r="I69" s="21" t="str">
        <f>IFERROR(__xludf.DUMMYFUNCTION("""COMPUTED_VALUE"""),"Readings Books, Dancing, playing badminton and chess")</f>
        <v>Readings Books, Dancing, playing badminton and chess</v>
      </c>
      <c r="J69" s="21" t="str">
        <f>IFERROR(__xludf.DUMMYFUNCTION("""COMPUTED_VALUE"""),"Badminton, carrom board, throw ball, volleyball. ")</f>
        <v>Badminton, carrom board, throw ball, volleyball. </v>
      </c>
      <c r="K69" s="21" t="str">
        <f>IFERROR(__xludf.DUMMYFUNCTION("""COMPUTED_VALUE"""),"Delhi")</f>
        <v>Delhi</v>
      </c>
      <c r="L69" s="22" t="str">
        <f>IFERROR(__xludf.DUMMYFUNCTION("""COMPUTED_VALUE"""),"https://drive.google.com/open?id=1XKI2Baf5gNkEr1iZrUKPaRUYFstDA3Qt")</f>
        <v>https://drive.google.com/open?id=1XKI2Baf5gNkEr1iZrUKPaRUYFstDA3Qt</v>
      </c>
      <c r="M69" s="22" t="str">
        <f>IFERROR(__xludf.DUMMYFUNCTION("""COMPUTED_VALUE"""),"https://drive.google.com/open?id=1IBGikWQEp1XJ6egww1BRi--KEzxk-557")</f>
        <v>https://drive.google.com/open?id=1IBGikWQEp1XJ6egww1BRi--KEzxk-557</v>
      </c>
      <c r="N69" s="21" t="str">
        <f>IFERROR(__xludf.DUMMYFUNCTION("""COMPUTED_VALUE"""),"Mr. Inderlal Sharma ")</f>
        <v>Mr. Inderlal Sharma </v>
      </c>
      <c r="O69" s="21" t="str">
        <f>IFERROR(__xludf.DUMMYFUNCTION("""COMPUTED_VALUE"""),"NA")</f>
        <v>NA</v>
      </c>
      <c r="P69" s="21" t="str">
        <f>IFERROR(__xludf.DUMMYFUNCTION("""COMPUTED_VALUE"""),"NA")</f>
        <v>NA</v>
      </c>
      <c r="Q69" s="21">
        <f>IFERROR(__xludf.DUMMYFUNCTION("""COMPUTED_VALUE"""),9.718560787E9)</f>
        <v>9718560787</v>
      </c>
      <c r="R69" s="21" t="str">
        <f>IFERROR(__xludf.DUMMYFUNCTION("""COMPUTED_VALUE"""),"Mrs. Santoshi Devi ")</f>
        <v>Mrs. Santoshi Devi </v>
      </c>
      <c r="S69" s="21" t="str">
        <f>IFERROR(__xludf.DUMMYFUNCTION("""COMPUTED_VALUE"""),"NA")</f>
        <v>NA</v>
      </c>
      <c r="T69" s="21" t="str">
        <f>IFERROR(__xludf.DUMMYFUNCTION("""COMPUTED_VALUE"""),"NA")</f>
        <v>NA</v>
      </c>
      <c r="U69" s="21">
        <f>IFERROR(__xludf.DUMMYFUNCTION("""COMPUTED_VALUE"""),9.718560787E9)</f>
        <v>9718560787</v>
      </c>
      <c r="V69" s="21">
        <f>IFERROR(__xludf.DUMMYFUNCTION("""COMPUTED_VALUE"""),2.0)</f>
        <v>2</v>
      </c>
      <c r="W69" s="21" t="str">
        <f>IFERROR(__xludf.DUMMYFUNCTION("""COMPUTED_VALUE"""),"Ms. Babita ")</f>
        <v>Ms. Babita </v>
      </c>
      <c r="X69" s="21" t="str">
        <f>IFERROR(__xludf.DUMMYFUNCTION("""COMPUTED_VALUE"""),"Sister ")</f>
        <v>Sister </v>
      </c>
      <c r="Y69" s="21" t="str">
        <f>IFERROR(__xludf.DUMMYFUNCTION("""COMPUTED_VALUE"""),"Mr. Birendra Sharma ")</f>
        <v>Mr. Birendra Sharma </v>
      </c>
      <c r="Z69" s="21" t="str">
        <f>IFERROR(__xludf.DUMMYFUNCTION("""COMPUTED_VALUE"""),"Uncle ")</f>
        <v>Uncle </v>
      </c>
      <c r="AA69" s="21" t="str">
        <f>IFERROR(__xludf.DUMMYFUNCTION("""COMPUTED_VALUE"""),"Veg")</f>
        <v>Veg</v>
      </c>
      <c r="AB69" s="21" t="str">
        <f>IFERROR(__xludf.DUMMYFUNCTION("""COMPUTED_VALUE"""),"Veg")</f>
        <v>Veg</v>
      </c>
      <c r="AC69" s="21" t="str">
        <f>IFERROR(__xludf.DUMMYFUNCTION("""COMPUTED_VALUE"""),"Veg")</f>
        <v>Veg</v>
      </c>
      <c r="AD69" s="21" t="str">
        <f>IFERROR(__xludf.DUMMYFUNCTION("""COMPUTED_VALUE"""),"Bus Drop Service not needed")</f>
        <v>Bus Drop Service not needed</v>
      </c>
      <c r="AE69" s="21">
        <f>IFERROR(__xludf.DUMMYFUNCTION("""COMPUTED_VALUE"""),0.0)</f>
        <v>0</v>
      </c>
    </row>
    <row r="70" ht="22.5" customHeight="1">
      <c r="A70" s="18">
        <f>IFERROR(__xludf.DUMMYFUNCTION("""COMPUTED_VALUE"""),46265.33354774305)</f>
        <v>46265.33355</v>
      </c>
      <c r="B70" s="21" t="str">
        <f>IFERROR(__xludf.DUMMYFUNCTION("""COMPUTED_VALUE"""),"ayantika.bscnursing-2021@aiimskalyani.edu.in")</f>
        <v>ayantika.bscnursing-2021@aiimskalyani.edu.in</v>
      </c>
      <c r="C70" s="21" t="str">
        <f>IFERROR(__xludf.DUMMYFUNCTION("""COMPUTED_VALUE"""),"AYANTIKA HALDER ")</f>
        <v>AYANTIKA HALDER </v>
      </c>
      <c r="D70" s="21">
        <f>IFERROR(__xludf.DUMMYFUNCTION("""COMPUTED_VALUE"""),2.0210206E7)</f>
        <v>20210206</v>
      </c>
      <c r="E70" s="21" t="str">
        <f>IFERROR(__xludf.DUMMYFUNCTION("""COMPUTED_VALUE"""),"B.Sc (Hons) Nursing 2021")</f>
        <v>B.Sc (Hons) Nursing 2021</v>
      </c>
      <c r="F70" s="21">
        <f>IFERROR(__xludf.DUMMYFUNCTION("""COMPUTED_VALUE"""),7.81081631E9)</f>
        <v>7810816310</v>
      </c>
      <c r="G70" s="21" t="str">
        <f>IFERROR(__xludf.DUMMYFUNCTION("""COMPUTED_VALUE"""),"halderayantika834@gmail.com")</f>
        <v>halderayantika834@gmail.com</v>
      </c>
      <c r="H70" s="21" t="str">
        <f>IFERROR(__xludf.DUMMYFUNCTION("""COMPUTED_VALUE"""),"Yes")</f>
        <v>Yes</v>
      </c>
      <c r="I70" s="21" t="str">
        <f>IFERROR(__xludf.DUMMYFUNCTION("""COMPUTED_VALUE"""),"Love to dance and enjoy reading novels ")</f>
        <v>Love to dance and enjoy reading novels </v>
      </c>
      <c r="J70" s="21"/>
      <c r="K70" s="21" t="str">
        <f>IFERROR(__xludf.DUMMYFUNCTION("""COMPUTED_VALUE"""),"Bongaon")</f>
        <v>Bongaon</v>
      </c>
      <c r="L70" s="22" t="str">
        <f>IFERROR(__xludf.DUMMYFUNCTION("""COMPUTED_VALUE"""),"https://drive.google.com/open?id=1iMoknamzIQ9diAvGFUIaGMMJery5lbRU")</f>
        <v>https://drive.google.com/open?id=1iMoknamzIQ9diAvGFUIaGMMJery5lbRU</v>
      </c>
      <c r="M70" s="22" t="str">
        <f>IFERROR(__xludf.DUMMYFUNCTION("""COMPUTED_VALUE"""),"https://drive.google.com/open?id=1-d9UM3yHrHbdgzbXE3mwQ3JHXULrUIMX")</f>
        <v>https://drive.google.com/open?id=1-d9UM3yHrHbdgzbXE3mwQ3JHXULrUIMX</v>
      </c>
      <c r="N70" s="21" t="str">
        <f>IFERROR(__xludf.DUMMYFUNCTION("""COMPUTED_VALUE"""),"Kartik Halder ")</f>
        <v>Kartik Halder </v>
      </c>
      <c r="O70" s="21" t="str">
        <f>IFERROR(__xludf.DUMMYFUNCTION("""COMPUTED_VALUE"""),"Teacher ")</f>
        <v>Teacher </v>
      </c>
      <c r="P70" s="21" t="str">
        <f>IFERROR(__xludf.DUMMYFUNCTION("""COMPUTED_VALUE"""),"Bongaon ")</f>
        <v>Bongaon </v>
      </c>
      <c r="Q70" s="21">
        <f>IFERROR(__xludf.DUMMYFUNCTION("""COMPUTED_VALUE"""),8.967582609E9)</f>
        <v>8967582609</v>
      </c>
      <c r="R70" s="21" t="str">
        <f>IFERROR(__xludf.DUMMYFUNCTION("""COMPUTED_VALUE"""),"Sangita Halder ")</f>
        <v>Sangita Halder </v>
      </c>
      <c r="S70" s="21" t="str">
        <f>IFERROR(__xludf.DUMMYFUNCTION("""COMPUTED_VALUE"""),"Homemaker ")</f>
        <v>Homemaker </v>
      </c>
      <c r="T70" s="21" t="str">
        <f>IFERROR(__xludf.DUMMYFUNCTION("""COMPUTED_VALUE"""),"Bongaon ")</f>
        <v>Bongaon </v>
      </c>
      <c r="U70" s="21">
        <f>IFERROR(__xludf.DUMMYFUNCTION("""COMPUTED_VALUE"""),8.967488416E9)</f>
        <v>8967488416</v>
      </c>
      <c r="V70" s="21">
        <f>IFERROR(__xludf.DUMMYFUNCTION("""COMPUTED_VALUE"""),2.0)</f>
        <v>2</v>
      </c>
      <c r="W70" s="21" t="str">
        <f>IFERROR(__xludf.DUMMYFUNCTION("""COMPUTED_VALUE"""),"Kartik Halder ")</f>
        <v>Kartik Halder </v>
      </c>
      <c r="X70" s="21" t="str">
        <f>IFERROR(__xludf.DUMMYFUNCTION("""COMPUTED_VALUE"""),"Father ")</f>
        <v>Father </v>
      </c>
      <c r="Y70" s="21" t="str">
        <f>IFERROR(__xludf.DUMMYFUNCTION("""COMPUTED_VALUE"""),"Sangita Halder ")</f>
        <v>Sangita Halder </v>
      </c>
      <c r="Z70" s="21" t="str">
        <f>IFERROR(__xludf.DUMMYFUNCTION("""COMPUTED_VALUE"""),"Mother ")</f>
        <v>Mother </v>
      </c>
      <c r="AA70" s="21" t="str">
        <f>IFERROR(__xludf.DUMMYFUNCTION("""COMPUTED_VALUE"""),"Non-Veg")</f>
        <v>Non-Veg</v>
      </c>
      <c r="AB70" s="21" t="str">
        <f>IFERROR(__xludf.DUMMYFUNCTION("""COMPUTED_VALUE"""),"Non-Veg")</f>
        <v>Non-Veg</v>
      </c>
      <c r="AC70" s="21" t="str">
        <f>IFERROR(__xludf.DUMMYFUNCTION("""COMPUTED_VALUE"""),"Non-Veg")</f>
        <v>Non-Veg</v>
      </c>
      <c r="AD70" s="21" t="str">
        <f>IFERROR(__xludf.DUMMYFUNCTION("""COMPUTED_VALUE"""),"Bus Drop Service not needed")</f>
        <v>Bus Drop Service not needed</v>
      </c>
      <c r="AE70" s="21">
        <f>IFERROR(__xludf.DUMMYFUNCTION("""COMPUTED_VALUE"""),0.0)</f>
        <v>0</v>
      </c>
    </row>
    <row r="71" ht="22.5" customHeight="1">
      <c r="A71" s="18">
        <f>IFERROR(__xludf.DUMMYFUNCTION("""COMPUTED_VALUE"""),46265.322078599536)</f>
        <v>46265.32208</v>
      </c>
      <c r="B71" s="21" t="str">
        <f>IFERROR(__xludf.DUMMYFUNCTION("""COMPUTED_VALUE"""),"swastik.mbbs-2020@aiimskalyani.edu.in")</f>
        <v>swastik.mbbs-2020@aiimskalyani.edu.in</v>
      </c>
      <c r="C71" s="21" t="str">
        <f>IFERROR(__xludf.DUMMYFUNCTION("""COMPUTED_VALUE"""),"SWASTIK TRIPATHY")</f>
        <v>SWASTIK TRIPATHY</v>
      </c>
      <c r="D71" s="21" t="str">
        <f>IFERROR(__xludf.DUMMYFUNCTION("""COMPUTED_VALUE"""),"104 / 202001154")</f>
        <v>104 / 202001154</v>
      </c>
      <c r="E71" s="21" t="str">
        <f>IFERROR(__xludf.DUMMYFUNCTION("""COMPUTED_VALUE"""),"MBBS 2020")</f>
        <v>MBBS 2020</v>
      </c>
      <c r="F71" s="21">
        <f>IFERROR(__xludf.DUMMYFUNCTION("""COMPUTED_VALUE"""),7.604052975E9)</f>
        <v>7604052975</v>
      </c>
      <c r="G71" s="21" t="str">
        <f>IFERROR(__xludf.DUMMYFUNCTION("""COMPUTED_VALUE"""),"swastik.mbbs-2020@aiimskalyani.edu.in")</f>
        <v>swastik.mbbs-2020@aiimskalyani.edu.in</v>
      </c>
      <c r="H71" s="21" t="str">
        <f>IFERROR(__xludf.DUMMYFUNCTION("""COMPUTED_VALUE"""),"Yes")</f>
        <v>Yes</v>
      </c>
      <c r="I71" s="21" t="str">
        <f>IFERROR(__xludf.DUMMYFUNCTION("""COMPUTED_VALUE"""),"Playing tabla, rail travel, WW2 history")</f>
        <v>Playing tabla, rail travel, WW2 history</v>
      </c>
      <c r="J71" s="21"/>
      <c r="K71" s="21" t="str">
        <f>IFERROR(__xludf.DUMMYFUNCTION("""COMPUTED_VALUE"""),"Bhubaneswar")</f>
        <v>Bhubaneswar</v>
      </c>
      <c r="L71" s="22" t="str">
        <f>IFERROR(__xludf.DUMMYFUNCTION("""COMPUTED_VALUE"""),"https://drive.google.com/open?id=1FlQgY3Scj_y3_BUa8Skrlka4aRvx9rXi")</f>
        <v>https://drive.google.com/open?id=1FlQgY3Scj_y3_BUa8Skrlka4aRvx9rXi</v>
      </c>
      <c r="M71" s="22" t="str">
        <f>IFERROR(__xludf.DUMMYFUNCTION("""COMPUTED_VALUE"""),"https://drive.google.com/open?id=1nwJLxBaIq1O7GAOlDLWaU8w59li6tz1W")</f>
        <v>https://drive.google.com/open?id=1nwJLxBaIq1O7GAOlDLWaU8w59li6tz1W</v>
      </c>
      <c r="N71" s="21" t="str">
        <f>IFERROR(__xludf.DUMMYFUNCTION("""COMPUTED_VALUE"""),"MANOJ KUMAR TRIPATHY")</f>
        <v>MANOJ KUMAR TRIPATHY</v>
      </c>
      <c r="O71" s="21" t="str">
        <f>IFERROR(__xludf.DUMMYFUNCTION("""COMPUTED_VALUE"""),"LIC HFL")</f>
        <v>LIC HFL</v>
      </c>
      <c r="P71" s="21" t="str">
        <f>IFERROR(__xludf.DUMMYFUNCTION("""COMPUTED_VALUE"""),"BHUBANESWAR")</f>
        <v>BHUBANESWAR</v>
      </c>
      <c r="Q71" s="21">
        <f>IFERROR(__xludf.DUMMYFUNCTION("""COMPUTED_VALUE"""),9.836819135E9)</f>
        <v>9836819135</v>
      </c>
      <c r="R71" s="21" t="str">
        <f>IFERROR(__xludf.DUMMYFUNCTION("""COMPUTED_VALUE"""),"SWAGATIKA SARANGI")</f>
        <v>SWAGATIKA SARANGI</v>
      </c>
      <c r="S71" s="21" t="str">
        <f>IFERROR(__xludf.DUMMYFUNCTION("""COMPUTED_VALUE"""),"HOMEMAKER")</f>
        <v>HOMEMAKER</v>
      </c>
      <c r="T71" s="21" t="str">
        <f>IFERROR(__xludf.DUMMYFUNCTION("""COMPUTED_VALUE"""),"BHUBANESWAR")</f>
        <v>BHUBANESWAR</v>
      </c>
      <c r="U71" s="21">
        <f>IFERROR(__xludf.DUMMYFUNCTION("""COMPUTED_VALUE"""),9.831525908E9)</f>
        <v>9831525908</v>
      </c>
      <c r="V71" s="21">
        <f>IFERROR(__xludf.DUMMYFUNCTION("""COMPUTED_VALUE"""),2.0)</f>
        <v>2</v>
      </c>
      <c r="W71" s="21" t="str">
        <f>IFERROR(__xludf.DUMMYFUNCTION("""COMPUTED_VALUE"""),"MANOJ KUMAR TRIPATHY")</f>
        <v>MANOJ KUMAR TRIPATHY</v>
      </c>
      <c r="X71" s="21" t="str">
        <f>IFERROR(__xludf.DUMMYFUNCTION("""COMPUTED_VALUE"""),"FATHER")</f>
        <v>FATHER</v>
      </c>
      <c r="Y71" s="21" t="str">
        <f>IFERROR(__xludf.DUMMYFUNCTION("""COMPUTED_VALUE"""),"SWAGATIKA SARANGI")</f>
        <v>SWAGATIKA SARANGI</v>
      </c>
      <c r="Z71" s="21" t="str">
        <f>IFERROR(__xludf.DUMMYFUNCTION("""COMPUTED_VALUE"""),"MOTHER")</f>
        <v>MOTHER</v>
      </c>
      <c r="AA71" s="21" t="str">
        <f>IFERROR(__xludf.DUMMYFUNCTION("""COMPUTED_VALUE"""),"Non-Veg")</f>
        <v>Non-Veg</v>
      </c>
      <c r="AB71" s="21" t="str">
        <f>IFERROR(__xludf.DUMMYFUNCTION("""COMPUTED_VALUE"""),"Non-Veg")</f>
        <v>Non-Veg</v>
      </c>
      <c r="AC71" s="21" t="str">
        <f>IFERROR(__xludf.DUMMYFUNCTION("""COMPUTED_VALUE"""),"Non-Veg")</f>
        <v>Non-Veg</v>
      </c>
      <c r="AD71" s="21" t="str">
        <f>IFERROR(__xludf.DUMMYFUNCTION("""COMPUTED_VALUE"""),"Bus Drop Service not needed")</f>
        <v>Bus Drop Service not needed</v>
      </c>
      <c r="AE71" s="21"/>
    </row>
    <row r="72" ht="22.5" customHeight="1">
      <c r="A72" s="18">
        <f>IFERROR(__xludf.DUMMYFUNCTION("""COMPUTED_VALUE"""),46265.19043809028)</f>
        <v>46265.19044</v>
      </c>
      <c r="B72" s="21" t="str">
        <f>IFERROR(__xludf.DUMMYFUNCTION("""COMPUTED_VALUE"""),"varuna.mbbs-2020@aiimskalyani.edu.in")</f>
        <v>varuna.mbbs-2020@aiimskalyani.edu.in</v>
      </c>
      <c r="C72" s="21" t="str">
        <f>IFERROR(__xludf.DUMMYFUNCTION("""COMPUTED_VALUE"""),"VARUNA VINOD A ")</f>
        <v>VARUNA VINOD A </v>
      </c>
      <c r="D72" s="21">
        <f>IFERROR(__xludf.DUMMYFUNCTION("""COMPUTED_VALUE"""),2.0200116E8)</f>
        <v>202001160</v>
      </c>
      <c r="E72" s="21" t="str">
        <f>IFERROR(__xludf.DUMMYFUNCTION("""COMPUTED_VALUE"""),"MBBS 2020")</f>
        <v>MBBS 2020</v>
      </c>
      <c r="F72" s="21">
        <f>IFERROR(__xludf.DUMMYFUNCTION("""COMPUTED_VALUE"""),9.65675673E9)</f>
        <v>9656756730</v>
      </c>
      <c r="G72" s="21" t="str">
        <f>IFERROR(__xludf.DUMMYFUNCTION("""COMPUTED_VALUE"""),"iamvaruna20@gmail.com")</f>
        <v>iamvaruna20@gmail.com</v>
      </c>
      <c r="H72" s="21" t="str">
        <f>IFERROR(__xludf.DUMMYFUNCTION("""COMPUTED_VALUE"""),"Yes")</f>
        <v>Yes</v>
      </c>
      <c r="I72" s="21" t="str">
        <f>IFERROR(__xludf.DUMMYFUNCTION("""COMPUTED_VALUE"""),"Loves dancing and drawing ")</f>
        <v>Loves dancing and drawing </v>
      </c>
      <c r="J72" s="21"/>
      <c r="K72" s="21" t="str">
        <f>IFERROR(__xludf.DUMMYFUNCTION("""COMPUTED_VALUE"""),"Kerala")</f>
        <v>Kerala</v>
      </c>
      <c r="L72" s="22" t="str">
        <f>IFERROR(__xludf.DUMMYFUNCTION("""COMPUTED_VALUE"""),"https://drive.google.com/open?id=1ubA8C6KPdYXJpYtv38xpnDxhKGsA9lTF")</f>
        <v>https://drive.google.com/open?id=1ubA8C6KPdYXJpYtv38xpnDxhKGsA9lTF</v>
      </c>
      <c r="M72" s="22" t="str">
        <f>IFERROR(__xludf.DUMMYFUNCTION("""COMPUTED_VALUE"""),"https://drive.google.com/open?id=1h13cIXFRqFSwxteOs7r-i-vAcmAhm6-6")</f>
        <v>https://drive.google.com/open?id=1h13cIXFRqFSwxteOs7r-i-vAcmAhm6-6</v>
      </c>
      <c r="N72" s="21" t="str">
        <f>IFERROR(__xludf.DUMMYFUNCTION("""COMPUTED_VALUE"""),"VINOD ")</f>
        <v>VINOD </v>
      </c>
      <c r="O72" s="21" t="str">
        <f>IFERROR(__xludf.DUMMYFUNCTION("""COMPUTED_VALUE"""),"Ex soldier ")</f>
        <v>Ex soldier </v>
      </c>
      <c r="P72" s="21" t="str">
        <f>IFERROR(__xludf.DUMMYFUNCTION("""COMPUTED_VALUE"""),"Kerala")</f>
        <v>Kerala</v>
      </c>
      <c r="Q72" s="21">
        <f>IFERROR(__xludf.DUMMYFUNCTION("""COMPUTED_VALUE"""),9.744691019E9)</f>
        <v>9744691019</v>
      </c>
      <c r="R72" s="21" t="str">
        <f>IFERROR(__xludf.DUMMYFUNCTION("""COMPUTED_VALUE"""),"AJITHA")</f>
        <v>AJITHA</v>
      </c>
      <c r="S72" s="21" t="str">
        <f>IFERROR(__xludf.DUMMYFUNCTION("""COMPUTED_VALUE"""),"Teacher")</f>
        <v>Teacher</v>
      </c>
      <c r="T72" s="21" t="str">
        <f>IFERROR(__xludf.DUMMYFUNCTION("""COMPUTED_VALUE"""),"Kerala")</f>
        <v>Kerala</v>
      </c>
      <c r="U72" s="21">
        <f>IFERROR(__xludf.DUMMYFUNCTION("""COMPUTED_VALUE"""),8.11384862E9)</f>
        <v>8113848620</v>
      </c>
      <c r="V72" s="21">
        <f>IFERROR(__xludf.DUMMYFUNCTION("""COMPUTED_VALUE"""),2.0)</f>
        <v>2</v>
      </c>
      <c r="W72" s="21" t="str">
        <f>IFERROR(__xludf.DUMMYFUNCTION("""COMPUTED_VALUE"""),"Varnna Vinod A")</f>
        <v>Varnna Vinod A</v>
      </c>
      <c r="X72" s="21" t="str">
        <f>IFERROR(__xludf.DUMMYFUNCTION("""COMPUTED_VALUE"""),"Sister ")</f>
        <v>Sister </v>
      </c>
      <c r="Y72" s="21" t="str">
        <f>IFERROR(__xludf.DUMMYFUNCTION("""COMPUTED_VALUE"""),"Dr gowri")</f>
        <v>Dr gowri</v>
      </c>
      <c r="Z72" s="21" t="str">
        <f>IFERROR(__xludf.DUMMYFUNCTION("""COMPUTED_VALUE"""),"Sister ")</f>
        <v>Sister </v>
      </c>
      <c r="AA72" s="21" t="str">
        <f>IFERROR(__xludf.DUMMYFUNCTION("""COMPUTED_VALUE"""),"Non-Veg")</f>
        <v>Non-Veg</v>
      </c>
      <c r="AB72" s="21" t="str">
        <f>IFERROR(__xludf.DUMMYFUNCTION("""COMPUTED_VALUE"""),"Non-Veg")</f>
        <v>Non-Veg</v>
      </c>
      <c r="AC72" s="21" t="str">
        <f>IFERROR(__xludf.DUMMYFUNCTION("""COMPUTED_VALUE"""),"Non-Veg")</f>
        <v>Non-Veg</v>
      </c>
      <c r="AD72" s="21" t="str">
        <f>IFERROR(__xludf.DUMMYFUNCTION("""COMPUTED_VALUE"""),"Drop at Kolkata Airport")</f>
        <v>Drop at Kolkata Airport</v>
      </c>
      <c r="AE72" s="21">
        <f>IFERROR(__xludf.DUMMYFUNCTION("""COMPUTED_VALUE"""),1.0)</f>
        <v>1</v>
      </c>
    </row>
    <row r="73" ht="22.5" customHeight="1">
      <c r="A73" s="18">
        <f>IFERROR(__xludf.DUMMYFUNCTION("""COMPUTED_VALUE"""),46265.16448895833)</f>
        <v>46265.16449</v>
      </c>
      <c r="B73" s="21" t="str">
        <f>IFERROR(__xludf.DUMMYFUNCTION("""COMPUTED_VALUE"""),"khadija.mbbs-2020@aiimskalyani.edu.in")</f>
        <v>khadija.mbbs-2020@aiimskalyani.edu.in</v>
      </c>
      <c r="C73" s="21" t="str">
        <f>IFERROR(__xludf.DUMMYFUNCTION("""COMPUTED_VALUE"""),"KHADIJA KALAM")</f>
        <v>KHADIJA KALAM</v>
      </c>
      <c r="D73" s="21" t="str">
        <f>IFERROR(__xludf.DUMMYFUNCTION("""COMPUTED_VALUE"""),"56/202001106")</f>
        <v>56/202001106</v>
      </c>
      <c r="E73" s="21" t="str">
        <f>IFERROR(__xludf.DUMMYFUNCTION("""COMPUTED_VALUE"""),"MBBS 2020")</f>
        <v>MBBS 2020</v>
      </c>
      <c r="F73" s="21">
        <f>IFERROR(__xludf.DUMMYFUNCTION("""COMPUTED_VALUE"""),9.234370051E9)</f>
        <v>9234370051</v>
      </c>
      <c r="G73" s="21" t="str">
        <f>IFERROR(__xludf.DUMMYFUNCTION("""COMPUTED_VALUE"""),"khadija.mbbs-2020@aiimskalyani.edu.in")</f>
        <v>khadija.mbbs-2020@aiimskalyani.edu.in</v>
      </c>
      <c r="H73" s="21" t="str">
        <f>IFERROR(__xludf.DUMMYFUNCTION("""COMPUTED_VALUE"""),"Yes")</f>
        <v>Yes</v>
      </c>
      <c r="I73" s="21" t="str">
        <f>IFERROR(__xludf.DUMMYFUNCTION("""COMPUTED_VALUE"""),"Playing outdoor games,watching drama.")</f>
        <v>Playing outdoor games,watching drama.</v>
      </c>
      <c r="J73" s="21" t="str">
        <f>IFERROR(__xludf.DUMMYFUNCTION("""COMPUTED_VALUE"""),"Badminton ")</f>
        <v>Badminton </v>
      </c>
      <c r="K73" s="21" t="str">
        <f>IFERROR(__xludf.DUMMYFUNCTION("""COMPUTED_VALUE"""),"Bihar")</f>
        <v>Bihar</v>
      </c>
      <c r="L73" s="22" t="str">
        <f>IFERROR(__xludf.DUMMYFUNCTION("""COMPUTED_VALUE"""),"https://drive.google.com/open?id=1_K0EM6KuVzTOwEM7_XyD_mrOCpQYJfWQ")</f>
        <v>https://drive.google.com/open?id=1_K0EM6KuVzTOwEM7_XyD_mrOCpQYJfWQ</v>
      </c>
      <c r="M73" s="22" t="str">
        <f>IFERROR(__xludf.DUMMYFUNCTION("""COMPUTED_VALUE"""),"https://drive.google.com/open?id=1FiCM2PverwGAbEmervv-W_xjWI_HDVI4")</f>
        <v>https://drive.google.com/open?id=1FiCM2PverwGAbEmervv-W_xjWI_HDVI4</v>
      </c>
      <c r="N73" s="21" t="str">
        <f>IFERROR(__xludf.DUMMYFUNCTION("""COMPUTED_VALUE"""),"Late Abdul kalam ")</f>
        <v>Late Abdul kalam </v>
      </c>
      <c r="O73" s="21" t="str">
        <f>IFERROR(__xludf.DUMMYFUNCTION("""COMPUTED_VALUE"""),"Ooo")</f>
        <v>Ooo</v>
      </c>
      <c r="P73" s="21" t="str">
        <f>IFERROR(__xludf.DUMMYFUNCTION("""COMPUTED_VALUE"""),"Ooo")</f>
        <v>Ooo</v>
      </c>
      <c r="Q73" s="21">
        <f>IFERROR(__xludf.DUMMYFUNCTION("""COMPUTED_VALUE"""),8.084069687E9)</f>
        <v>8084069687</v>
      </c>
      <c r="R73" s="21" t="str">
        <f>IFERROR(__xludf.DUMMYFUNCTION("""COMPUTED_VALUE"""),"Roquaida Khatoon ")</f>
        <v>Roquaida Khatoon </v>
      </c>
      <c r="S73" s="21" t="str">
        <f>IFERROR(__xludf.DUMMYFUNCTION("""COMPUTED_VALUE"""),"Homemaker")</f>
        <v>Homemaker</v>
      </c>
      <c r="T73" s="21" t="str">
        <f>IFERROR(__xludf.DUMMYFUNCTION("""COMPUTED_VALUE"""),"Bihar ")</f>
        <v>Bihar </v>
      </c>
      <c r="U73" s="21">
        <f>IFERROR(__xludf.DUMMYFUNCTION("""COMPUTED_VALUE"""),8.084069687E9)</f>
        <v>8084069687</v>
      </c>
      <c r="V73" s="21">
        <f>IFERROR(__xludf.DUMMYFUNCTION("""COMPUTED_VALUE"""),2.0)</f>
        <v>2</v>
      </c>
      <c r="W73" s="21" t="str">
        <f>IFERROR(__xludf.DUMMYFUNCTION("""COMPUTED_VALUE"""),"Ayesha kalam ")</f>
        <v>Ayesha kalam </v>
      </c>
      <c r="X73" s="21" t="str">
        <f>IFERROR(__xludf.DUMMYFUNCTION("""COMPUTED_VALUE"""),"Sister")</f>
        <v>Sister</v>
      </c>
      <c r="Y73" s="21" t="str">
        <f>IFERROR(__xludf.DUMMYFUNCTION("""COMPUTED_VALUE"""),"Tausif Ahmed ")</f>
        <v>Tausif Ahmed </v>
      </c>
      <c r="Z73" s="21" t="str">
        <f>IFERROR(__xludf.DUMMYFUNCTION("""COMPUTED_VALUE"""),"Brother ")</f>
        <v>Brother </v>
      </c>
      <c r="AA73" s="21" t="str">
        <f>IFERROR(__xludf.DUMMYFUNCTION("""COMPUTED_VALUE"""),"Non-Veg")</f>
        <v>Non-Veg</v>
      </c>
      <c r="AB73" s="21" t="str">
        <f>IFERROR(__xludf.DUMMYFUNCTION("""COMPUTED_VALUE"""),"Non-Veg")</f>
        <v>Non-Veg</v>
      </c>
      <c r="AC73" s="21" t="str">
        <f>IFERROR(__xludf.DUMMYFUNCTION("""COMPUTED_VALUE"""),"Non-Veg")</f>
        <v>Non-Veg</v>
      </c>
      <c r="AD73" s="21" t="str">
        <f>IFERROR(__xludf.DUMMYFUNCTION("""COMPUTED_VALUE"""),"Bus Drop Service not needed")</f>
        <v>Bus Drop Service not needed</v>
      </c>
      <c r="AE73" s="21">
        <f>IFERROR(__xludf.DUMMYFUNCTION("""COMPUTED_VALUE"""),0.0)</f>
        <v>0</v>
      </c>
    </row>
    <row r="74" ht="22.5" customHeight="1">
      <c r="A74" s="18">
        <f>IFERROR(__xludf.DUMMYFUNCTION("""COMPUTED_VALUE"""),46265.00995335648)</f>
        <v>46265.00995</v>
      </c>
      <c r="B74" s="21" t="str">
        <f>IFERROR(__xludf.DUMMYFUNCTION("""COMPUTED_VALUE"""),"peeyush.derma_pgt23@aiimskalyani.edu.in")</f>
        <v>peeyush.derma_pgt23@aiimskalyani.edu.in</v>
      </c>
      <c r="C74" s="21" t="str">
        <f>IFERROR(__xludf.DUMMYFUNCTION("""COMPUTED_VALUE"""),"PEEYUSH KIRAN TRIPATHY")</f>
        <v>PEEYUSH KIRAN TRIPATHY</v>
      </c>
      <c r="D74" s="21">
        <f>IFERROR(__xludf.DUMMYFUNCTION("""COMPUTED_VALUE"""),2023038.0)</f>
        <v>2023038</v>
      </c>
      <c r="E74" s="21" t="str">
        <f>IFERROR(__xludf.DUMMYFUNCTION("""COMPUTED_VALUE"""),"MD/MS/MDS 2023")</f>
        <v>MD/MS/MDS 2023</v>
      </c>
      <c r="F74" s="21">
        <f>IFERROR(__xludf.DUMMYFUNCTION("""COMPUTED_VALUE"""),7.978924859E9)</f>
        <v>7978924859</v>
      </c>
      <c r="G74" s="21" t="str">
        <f>IFERROR(__xludf.DUMMYFUNCTION("""COMPUTED_VALUE"""),"peeyushkirantripathy@gmail.com")</f>
        <v>peeyushkirantripathy@gmail.com</v>
      </c>
      <c r="H74" s="21" t="str">
        <f>IFERROR(__xludf.DUMMYFUNCTION("""COMPUTED_VALUE"""),"Yes")</f>
        <v>Yes</v>
      </c>
      <c r="I74" s="21" t="str">
        <f>IFERROR(__xludf.DUMMYFUNCTION("""COMPUTED_VALUE"""),"Follows cricket ")</f>
        <v>Follows cricket </v>
      </c>
      <c r="J74" s="21" t="str">
        <f>IFERROR(__xludf.DUMMYFUNCTION("""COMPUTED_VALUE"""),"Not any")</f>
        <v>Not any</v>
      </c>
      <c r="K74" s="21" t="str">
        <f>IFERROR(__xludf.DUMMYFUNCTION("""COMPUTED_VALUE"""),"Bargarh, odisha ")</f>
        <v>Bargarh, odisha </v>
      </c>
      <c r="L74" s="22" t="str">
        <f>IFERROR(__xludf.DUMMYFUNCTION("""COMPUTED_VALUE"""),"https://drive.google.com/open?id=1Pu9p4Keekv2HudOzSUaOo-jsQzRrwfRE")</f>
        <v>https://drive.google.com/open?id=1Pu9p4Keekv2HudOzSUaOo-jsQzRrwfRE</v>
      </c>
      <c r="M74" s="22" t="str">
        <f>IFERROR(__xludf.DUMMYFUNCTION("""COMPUTED_VALUE"""),"https://drive.google.com/open?id=1kd5m7bXT60uYqiOWzNXqLonEbtiAAHTf")</f>
        <v>https://drive.google.com/open?id=1kd5m7bXT60uYqiOWzNXqLonEbtiAAHTf</v>
      </c>
      <c r="N74" s="21" t="str">
        <f>IFERROR(__xludf.DUMMYFUNCTION("""COMPUTED_VALUE"""),"SHANKAR TRIPATHY ")</f>
        <v>SHANKAR TRIPATHY </v>
      </c>
      <c r="O74" s="21" t="str">
        <f>IFERROR(__xludf.DUMMYFUNCTION("""COMPUTED_VALUE"""),"Retiree from BSNL as Sub Divisional Engineer(SDE)")</f>
        <v>Retiree from BSNL as Sub Divisional Engineer(SDE)</v>
      </c>
      <c r="P74" s="21" t="str">
        <f>IFERROR(__xludf.DUMMYFUNCTION("""COMPUTED_VALUE"""),"Bargarh, Odisha ")</f>
        <v>Bargarh, Odisha </v>
      </c>
      <c r="Q74" s="21">
        <f>IFERROR(__xludf.DUMMYFUNCTION("""COMPUTED_VALUE"""),8.763955099E9)</f>
        <v>8763955099</v>
      </c>
      <c r="R74" s="21" t="str">
        <f>IFERROR(__xludf.DUMMYFUNCTION("""COMPUTED_VALUE"""),"NAMITA TRIPATHY")</f>
        <v>NAMITA TRIPATHY</v>
      </c>
      <c r="S74" s="21" t="str">
        <f>IFERROR(__xludf.DUMMYFUNCTION("""COMPUTED_VALUE"""),"Home maker")</f>
        <v>Home maker</v>
      </c>
      <c r="T74" s="21" t="str">
        <f>IFERROR(__xludf.DUMMYFUNCTION("""COMPUTED_VALUE"""),"Bargarh, Odisha ")</f>
        <v>Bargarh, Odisha </v>
      </c>
      <c r="U74" s="21">
        <f>IFERROR(__xludf.DUMMYFUNCTION("""COMPUTED_VALUE"""),8.763955099E9)</f>
        <v>8763955099</v>
      </c>
      <c r="V74" s="21">
        <f>IFERROR(__xludf.DUMMYFUNCTION("""COMPUTED_VALUE"""),2.0)</f>
        <v>2</v>
      </c>
      <c r="W74" s="21" t="str">
        <f>IFERROR(__xludf.DUMMYFUNCTION("""COMPUTED_VALUE"""),"Shankar Tripathy")</f>
        <v>Shankar Tripathy</v>
      </c>
      <c r="X74" s="21" t="str">
        <f>IFERROR(__xludf.DUMMYFUNCTION("""COMPUTED_VALUE"""),"Father ")</f>
        <v>Father </v>
      </c>
      <c r="Y74" s="21" t="str">
        <f>IFERROR(__xludf.DUMMYFUNCTION("""COMPUTED_VALUE"""),"Namita Tripathy ")</f>
        <v>Namita Tripathy </v>
      </c>
      <c r="Z74" s="21" t="str">
        <f>IFERROR(__xludf.DUMMYFUNCTION("""COMPUTED_VALUE"""),"Mother ")</f>
        <v>Mother </v>
      </c>
      <c r="AA74" s="21" t="str">
        <f>IFERROR(__xludf.DUMMYFUNCTION("""COMPUTED_VALUE"""),"Non-Veg")</f>
        <v>Non-Veg</v>
      </c>
      <c r="AB74" s="21" t="str">
        <f>IFERROR(__xludf.DUMMYFUNCTION("""COMPUTED_VALUE"""),"Non-Veg")</f>
        <v>Non-Veg</v>
      </c>
      <c r="AC74" s="21" t="str">
        <f>IFERROR(__xludf.DUMMYFUNCTION("""COMPUTED_VALUE"""),"Non-Veg")</f>
        <v>Non-Veg</v>
      </c>
      <c r="AD74" s="21" t="str">
        <f>IFERROR(__xludf.DUMMYFUNCTION("""COMPUTED_VALUE"""),"Bus Drop Service not needed")</f>
        <v>Bus Drop Service not needed</v>
      </c>
      <c r="AE74" s="21">
        <f>IFERROR(__xludf.DUMMYFUNCTION("""COMPUTED_VALUE"""),0.0)</f>
        <v>0</v>
      </c>
    </row>
    <row r="75" ht="22.5" customHeight="1">
      <c r="A75" s="18">
        <f>IFERROR(__xludf.DUMMYFUNCTION("""COMPUTED_VALUE"""),46265.00516487268)</f>
        <v>46265.00516</v>
      </c>
      <c r="B75" s="21" t="str">
        <f>IFERROR(__xludf.DUMMYFUNCTION("""COMPUTED_VALUE"""),"sumit.mbbs-2020@aiimskalyani.edu.in")</f>
        <v>sumit.mbbs-2020@aiimskalyani.edu.in</v>
      </c>
      <c r="C75" s="21" t="str">
        <f>IFERROR(__xludf.DUMMYFUNCTION("""COMPUTED_VALUE"""),"SUMIT KUMAR MONDAL ")</f>
        <v>SUMIT KUMAR MONDAL </v>
      </c>
      <c r="D75" s="21" t="str">
        <f>IFERROR(__xludf.DUMMYFUNCTION("""COMPUTED_VALUE"""),"103/202001153")</f>
        <v>103/202001153</v>
      </c>
      <c r="E75" s="21" t="str">
        <f>IFERROR(__xludf.DUMMYFUNCTION("""COMPUTED_VALUE"""),"MBBS 2020")</f>
        <v>MBBS 2020</v>
      </c>
      <c r="F75" s="21">
        <f>IFERROR(__xludf.DUMMYFUNCTION("""COMPUTED_VALUE"""),8.274949371E9)</f>
        <v>8274949371</v>
      </c>
      <c r="G75" s="21" t="str">
        <f>IFERROR(__xludf.DUMMYFUNCTION("""COMPUTED_VALUE"""),"sumit.mbbs-2020@aiimskalyani.edu.in")</f>
        <v>sumit.mbbs-2020@aiimskalyani.edu.in</v>
      </c>
      <c r="H75" s="21" t="str">
        <f>IFERROR(__xludf.DUMMYFUNCTION("""COMPUTED_VALUE"""),"Yes")</f>
        <v>Yes</v>
      </c>
      <c r="I75" s="21" t="str">
        <f>IFERROR(__xludf.DUMMYFUNCTION("""COMPUTED_VALUE"""),"Interested in sports specifically in Football ")</f>
        <v>Interested in sports specifically in Football </v>
      </c>
      <c r="J75" s="21"/>
      <c r="K75" s="21" t="str">
        <f>IFERROR(__xludf.DUMMYFUNCTION("""COMPUTED_VALUE"""),"BARUIPUR ")</f>
        <v>BARUIPUR </v>
      </c>
      <c r="L75" s="22" t="str">
        <f>IFERROR(__xludf.DUMMYFUNCTION("""COMPUTED_VALUE"""),"https://drive.google.com/open?id=1RP1xjpB3dL7gx3qTEOqfmYOhSLbYKPq4")</f>
        <v>https://drive.google.com/open?id=1RP1xjpB3dL7gx3qTEOqfmYOhSLbYKPq4</v>
      </c>
      <c r="M75" s="22" t="str">
        <f>IFERROR(__xludf.DUMMYFUNCTION("""COMPUTED_VALUE"""),"https://drive.google.com/open?id=1B3u1WKM8EwF8a4ko8op32ttXwGMfZgxO")</f>
        <v>https://drive.google.com/open?id=1B3u1WKM8EwF8a4ko8op32ttXwGMfZgxO</v>
      </c>
      <c r="N75" s="21" t="str">
        <f>IFERROR(__xludf.DUMMYFUNCTION("""COMPUTED_VALUE"""),"CHANDRA KANTA MONDAL")</f>
        <v>CHANDRA KANTA MONDAL</v>
      </c>
      <c r="O75" s="21" t="str">
        <f>IFERROR(__xludf.DUMMYFUNCTION("""COMPUTED_VALUE"""),"GOVERNMENT HIGH SCHOOL TEACHER")</f>
        <v>GOVERNMENT HIGH SCHOOL TEACHER</v>
      </c>
      <c r="P75" s="21" t="str">
        <f>IFERROR(__xludf.DUMMYFUNCTION("""COMPUTED_VALUE"""),"BARUIPUR")</f>
        <v>BARUIPUR</v>
      </c>
      <c r="Q75" s="21">
        <f>IFERROR(__xludf.DUMMYFUNCTION("""COMPUTED_VALUE"""),9.903255498E9)</f>
        <v>9903255498</v>
      </c>
      <c r="R75" s="21" t="str">
        <f>IFERROR(__xludf.DUMMYFUNCTION("""COMPUTED_VALUE"""),"SATHI MONDAL SARKAR")</f>
        <v>SATHI MONDAL SARKAR</v>
      </c>
      <c r="S75" s="21" t="str">
        <f>IFERROR(__xludf.DUMMYFUNCTION("""COMPUTED_VALUE"""),"HOUSEWIFE ")</f>
        <v>HOUSEWIFE </v>
      </c>
      <c r="T75" s="21" t="str">
        <f>IFERROR(__xludf.DUMMYFUNCTION("""COMPUTED_VALUE"""),"BARUIPUR")</f>
        <v>BARUIPUR</v>
      </c>
      <c r="U75" s="21">
        <f>IFERROR(__xludf.DUMMYFUNCTION("""COMPUTED_VALUE"""),6.290182457E9)</f>
        <v>6290182457</v>
      </c>
      <c r="V75" s="21">
        <f>IFERROR(__xludf.DUMMYFUNCTION("""COMPUTED_VALUE"""),2.0)</f>
        <v>2</v>
      </c>
      <c r="W75" s="21" t="str">
        <f>IFERROR(__xludf.DUMMYFUNCTION("""COMPUTED_VALUE"""),"CHANDRA KANTA MONDAL ")</f>
        <v>CHANDRA KANTA MONDAL </v>
      </c>
      <c r="X75" s="21" t="str">
        <f>IFERROR(__xludf.DUMMYFUNCTION("""COMPUTED_VALUE"""),"FATHER")</f>
        <v>FATHER</v>
      </c>
      <c r="Y75" s="21" t="str">
        <f>IFERROR(__xludf.DUMMYFUNCTION("""COMPUTED_VALUE"""),"SATHI MONDAL SARKAR")</f>
        <v>SATHI MONDAL SARKAR</v>
      </c>
      <c r="Z75" s="21" t="str">
        <f>IFERROR(__xludf.DUMMYFUNCTION("""COMPUTED_VALUE"""),"MOTHER")</f>
        <v>MOTHER</v>
      </c>
      <c r="AA75" s="21" t="str">
        <f>IFERROR(__xludf.DUMMYFUNCTION("""COMPUTED_VALUE"""),"Non-Veg")</f>
        <v>Non-Veg</v>
      </c>
      <c r="AB75" s="21" t="str">
        <f>IFERROR(__xludf.DUMMYFUNCTION("""COMPUTED_VALUE"""),"Non-Veg")</f>
        <v>Non-Veg</v>
      </c>
      <c r="AC75" s="21" t="str">
        <f>IFERROR(__xludf.DUMMYFUNCTION("""COMPUTED_VALUE"""),"Veg")</f>
        <v>Veg</v>
      </c>
      <c r="AD75" s="21" t="str">
        <f>IFERROR(__xludf.DUMMYFUNCTION("""COMPUTED_VALUE"""),"Bus Drop Service not needed")</f>
        <v>Bus Drop Service not needed</v>
      </c>
      <c r="AE75" s="21">
        <f>IFERROR(__xludf.DUMMYFUNCTION("""COMPUTED_VALUE"""),0.0)</f>
        <v>0</v>
      </c>
    </row>
    <row r="76" ht="22.5" customHeight="1">
      <c r="A76" s="18">
        <f>IFERROR(__xludf.DUMMYFUNCTION("""COMPUTED_VALUE"""),46264.98457273148)</f>
        <v>46264.98457</v>
      </c>
      <c r="B76" s="21" t="str">
        <f>IFERROR(__xludf.DUMMYFUNCTION("""COMPUTED_VALUE"""),"anjali.bscnursing-2021@aiimskalyani.edu.in")</f>
        <v>anjali.bscnursing-2021@aiimskalyani.edu.in</v>
      </c>
      <c r="C76" s="21" t="str">
        <f>IFERROR(__xludf.DUMMYFUNCTION("""COMPUTED_VALUE"""),"ANJALI KUMARI")</f>
        <v>ANJALI KUMARI</v>
      </c>
      <c r="D76" s="21">
        <f>IFERROR(__xludf.DUMMYFUNCTION("""COMPUTED_VALUE"""),2.0210204E7)</f>
        <v>20210204</v>
      </c>
      <c r="E76" s="21" t="str">
        <f>IFERROR(__xludf.DUMMYFUNCTION("""COMPUTED_VALUE"""),"B.Sc (Hons) Nursing 2021")</f>
        <v>B.Sc (Hons) Nursing 2021</v>
      </c>
      <c r="F76" s="21">
        <f>IFERROR(__xludf.DUMMYFUNCTION("""COMPUTED_VALUE"""),9.523587958E9)</f>
        <v>9523587958</v>
      </c>
      <c r="G76" s="21" t="str">
        <f>IFERROR(__xludf.DUMMYFUNCTION("""COMPUTED_VALUE"""),"anjalisingh11sep2001@gmail.com")</f>
        <v>anjalisingh11sep2001@gmail.com</v>
      </c>
      <c r="H76" s="21" t="str">
        <f>IFERROR(__xludf.DUMMYFUNCTION("""COMPUTED_VALUE"""),"Yes")</f>
        <v>Yes</v>
      </c>
      <c r="I76" s="21" t="str">
        <f>IFERROR(__xludf.DUMMYFUNCTION("""COMPUTED_VALUE"""),"Reading books and painting ")</f>
        <v>Reading books and painting </v>
      </c>
      <c r="J76" s="21" t="str">
        <f>IFERROR(__xludf.DUMMYFUNCTION("""COMPUTED_VALUE"""),"Carrom, Volleyball ")</f>
        <v>Carrom, Volleyball </v>
      </c>
      <c r="K76" s="21" t="str">
        <f>IFERROR(__xludf.DUMMYFUNCTION("""COMPUTED_VALUE"""),"Bihar ")</f>
        <v>Bihar </v>
      </c>
      <c r="L76" s="22" t="str">
        <f>IFERROR(__xludf.DUMMYFUNCTION("""COMPUTED_VALUE"""),"https://drive.google.com/open?id=18qTxgoPcgHKpjZUqm_zKFQRr7h56xlqj")</f>
        <v>https://drive.google.com/open?id=18qTxgoPcgHKpjZUqm_zKFQRr7h56xlqj</v>
      </c>
      <c r="M76" s="22" t="str">
        <f>IFERROR(__xludf.DUMMYFUNCTION("""COMPUTED_VALUE"""),"https://drive.google.com/open?id=13To9-uDGcU_enaXCXy7MM_U0asbIeV6H")</f>
        <v>https://drive.google.com/open?id=13To9-uDGcU_enaXCXy7MM_U0asbIeV6H</v>
      </c>
      <c r="N76" s="21" t="str">
        <f>IFERROR(__xludf.DUMMYFUNCTION("""COMPUTED_VALUE"""),"Bhagwan Singh ")</f>
        <v>Bhagwan Singh </v>
      </c>
      <c r="O76" s="21" t="str">
        <f>IFERROR(__xludf.DUMMYFUNCTION("""COMPUTED_VALUE"""),"Buisness man ")</f>
        <v>Buisness man </v>
      </c>
      <c r="P76" s="21" t="str">
        <f>IFERROR(__xludf.DUMMYFUNCTION("""COMPUTED_VALUE"""),"Patna")</f>
        <v>Patna</v>
      </c>
      <c r="Q76" s="21">
        <f>IFERROR(__xludf.DUMMYFUNCTION("""COMPUTED_VALUE"""),9.931002109E9)</f>
        <v>9931002109</v>
      </c>
      <c r="R76" s="21" t="str">
        <f>IFERROR(__xludf.DUMMYFUNCTION("""COMPUTED_VALUE"""),"Pramila Devi ")</f>
        <v>Pramila Devi </v>
      </c>
      <c r="S76" s="21" t="str">
        <f>IFERROR(__xludf.DUMMYFUNCTION("""COMPUTED_VALUE"""),"House wife ")</f>
        <v>House wife </v>
      </c>
      <c r="T76" s="21" t="str">
        <f>IFERROR(__xludf.DUMMYFUNCTION("""COMPUTED_VALUE"""),"Patna")</f>
        <v>Patna</v>
      </c>
      <c r="U76" s="21">
        <f>IFERROR(__xludf.DUMMYFUNCTION("""COMPUTED_VALUE"""),9.065901034E9)</f>
        <v>9065901034</v>
      </c>
      <c r="V76" s="21">
        <f>IFERROR(__xludf.DUMMYFUNCTION("""COMPUTED_VALUE"""),2.0)</f>
        <v>2</v>
      </c>
      <c r="W76" s="21" t="str">
        <f>IFERROR(__xludf.DUMMYFUNCTION("""COMPUTED_VALUE"""),"Bhagwan Singh ")</f>
        <v>Bhagwan Singh </v>
      </c>
      <c r="X76" s="21" t="str">
        <f>IFERROR(__xludf.DUMMYFUNCTION("""COMPUTED_VALUE"""),"Father ")</f>
        <v>Father </v>
      </c>
      <c r="Y76" s="21" t="str">
        <f>IFERROR(__xludf.DUMMYFUNCTION("""COMPUTED_VALUE"""),"Pramila Devi ")</f>
        <v>Pramila Devi </v>
      </c>
      <c r="Z76" s="21" t="str">
        <f>IFERROR(__xludf.DUMMYFUNCTION("""COMPUTED_VALUE"""),"Mother ")</f>
        <v>Mother </v>
      </c>
      <c r="AA76" s="21" t="str">
        <f>IFERROR(__xludf.DUMMYFUNCTION("""COMPUTED_VALUE"""),"Veg")</f>
        <v>Veg</v>
      </c>
      <c r="AB76" s="21" t="str">
        <f>IFERROR(__xludf.DUMMYFUNCTION("""COMPUTED_VALUE"""),"Veg")</f>
        <v>Veg</v>
      </c>
      <c r="AC76" s="21" t="str">
        <f>IFERROR(__xludf.DUMMYFUNCTION("""COMPUTED_VALUE"""),"Veg")</f>
        <v>Veg</v>
      </c>
      <c r="AD76" s="21" t="str">
        <f>IFERROR(__xludf.DUMMYFUNCTION("""COMPUTED_VALUE"""),"Bus Drop Service not needed")</f>
        <v>Bus Drop Service not needed</v>
      </c>
      <c r="AE76" s="21">
        <f>IFERROR(__xludf.DUMMYFUNCTION("""COMPUTED_VALUE"""),0.0)</f>
        <v>0</v>
      </c>
    </row>
    <row r="77" ht="22.5" customHeight="1">
      <c r="A77" s="18">
        <f>IFERROR(__xludf.DUMMYFUNCTION("""COMPUTED_VALUE"""),46264.98208627314)</f>
        <v>46264.98209</v>
      </c>
      <c r="B77" s="21" t="str">
        <f>IFERROR(__xludf.DUMMYFUNCTION("""COMPUTED_VALUE"""),"ayrin.mbbs-2020@aiimskalyani.edu.in")</f>
        <v>ayrin.mbbs-2020@aiimskalyani.edu.in</v>
      </c>
      <c r="C77" s="21" t="str">
        <f>IFERROR(__xludf.DUMMYFUNCTION("""COMPUTED_VALUE"""),"AYRIN C SIMON")</f>
        <v>AYRIN C SIMON</v>
      </c>
      <c r="D77" s="21" t="str">
        <f>IFERROR(__xludf.DUMMYFUNCTION("""COMPUTED_VALUE"""),"32/20200182")</f>
        <v>32/20200182</v>
      </c>
      <c r="E77" s="21" t="str">
        <f>IFERROR(__xludf.DUMMYFUNCTION("""COMPUTED_VALUE"""),"MBBS 2020")</f>
        <v>MBBS 2020</v>
      </c>
      <c r="F77" s="21">
        <f>IFERROR(__xludf.DUMMYFUNCTION("""COMPUTED_VALUE"""),8.281643135E9)</f>
        <v>8281643135</v>
      </c>
      <c r="G77" s="21" t="str">
        <f>IFERROR(__xludf.DUMMYFUNCTION("""COMPUTED_VALUE"""),"ayrin.mbbs-2020@aiimskalyani.edu.in")</f>
        <v>ayrin.mbbs-2020@aiimskalyani.edu.in</v>
      </c>
      <c r="H77" s="21" t="str">
        <f>IFERROR(__xludf.DUMMYFUNCTION("""COMPUTED_VALUE"""),"Yes")</f>
        <v>Yes</v>
      </c>
      <c r="I77" s="21" t="str">
        <f>IFERROR(__xludf.DUMMYFUNCTION("""COMPUTED_VALUE"""),"I’m into dancing, travelling and exploring new places ,creating and editing Reels and YouTube videos, photography, experimenting with food , understanding people and human behaviour, and capturing all the little moments that eventually become the best mem"&amp;"ories.")</f>
        <v>I’m into dancing, travelling and exploring new places ,creating and editing Reels and YouTube videos, photography, experimenting with food , understanding people and human behaviour, and capturing all the little moments that eventually become the best memories.</v>
      </c>
      <c r="J77" s="21" t="str">
        <f>IFERROR(__xludf.DUMMYFUNCTION("""COMPUTED_VALUE"""),"From winning Mathematics Olympiads and general quizzes during my school years to exploring dance, sports, and creative activities in college which includes prizes in solo western dance, poster making and slogan writing competitions.")</f>
        <v>From winning Mathematics Olympiads and general quizzes during my school years to exploring dance, sports, and creative activities in college which includes prizes in solo western dance, poster making and slogan writing competitions.</v>
      </c>
      <c r="K77" s="21" t="str">
        <f>IFERROR(__xludf.DUMMYFUNCTION("""COMPUTED_VALUE"""),"Thrissur")</f>
        <v>Thrissur</v>
      </c>
      <c r="L77" s="22" t="str">
        <f>IFERROR(__xludf.DUMMYFUNCTION("""COMPUTED_VALUE"""),"https://drive.google.com/open?id=1Zx_3dSzBU78LU2mqClv3ZK2lkwJJN45c")</f>
        <v>https://drive.google.com/open?id=1Zx_3dSzBU78LU2mqClv3ZK2lkwJJN45c</v>
      </c>
      <c r="M77" s="22" t="str">
        <f>IFERROR(__xludf.DUMMYFUNCTION("""COMPUTED_VALUE"""),"https://drive.google.com/open?id=1vF9JH8yM1J9uka48ktINb6hYBXMbWNtR")</f>
        <v>https://drive.google.com/open?id=1vF9JH8yM1J9uka48ktINb6hYBXMbWNtR</v>
      </c>
      <c r="N77" s="21" t="str">
        <f>IFERROR(__xludf.DUMMYFUNCTION("""COMPUTED_VALUE"""),"Simon C J")</f>
        <v>Simon C J</v>
      </c>
      <c r="O77" s="21" t="str">
        <f>IFERROR(__xludf.DUMMYFUNCTION("""COMPUTED_VALUE"""),"Business ")</f>
        <v>Business </v>
      </c>
      <c r="P77" s="21" t="str">
        <f>IFERROR(__xludf.DUMMYFUNCTION("""COMPUTED_VALUE"""),"Thrissur ")</f>
        <v>Thrissur </v>
      </c>
      <c r="Q77" s="21">
        <f>IFERROR(__xludf.DUMMYFUNCTION("""COMPUTED_VALUE"""),9.847015135E9)</f>
        <v>9847015135</v>
      </c>
      <c r="R77" s="21" t="str">
        <f>IFERROR(__xludf.DUMMYFUNCTION("""COMPUTED_VALUE"""),"Smitha Simon")</f>
        <v>Smitha Simon</v>
      </c>
      <c r="S77" s="21" t="str">
        <f>IFERROR(__xludf.DUMMYFUNCTION("""COMPUTED_VALUE"""),"Business ")</f>
        <v>Business </v>
      </c>
      <c r="T77" s="21" t="str">
        <f>IFERROR(__xludf.DUMMYFUNCTION("""COMPUTED_VALUE"""),"Thrissur ")</f>
        <v>Thrissur </v>
      </c>
      <c r="U77" s="21">
        <f>IFERROR(__xludf.DUMMYFUNCTION("""COMPUTED_VALUE"""),9.656215135E9)</f>
        <v>9656215135</v>
      </c>
      <c r="V77" s="21">
        <f>IFERROR(__xludf.DUMMYFUNCTION("""COMPUTED_VALUE"""),2.0)</f>
        <v>2</v>
      </c>
      <c r="W77" s="21" t="str">
        <f>IFERROR(__xludf.DUMMYFUNCTION("""COMPUTED_VALUE"""),"Sijo C J")</f>
        <v>Sijo C J</v>
      </c>
      <c r="X77" s="21" t="str">
        <f>IFERROR(__xludf.DUMMYFUNCTION("""COMPUTED_VALUE"""),"Father ")</f>
        <v>Father </v>
      </c>
      <c r="Y77" s="21" t="str">
        <f>IFERROR(__xludf.DUMMYFUNCTION("""COMPUTED_VALUE"""),"Smitha Sijo")</f>
        <v>Smitha Sijo</v>
      </c>
      <c r="Z77" s="21" t="str">
        <f>IFERROR(__xludf.DUMMYFUNCTION("""COMPUTED_VALUE"""),"Mother ")</f>
        <v>Mother </v>
      </c>
      <c r="AA77" s="21" t="str">
        <f>IFERROR(__xludf.DUMMYFUNCTION("""COMPUTED_VALUE"""),"Non-Veg")</f>
        <v>Non-Veg</v>
      </c>
      <c r="AB77" s="21" t="str">
        <f>IFERROR(__xludf.DUMMYFUNCTION("""COMPUTED_VALUE"""),"Non-Veg")</f>
        <v>Non-Veg</v>
      </c>
      <c r="AC77" s="21" t="str">
        <f>IFERROR(__xludf.DUMMYFUNCTION("""COMPUTED_VALUE"""),"Non-Veg")</f>
        <v>Non-Veg</v>
      </c>
      <c r="AD77" s="21" t="str">
        <f>IFERROR(__xludf.DUMMYFUNCTION("""COMPUTED_VALUE"""),"Bus Drop Service not needed")</f>
        <v>Bus Drop Service not needed</v>
      </c>
      <c r="AE77" s="21">
        <f>IFERROR(__xludf.DUMMYFUNCTION("""COMPUTED_VALUE"""),0.0)</f>
        <v>0</v>
      </c>
    </row>
    <row r="78" ht="22.5" customHeight="1">
      <c r="A78" s="18">
        <f>IFERROR(__xludf.DUMMYFUNCTION("""COMPUTED_VALUE"""),46264.97686145833)</f>
        <v>46264.97686</v>
      </c>
      <c r="B78" s="21" t="str">
        <f>IFERROR(__xludf.DUMMYFUNCTION("""COMPUTED_VALUE"""),"soham.mbbs-2020@aiimskalyani.edu.in")</f>
        <v>soham.mbbs-2020@aiimskalyani.edu.in</v>
      </c>
      <c r="C78" s="21" t="str">
        <f>IFERROR(__xludf.DUMMYFUNCTION("""COMPUTED_VALUE"""),"SOHAM MANDAL")</f>
        <v>SOHAM MANDAL</v>
      </c>
      <c r="D78" s="21" t="str">
        <f>IFERROR(__xludf.DUMMYFUNCTION("""COMPUTED_VALUE"""),"96/ 2020001146")</f>
        <v>96/ 2020001146</v>
      </c>
      <c r="E78" s="21" t="str">
        <f>IFERROR(__xludf.DUMMYFUNCTION("""COMPUTED_VALUE"""),"MBBS 2020")</f>
        <v>MBBS 2020</v>
      </c>
      <c r="F78" s="21">
        <f>IFERROR(__xludf.DUMMYFUNCTION("""COMPUTED_VALUE"""),8.250397348E9)</f>
        <v>8250397348</v>
      </c>
      <c r="G78" s="21" t="str">
        <f>IFERROR(__xludf.DUMMYFUNCTION("""COMPUTED_VALUE"""),"mandalsoham30@gmail.com")</f>
        <v>mandalsoham30@gmail.com</v>
      </c>
      <c r="H78" s="21" t="str">
        <f>IFERROR(__xludf.DUMMYFUNCTION("""COMPUTED_VALUE"""),"Yes")</f>
        <v>Yes</v>
      </c>
      <c r="I78" s="21" t="str">
        <f>IFERROR(__xludf.DUMMYFUNCTION("""COMPUTED_VALUE"""),"Like playing and listening to music
Reading fiction")</f>
        <v>Like playing and listening to music
Reading fiction</v>
      </c>
      <c r="J78" s="21" t="str">
        <f>IFERROR(__xludf.DUMMYFUNCTION("""COMPUTED_VALUE"""),"Like playing Badminton and football
Represented college as a keyboardist in the college band")</f>
        <v>Like playing Badminton and football
Represented college as a keyboardist in the college band</v>
      </c>
      <c r="K78" s="21" t="str">
        <f>IFERROR(__xludf.DUMMYFUNCTION("""COMPUTED_VALUE"""),"Siliguri ")</f>
        <v>Siliguri </v>
      </c>
      <c r="L78" s="22" t="str">
        <f>IFERROR(__xludf.DUMMYFUNCTION("""COMPUTED_VALUE"""),"https://drive.google.com/open?id=1unyjf6RiDAljTw9YHRi5kp76eQjCCHCi")</f>
        <v>https://drive.google.com/open?id=1unyjf6RiDAljTw9YHRi5kp76eQjCCHCi</v>
      </c>
      <c r="M78" s="22" t="str">
        <f>IFERROR(__xludf.DUMMYFUNCTION("""COMPUTED_VALUE"""),"https://drive.google.com/open?id=1LJZyywE5qTyMUbYxTcxLI6sv9D4nYEcY")</f>
        <v>https://drive.google.com/open?id=1LJZyywE5qTyMUbYxTcxLI6sv9D4nYEcY</v>
      </c>
      <c r="N78" s="21" t="str">
        <f>IFERROR(__xludf.DUMMYFUNCTION("""COMPUTED_VALUE"""),"Somnath Mandal")</f>
        <v>Somnath Mandal</v>
      </c>
      <c r="O78" s="21" t="str">
        <f>IFERROR(__xludf.DUMMYFUNCTION("""COMPUTED_VALUE"""),"Professor at Government College")</f>
        <v>Professor at Government College</v>
      </c>
      <c r="P78" s="21" t="str">
        <f>IFERROR(__xludf.DUMMYFUNCTION("""COMPUTED_VALUE"""),"Siliguri")</f>
        <v>Siliguri</v>
      </c>
      <c r="Q78" s="21">
        <f>IFERROR(__xludf.DUMMYFUNCTION("""COMPUTED_VALUE"""),9.434181325E9)</f>
        <v>9434181325</v>
      </c>
      <c r="R78" s="21" t="str">
        <f>IFERROR(__xludf.DUMMYFUNCTION("""COMPUTED_VALUE"""),"Ruma Mandal")</f>
        <v>Ruma Mandal</v>
      </c>
      <c r="S78" s="21" t="str">
        <f>IFERROR(__xludf.DUMMYFUNCTION("""COMPUTED_VALUE"""),"Homemaker")</f>
        <v>Homemaker</v>
      </c>
      <c r="T78" s="21" t="str">
        <f>IFERROR(__xludf.DUMMYFUNCTION("""COMPUTED_VALUE"""),"Siliguri")</f>
        <v>Siliguri</v>
      </c>
      <c r="U78" s="21">
        <f>IFERROR(__xludf.DUMMYFUNCTION("""COMPUTED_VALUE"""),9.475081596E9)</f>
        <v>9475081596</v>
      </c>
      <c r="V78" s="21">
        <f>IFERROR(__xludf.DUMMYFUNCTION("""COMPUTED_VALUE"""),2.0)</f>
        <v>2</v>
      </c>
      <c r="W78" s="21" t="str">
        <f>IFERROR(__xludf.DUMMYFUNCTION("""COMPUTED_VALUE"""),"Somnath Mandal")</f>
        <v>Somnath Mandal</v>
      </c>
      <c r="X78" s="21" t="str">
        <f>IFERROR(__xludf.DUMMYFUNCTION("""COMPUTED_VALUE"""),"Father")</f>
        <v>Father</v>
      </c>
      <c r="Y78" s="21" t="str">
        <f>IFERROR(__xludf.DUMMYFUNCTION("""COMPUTED_VALUE"""),"Ruma Mandal")</f>
        <v>Ruma Mandal</v>
      </c>
      <c r="Z78" s="21" t="str">
        <f>IFERROR(__xludf.DUMMYFUNCTION("""COMPUTED_VALUE"""),"Mother")</f>
        <v>Mother</v>
      </c>
      <c r="AA78" s="21" t="str">
        <f>IFERROR(__xludf.DUMMYFUNCTION("""COMPUTED_VALUE"""),"Non-Veg")</f>
        <v>Non-Veg</v>
      </c>
      <c r="AB78" s="21" t="str">
        <f>IFERROR(__xludf.DUMMYFUNCTION("""COMPUTED_VALUE"""),"Non-Veg")</f>
        <v>Non-Veg</v>
      </c>
      <c r="AC78" s="21" t="str">
        <f>IFERROR(__xludf.DUMMYFUNCTION("""COMPUTED_VALUE"""),"Non-Veg")</f>
        <v>Non-Veg</v>
      </c>
      <c r="AD78" s="21" t="str">
        <f>IFERROR(__xludf.DUMMYFUNCTION("""COMPUTED_VALUE"""),"Drop at Kolkata Airport")</f>
        <v>Drop at Kolkata Airport</v>
      </c>
      <c r="AE78" s="21">
        <f>IFERROR(__xludf.DUMMYFUNCTION("""COMPUTED_VALUE"""),3.0)</f>
        <v>3</v>
      </c>
    </row>
    <row r="79" ht="22.5" customHeight="1">
      <c r="A79" s="18">
        <f>IFERROR(__xludf.DUMMYFUNCTION("""COMPUTED_VALUE"""),46264.97498388889)</f>
        <v>46264.97498</v>
      </c>
      <c r="B79" s="21" t="str">
        <f>IFERROR(__xludf.DUMMYFUNCTION("""COMPUTED_VALUE"""),"fayiza.mbbs-2020@aiimskalyani.edu.in")</f>
        <v>fayiza.mbbs-2020@aiimskalyani.edu.in</v>
      </c>
      <c r="C79" s="21" t="str">
        <f>IFERROR(__xludf.DUMMYFUNCTION("""COMPUTED_VALUE"""),"FAYIZA C")</f>
        <v>FAYIZA C</v>
      </c>
      <c r="D79" s="21" t="str">
        <f>IFERROR(__xludf.DUMMYFUNCTION("""COMPUTED_VALUE"""),"119/202001169")</f>
        <v>119/202001169</v>
      </c>
      <c r="E79" s="21" t="str">
        <f>IFERROR(__xludf.DUMMYFUNCTION("""COMPUTED_VALUE"""),"MBBS 2020")</f>
        <v>MBBS 2020</v>
      </c>
      <c r="F79" s="21">
        <f>IFERROR(__xludf.DUMMYFUNCTION("""COMPUTED_VALUE"""),7.025146621E9)</f>
        <v>7025146621</v>
      </c>
      <c r="G79" s="21" t="str">
        <f>IFERROR(__xludf.DUMMYFUNCTION("""COMPUTED_VALUE"""),"fayiza.mbbs-2020@aiimskalyani.edu.in")</f>
        <v>fayiza.mbbs-2020@aiimskalyani.edu.in</v>
      </c>
      <c r="H79" s="21" t="str">
        <f>IFERROR(__xludf.DUMMYFUNCTION("""COMPUTED_VALUE"""),"Yes")</f>
        <v>Yes</v>
      </c>
      <c r="I79" s="21" t="str">
        <f>IFERROR(__xludf.DUMMYFUNCTION("""COMPUTED_VALUE"""),"Travelling, exploring new places, listening music, and spending time with family and friends. I also enjoy staying active and maintaining a healthy lifestyle.")</f>
        <v>Travelling, exploring new places, listening music, and spending time with family and friends. I also enjoy staying active and maintaining a healthy lifestyle.</v>
      </c>
      <c r="J79" s="21" t="str">
        <f>IFERROR(__xludf.DUMMYFUNCTION("""COMPUTED_VALUE"""),"Interested in sports and games. No major notable achievements to mention.")</f>
        <v>Interested in sports and games. No major notable achievements to mention.</v>
      </c>
      <c r="K79" s="21" t="str">
        <f>IFERROR(__xludf.DUMMYFUNCTION("""COMPUTED_VALUE"""),"Kottakkal ")</f>
        <v>Kottakkal </v>
      </c>
      <c r="L79" s="22" t="str">
        <f>IFERROR(__xludf.DUMMYFUNCTION("""COMPUTED_VALUE"""),"https://drive.google.com/open?id=1VHgbY-v8_qHv3zYg-WSNSzSDnFfSlBRH")</f>
        <v>https://drive.google.com/open?id=1VHgbY-v8_qHv3zYg-WSNSzSDnFfSlBRH</v>
      </c>
      <c r="M79" s="22" t="str">
        <f>IFERROR(__xludf.DUMMYFUNCTION("""COMPUTED_VALUE"""),"https://drive.google.com/open?id=1e2BL7xJSZKlBb_4xzFeTowydz4-G2oCj")</f>
        <v>https://drive.google.com/open?id=1e2BL7xJSZKlBb_4xzFeTowydz4-G2oCj</v>
      </c>
      <c r="N79" s="21" t="str">
        <f>IFERROR(__xludf.DUMMYFUNCTION("""COMPUTED_VALUE"""),"YOOSUF")</f>
        <v>YOOSUF</v>
      </c>
      <c r="O79" s="21" t="str">
        <f>IFERROR(__xludf.DUMMYFUNCTION("""COMPUTED_VALUE"""),"Madrasa Teacher")</f>
        <v>Madrasa Teacher</v>
      </c>
      <c r="P79" s="21" t="str">
        <f>IFERROR(__xludf.DUMMYFUNCTION("""COMPUTED_VALUE"""),"Kottakkal ")</f>
        <v>Kottakkal </v>
      </c>
      <c r="Q79" s="21">
        <f>IFERROR(__xludf.DUMMYFUNCTION("""COMPUTED_VALUE"""),7.907703594E9)</f>
        <v>7907703594</v>
      </c>
      <c r="R79" s="21" t="str">
        <f>IFERROR(__xludf.DUMMYFUNCTION("""COMPUTED_VALUE"""),"KHADEEJA")</f>
        <v>KHADEEJA</v>
      </c>
      <c r="S79" s="21" t="str">
        <f>IFERROR(__xludf.DUMMYFUNCTION("""COMPUTED_VALUE"""),"Home maker")</f>
        <v>Home maker</v>
      </c>
      <c r="T79" s="21" t="str">
        <f>IFERROR(__xludf.DUMMYFUNCTION("""COMPUTED_VALUE"""),"Kottakkal ")</f>
        <v>Kottakkal </v>
      </c>
      <c r="U79" s="21">
        <f>IFERROR(__xludf.DUMMYFUNCTION("""COMPUTED_VALUE"""),9.544007937E9)</f>
        <v>9544007937</v>
      </c>
      <c r="V79" s="21">
        <f>IFERROR(__xludf.DUMMYFUNCTION("""COMPUTED_VALUE"""),2.0)</f>
        <v>2</v>
      </c>
      <c r="W79" s="21" t="str">
        <f>IFERROR(__xludf.DUMMYFUNCTION("""COMPUTED_VALUE"""),"YOOSUF ")</f>
        <v>YOOSUF </v>
      </c>
      <c r="X79" s="21" t="str">
        <f>IFERROR(__xludf.DUMMYFUNCTION("""COMPUTED_VALUE"""),"Father")</f>
        <v>Father</v>
      </c>
      <c r="Y79" s="21" t="str">
        <f>IFERROR(__xludf.DUMMYFUNCTION("""COMPUTED_VALUE"""),"KHADEEJA")</f>
        <v>KHADEEJA</v>
      </c>
      <c r="Z79" s="21" t="str">
        <f>IFERROR(__xludf.DUMMYFUNCTION("""COMPUTED_VALUE"""),"Mother")</f>
        <v>Mother</v>
      </c>
      <c r="AA79" s="21" t="str">
        <f>IFERROR(__xludf.DUMMYFUNCTION("""COMPUTED_VALUE"""),"Non-Veg")</f>
        <v>Non-Veg</v>
      </c>
      <c r="AB79" s="21" t="str">
        <f>IFERROR(__xludf.DUMMYFUNCTION("""COMPUTED_VALUE"""),"Non-Veg")</f>
        <v>Non-Veg</v>
      </c>
      <c r="AC79" s="21" t="str">
        <f>IFERROR(__xludf.DUMMYFUNCTION("""COMPUTED_VALUE"""),"Non-Veg")</f>
        <v>Non-Veg</v>
      </c>
      <c r="AD79" s="21" t="str">
        <f>IFERROR(__xludf.DUMMYFUNCTION("""COMPUTED_VALUE"""),"Bus Drop Service not needed")</f>
        <v>Bus Drop Service not needed</v>
      </c>
      <c r="AE79" s="21">
        <f>IFERROR(__xludf.DUMMYFUNCTION("""COMPUTED_VALUE"""),0.0)</f>
        <v>0</v>
      </c>
    </row>
    <row r="80" ht="22.5" customHeight="1">
      <c r="A80" s="18">
        <f>IFERROR(__xludf.DUMMYFUNCTION("""COMPUTED_VALUE"""),46264.96352222222)</f>
        <v>46264.96352</v>
      </c>
      <c r="B80" s="21" t="str">
        <f>IFERROR(__xludf.DUMMYFUNCTION("""COMPUTED_VALUE"""),"bijit.mbbs-2020@aiimskalyani.edu.in")</f>
        <v>bijit.mbbs-2020@aiimskalyani.edu.in</v>
      </c>
      <c r="C80" s="21" t="str">
        <f>IFERROR(__xludf.DUMMYFUNCTION("""COMPUTED_VALUE"""),"BIJIT SARKAR ")</f>
        <v>BIJIT SARKAR </v>
      </c>
      <c r="D80" s="21">
        <f>IFERROR(__xludf.DUMMYFUNCTION("""COMPUTED_VALUE"""),2.0200187E7)</f>
        <v>20200187</v>
      </c>
      <c r="E80" s="21" t="str">
        <f>IFERROR(__xludf.DUMMYFUNCTION("""COMPUTED_VALUE"""),"MBBS 2020")</f>
        <v>MBBS 2020</v>
      </c>
      <c r="F80" s="21">
        <f>IFERROR(__xludf.DUMMYFUNCTION("""COMPUTED_VALUE"""),9.593374105E9)</f>
        <v>9593374105</v>
      </c>
      <c r="G80" s="21" t="str">
        <f>IFERROR(__xludf.DUMMYFUNCTION("""COMPUTED_VALUE"""),"bijit.mbbs-2020@aiimskalyani.edu.in")</f>
        <v>bijit.mbbs-2020@aiimskalyani.edu.in</v>
      </c>
      <c r="H80" s="21" t="str">
        <f>IFERROR(__xludf.DUMMYFUNCTION("""COMPUTED_VALUE"""),"Yes")</f>
        <v>Yes</v>
      </c>
      <c r="I80" s="21" t="str">
        <f>IFERROR(__xludf.DUMMYFUNCTION("""COMPUTED_VALUE"""),"Gaming 
Sports 
Music 
Travel ")</f>
        <v>Gaming 
Sports 
Music 
Travel </v>
      </c>
      <c r="J80" s="21" t="str">
        <f>IFERROR(__xludf.DUMMYFUNCTION("""COMPUTED_VALUE"""),"Represented college football team as goalkeeper
Won several Efootball gaming Intercollege competitions
Represented college as percussionist in college music band ")</f>
        <v>Represented college football team as goalkeeper
Won several Efootball gaming Intercollege competitions
Represented college as percussionist in college music band </v>
      </c>
      <c r="K80" s="21" t="str">
        <f>IFERROR(__xludf.DUMMYFUNCTION("""COMPUTED_VALUE"""),"Coochbehar ,West Bengal ")</f>
        <v>Coochbehar ,West Bengal </v>
      </c>
      <c r="L80" s="22" t="str">
        <f>IFERROR(__xludf.DUMMYFUNCTION("""COMPUTED_VALUE"""),"https://drive.google.com/open?id=1BnmVrj_yUQSAjmizxR7spBxs5h8gMuFR")</f>
        <v>https://drive.google.com/open?id=1BnmVrj_yUQSAjmizxR7spBxs5h8gMuFR</v>
      </c>
      <c r="M80" s="22" t="str">
        <f>IFERROR(__xludf.DUMMYFUNCTION("""COMPUTED_VALUE"""),"https://drive.google.com/open?id=1F78-nluQSO7U1kU5aNP2PTMHP2KgOGuC")</f>
        <v>https://drive.google.com/open?id=1F78-nluQSO7U1kU5aNP2PTMHP2KgOGuC</v>
      </c>
      <c r="N80" s="21" t="str">
        <f>IFERROR(__xludf.DUMMYFUNCTION("""COMPUTED_VALUE"""),"BIKASH SARKAR")</f>
        <v>BIKASH SARKAR</v>
      </c>
      <c r="O80" s="21" t="str">
        <f>IFERROR(__xludf.DUMMYFUNCTION("""COMPUTED_VALUE"""),"Assistant engineer ,public health engineering ,Govt of West Bengal ")</f>
        <v>Assistant engineer ,public health engineering ,Govt of West Bengal </v>
      </c>
      <c r="P80" s="21" t="str">
        <f>IFERROR(__xludf.DUMMYFUNCTION("""COMPUTED_VALUE"""),"Coochbehar ")</f>
        <v>Coochbehar </v>
      </c>
      <c r="Q80" s="21">
        <f>IFERROR(__xludf.DUMMYFUNCTION("""COMPUTED_VALUE"""),8.250308109E9)</f>
        <v>8250308109</v>
      </c>
      <c r="R80" s="21" t="str">
        <f>IFERROR(__xludf.DUMMYFUNCTION("""COMPUTED_VALUE"""),"Sulekha Haldar ")</f>
        <v>Sulekha Haldar </v>
      </c>
      <c r="S80" s="21" t="str">
        <f>IFERROR(__xludf.DUMMYFUNCTION("""COMPUTED_VALUE"""),"Public health nurse , Govt  of Westbengal ")</f>
        <v>Public health nurse , Govt  of Westbengal </v>
      </c>
      <c r="T80" s="21" t="str">
        <f>IFERROR(__xludf.DUMMYFUNCTION("""COMPUTED_VALUE"""),"Coochbehar ")</f>
        <v>Coochbehar </v>
      </c>
      <c r="U80" s="21">
        <f>IFERROR(__xludf.DUMMYFUNCTION("""COMPUTED_VALUE"""),9.339817732E9)</f>
        <v>9339817732</v>
      </c>
      <c r="V80" s="21">
        <f>IFERROR(__xludf.DUMMYFUNCTION("""COMPUTED_VALUE"""),2.0)</f>
        <v>2</v>
      </c>
      <c r="W80" s="21" t="str">
        <f>IFERROR(__xludf.DUMMYFUNCTION("""COMPUTED_VALUE"""),"Mr Bikash Sarkar ")</f>
        <v>Mr Bikash Sarkar </v>
      </c>
      <c r="X80" s="21" t="str">
        <f>IFERROR(__xludf.DUMMYFUNCTION("""COMPUTED_VALUE"""),"Father ")</f>
        <v>Father </v>
      </c>
      <c r="Y80" s="21" t="str">
        <f>IFERROR(__xludf.DUMMYFUNCTION("""COMPUTED_VALUE"""),"Sulekha Haldar ")</f>
        <v>Sulekha Haldar </v>
      </c>
      <c r="Z80" s="21" t="str">
        <f>IFERROR(__xludf.DUMMYFUNCTION("""COMPUTED_VALUE"""),"Mother ")</f>
        <v>Mother </v>
      </c>
      <c r="AA80" s="21" t="str">
        <f>IFERROR(__xludf.DUMMYFUNCTION("""COMPUTED_VALUE"""),"Non-Veg")</f>
        <v>Non-Veg</v>
      </c>
      <c r="AB80" s="21" t="str">
        <f>IFERROR(__xludf.DUMMYFUNCTION("""COMPUTED_VALUE"""),"Non-Veg")</f>
        <v>Non-Veg</v>
      </c>
      <c r="AC80" s="21" t="str">
        <f>IFERROR(__xludf.DUMMYFUNCTION("""COMPUTED_VALUE"""),"Non-Veg")</f>
        <v>Non-Veg</v>
      </c>
      <c r="AD80" s="21" t="str">
        <f>IFERROR(__xludf.DUMMYFUNCTION("""COMPUTED_VALUE"""),"Drop at Kolkata Airport")</f>
        <v>Drop at Kolkata Airport</v>
      </c>
      <c r="AE80" s="21">
        <f>IFERROR(__xludf.DUMMYFUNCTION("""COMPUTED_VALUE"""),3.0)</f>
        <v>3</v>
      </c>
    </row>
    <row r="81" ht="22.5" customHeight="1">
      <c r="A81" s="18">
        <f>IFERROR(__xludf.DUMMYFUNCTION("""COMPUTED_VALUE"""),46264.938354363425)</f>
        <v>46264.93835</v>
      </c>
      <c r="B81" s="21" t="str">
        <f>IFERROR(__xludf.DUMMYFUNCTION("""COMPUTED_VALUE"""),"madhurima.bscnursing-2021@aiimskalyani.edu.in")</f>
        <v>madhurima.bscnursing-2021@aiimskalyani.edu.in</v>
      </c>
      <c r="C81" s="21" t="str">
        <f>IFERROR(__xludf.DUMMYFUNCTION("""COMPUTED_VALUE"""),"MADHURIMA PAL")</f>
        <v>MADHURIMA PAL</v>
      </c>
      <c r="D81" s="21">
        <f>IFERROR(__xludf.DUMMYFUNCTION("""COMPUTED_VALUE"""),2.0210219E7)</f>
        <v>20210219</v>
      </c>
      <c r="E81" s="21" t="str">
        <f>IFERROR(__xludf.DUMMYFUNCTION("""COMPUTED_VALUE"""),"B.Sc (Hons) Nursing 2021")</f>
        <v>B.Sc (Hons) Nursing 2021</v>
      </c>
      <c r="F81" s="21">
        <f>IFERROR(__xludf.DUMMYFUNCTION("""COMPUTED_VALUE"""),7.076867322E9)</f>
        <v>7076867322</v>
      </c>
      <c r="G81" s="21" t="str">
        <f>IFERROR(__xludf.DUMMYFUNCTION("""COMPUTED_VALUE"""),"pal.madhurima2002@gmail.com")</f>
        <v>pal.madhurima2002@gmail.com</v>
      </c>
      <c r="H81" s="21" t="str">
        <f>IFERROR(__xludf.DUMMYFUNCTION("""COMPUTED_VALUE"""),"Yes")</f>
        <v>Yes</v>
      </c>
      <c r="I81" s="21"/>
      <c r="J81" s="21"/>
      <c r="K81" s="21" t="str">
        <f>IFERROR(__xludf.DUMMYFUNCTION("""COMPUTED_VALUE"""),"Nagarukhra, Nadia")</f>
        <v>Nagarukhra, Nadia</v>
      </c>
      <c r="L81" s="22" t="str">
        <f>IFERROR(__xludf.DUMMYFUNCTION("""COMPUTED_VALUE"""),"https://drive.google.com/open?id=1-A24FxicSu6TlZgRzkvmjZ-h3EaKAQRB")</f>
        <v>https://drive.google.com/open?id=1-A24FxicSu6TlZgRzkvmjZ-h3EaKAQRB</v>
      </c>
      <c r="M81" s="22" t="str">
        <f>IFERROR(__xludf.DUMMYFUNCTION("""COMPUTED_VALUE"""),"https://drive.google.com/open?id=1OCIzAgg3HrveRAvtpQ02ud9VHzxivlLu")</f>
        <v>https://drive.google.com/open?id=1OCIzAgg3HrveRAvtpQ02ud9VHzxivlLu</v>
      </c>
      <c r="N81" s="21" t="str">
        <f>IFERROR(__xludf.DUMMYFUNCTION("""COMPUTED_VALUE"""),"Kartick Pal")</f>
        <v>Kartick Pal</v>
      </c>
      <c r="O81" s="21" t="str">
        <f>IFERROR(__xludf.DUMMYFUNCTION("""COMPUTED_VALUE"""),"Teacher (retired)")</f>
        <v>Teacher (retired)</v>
      </c>
      <c r="P81" s="21" t="str">
        <f>IFERROR(__xludf.DUMMYFUNCTION("""COMPUTED_VALUE"""),"Nagarukhra, Nadia")</f>
        <v>Nagarukhra, Nadia</v>
      </c>
      <c r="Q81" s="21">
        <f>IFERROR(__xludf.DUMMYFUNCTION("""COMPUTED_VALUE"""),9.734824034E9)</f>
        <v>9734824034</v>
      </c>
      <c r="R81" s="21" t="str">
        <f>IFERROR(__xludf.DUMMYFUNCTION("""COMPUTED_VALUE"""),"Rita Pal")</f>
        <v>Rita Pal</v>
      </c>
      <c r="S81" s="21" t="str">
        <f>IFERROR(__xludf.DUMMYFUNCTION("""COMPUTED_VALUE"""),"Housewife ")</f>
        <v>Housewife </v>
      </c>
      <c r="T81" s="21" t="str">
        <f>IFERROR(__xludf.DUMMYFUNCTION("""COMPUTED_VALUE"""),"Nagarukhra, Nadia")</f>
        <v>Nagarukhra, Nadia</v>
      </c>
      <c r="U81" s="21">
        <f>IFERROR(__xludf.DUMMYFUNCTION("""COMPUTED_VALUE"""),9.734831622E9)</f>
        <v>9734831622</v>
      </c>
      <c r="V81" s="21">
        <f>IFERROR(__xludf.DUMMYFUNCTION("""COMPUTED_VALUE"""),2.0)</f>
        <v>2</v>
      </c>
      <c r="W81" s="21" t="str">
        <f>IFERROR(__xludf.DUMMYFUNCTION("""COMPUTED_VALUE"""),"Kartick Pal")</f>
        <v>Kartick Pal</v>
      </c>
      <c r="X81" s="21" t="str">
        <f>IFERROR(__xludf.DUMMYFUNCTION("""COMPUTED_VALUE"""),"Father")</f>
        <v>Father</v>
      </c>
      <c r="Y81" s="21" t="str">
        <f>IFERROR(__xludf.DUMMYFUNCTION("""COMPUTED_VALUE"""),"Rita Pal")</f>
        <v>Rita Pal</v>
      </c>
      <c r="Z81" s="21" t="str">
        <f>IFERROR(__xludf.DUMMYFUNCTION("""COMPUTED_VALUE"""),"Mother")</f>
        <v>Mother</v>
      </c>
      <c r="AA81" s="21" t="str">
        <f>IFERROR(__xludf.DUMMYFUNCTION("""COMPUTED_VALUE"""),"Non-Veg")</f>
        <v>Non-Veg</v>
      </c>
      <c r="AB81" s="21" t="str">
        <f>IFERROR(__xludf.DUMMYFUNCTION("""COMPUTED_VALUE"""),"Non-Veg")</f>
        <v>Non-Veg</v>
      </c>
      <c r="AC81" s="21" t="str">
        <f>IFERROR(__xludf.DUMMYFUNCTION("""COMPUTED_VALUE"""),"Non-Veg")</f>
        <v>Non-Veg</v>
      </c>
      <c r="AD81" s="21" t="str">
        <f>IFERROR(__xludf.DUMMYFUNCTION("""COMPUTED_VALUE"""),"Bus Drop Service not needed")</f>
        <v>Bus Drop Service not needed</v>
      </c>
      <c r="AE81" s="21"/>
    </row>
    <row r="82" ht="22.5" customHeight="1">
      <c r="A82" s="18">
        <f>IFERROR(__xludf.DUMMYFUNCTION("""COMPUTED_VALUE"""),46264.924275405094)</f>
        <v>46264.92428</v>
      </c>
      <c r="B82" s="21" t="str">
        <f>IFERROR(__xludf.DUMMYFUNCTION("""COMPUTED_VALUE"""),"ramyakp1209@gmail.com")</f>
        <v>ramyakp1209@gmail.com</v>
      </c>
      <c r="C82" s="21" t="str">
        <f>IFERROR(__xludf.DUMMYFUNCTION("""COMPUTED_VALUE"""),"Dr. Ramya KP")</f>
        <v>Dr. Ramya KP</v>
      </c>
      <c r="D82" s="21">
        <f>IFERROR(__xludf.DUMMYFUNCTION("""COMPUTED_VALUE"""),2.023031E7)</f>
        <v>20230310</v>
      </c>
      <c r="E82" s="21" t="str">
        <f>IFERROR(__xludf.DUMMYFUNCTION("""COMPUTED_VALUE"""),"MD/MS/MDS 2023")</f>
        <v>MD/MS/MDS 2023</v>
      </c>
      <c r="F82" s="21">
        <f>IFERROR(__xludf.DUMMYFUNCTION("""COMPUTED_VALUE"""),7.019124752E9)</f>
        <v>7019124752</v>
      </c>
      <c r="G82" s="21" t="str">
        <f>IFERROR(__xludf.DUMMYFUNCTION("""COMPUTED_VALUE"""),"ramyakp1209@gmail.com")</f>
        <v>ramyakp1209@gmail.com</v>
      </c>
      <c r="H82" s="21" t="str">
        <f>IFERROR(__xludf.DUMMYFUNCTION("""COMPUTED_VALUE"""),"Yes")</f>
        <v>Yes</v>
      </c>
      <c r="I82" s="21" t="str">
        <f>IFERROR(__xludf.DUMMYFUNCTION("""COMPUTED_VALUE"""),"My interests include exploring new places and cultures, drawing, reading, photography, and spending quality time with family and friends.")</f>
        <v>My interests include exploring new places and cultures, drawing, reading, photography, and spending quality time with family and friends.</v>
      </c>
      <c r="J82" s="21" t="str">
        <f>IFERROR(__xludf.DUMMYFUNCTION("""COMPUTED_VALUE"""),"I am a throwball player. I was awarded an ICMR Travel Grant to attend an international conference. I secured All India Rank 11 in INI-CET and University Rank 6 at Rajiv Gandhi University of Health Sciences (RGUHS).")</f>
        <v>I am a throwball player. I was awarded an ICMR Travel Grant to attend an international conference. I secured All India Rank 11 in INI-CET and University Rank 6 at Rajiv Gandhi University of Health Sciences (RGUHS).</v>
      </c>
      <c r="K82" s="21" t="str">
        <f>IFERROR(__xludf.DUMMYFUNCTION("""COMPUTED_VALUE"""),"Chikamgalur Karnataka ")</f>
        <v>Chikamgalur Karnataka </v>
      </c>
      <c r="L82" s="22" t="str">
        <f>IFERROR(__xludf.DUMMYFUNCTION("""COMPUTED_VALUE"""),"https://drive.google.com/open?id=16L9yiJ70gs6N6A6HBB9lxEFI3bmzseJn")</f>
        <v>https://drive.google.com/open?id=16L9yiJ70gs6N6A6HBB9lxEFI3bmzseJn</v>
      </c>
      <c r="M82" s="22" t="str">
        <f>IFERROR(__xludf.DUMMYFUNCTION("""COMPUTED_VALUE"""),"https://drive.google.com/open?id=1QCLWW_VGKxo-Zs6n7Q2hz-awebqEcIGe")</f>
        <v>https://drive.google.com/open?id=1QCLWW_VGKxo-Zs6n7Q2hz-awebqEcIGe</v>
      </c>
      <c r="N82" s="21" t="str">
        <f>IFERROR(__xludf.DUMMYFUNCTION("""COMPUTED_VALUE"""),"KM Parameshwara")</f>
        <v>KM Parameshwara</v>
      </c>
      <c r="O82" s="21" t="str">
        <f>IFERROR(__xludf.DUMMYFUNCTION("""COMPUTED_VALUE"""),"Superintendent, women’s first grade college chikamagalur Karnataka ")</f>
        <v>Superintendent, women’s first grade college chikamagalur Karnataka </v>
      </c>
      <c r="P82" s="21" t="str">
        <f>IFERROR(__xludf.DUMMYFUNCTION("""COMPUTED_VALUE"""),"Chikamagalur Karnataka ")</f>
        <v>Chikamagalur Karnataka </v>
      </c>
      <c r="Q82" s="21">
        <f>IFERROR(__xludf.DUMMYFUNCTION("""COMPUTED_VALUE"""),9.741745139E9)</f>
        <v>9741745139</v>
      </c>
      <c r="R82" s="21" t="str">
        <f>IFERROR(__xludf.DUMMYFUNCTION("""COMPUTED_VALUE"""),"Gnanapurna BS")</f>
        <v>Gnanapurna BS</v>
      </c>
      <c r="S82" s="21" t="str">
        <f>IFERROR(__xludf.DUMMYFUNCTION("""COMPUTED_VALUE"""),"Superintendent, Zillapanchayat, ckm, Karnataka ")</f>
        <v>Superintendent, Zillapanchayat, ckm, Karnataka </v>
      </c>
      <c r="T82" s="21" t="str">
        <f>IFERROR(__xludf.DUMMYFUNCTION("""COMPUTED_VALUE"""),"Chikamagalur, Karnataka.")</f>
        <v>Chikamagalur, Karnataka.</v>
      </c>
      <c r="U82" s="21">
        <f>IFERROR(__xludf.DUMMYFUNCTION("""COMPUTED_VALUE"""),8.660537404E9)</f>
        <v>8660537404</v>
      </c>
      <c r="V82" s="21">
        <f>IFERROR(__xludf.DUMMYFUNCTION("""COMPUTED_VALUE"""),1.0)</f>
        <v>1</v>
      </c>
      <c r="W82" s="21" t="str">
        <f>IFERROR(__xludf.DUMMYFUNCTION("""COMPUTED_VALUE"""),"Dr. Dayanand Sagar P")</f>
        <v>Dr. Dayanand Sagar P</v>
      </c>
      <c r="X82" s="21" t="str">
        <f>IFERROR(__xludf.DUMMYFUNCTION("""COMPUTED_VALUE"""),"Husband")</f>
        <v>Husband</v>
      </c>
      <c r="Y82" s="21"/>
      <c r="Z82" s="21"/>
      <c r="AA82" s="21" t="str">
        <f>IFERROR(__xludf.DUMMYFUNCTION("""COMPUTED_VALUE"""),"Non-Veg")</f>
        <v>Non-Veg</v>
      </c>
      <c r="AB82" s="21" t="str">
        <f>IFERROR(__xludf.DUMMYFUNCTION("""COMPUTED_VALUE"""),"Non-Veg")</f>
        <v>Non-Veg</v>
      </c>
      <c r="AC82" s="21"/>
      <c r="AD82" s="21" t="str">
        <f>IFERROR(__xludf.DUMMYFUNCTION("""COMPUTED_VALUE"""),"Bus Drop Service not needed")</f>
        <v>Bus Drop Service not needed</v>
      </c>
      <c r="AE82" s="21">
        <f>IFERROR(__xludf.DUMMYFUNCTION("""COMPUTED_VALUE"""),0.0)</f>
        <v>0</v>
      </c>
    </row>
    <row r="83" ht="22.5" customHeight="1">
      <c r="A83" s="18">
        <f>IFERROR(__xludf.DUMMYFUNCTION("""COMPUTED_VALUE"""),46264.90421167824)</f>
        <v>46264.90421</v>
      </c>
      <c r="B83" s="21" t="str">
        <f>IFERROR(__xludf.DUMMYFUNCTION("""COMPUTED_VALUE"""),"kinshuk.mbbs-2020@aiimskalyani.edu.in")</f>
        <v>kinshuk.mbbs-2020@aiimskalyani.edu.in</v>
      </c>
      <c r="C83" s="21" t="str">
        <f>IFERROR(__xludf.DUMMYFUNCTION("""COMPUTED_VALUE"""),"KINSHUK KHALUA ")</f>
        <v>KINSHUK KHALUA </v>
      </c>
      <c r="D83" s="21" t="str">
        <f>IFERROR(__xludf.DUMMYFUNCTION("""COMPUTED_VALUE"""),"Roll :-57 / Enrollment no:- 202001107")</f>
        <v>Roll :-57 / Enrollment no:- 202001107</v>
      </c>
      <c r="E83" s="21" t="str">
        <f>IFERROR(__xludf.DUMMYFUNCTION("""COMPUTED_VALUE"""),"MBBS 2020")</f>
        <v>MBBS 2020</v>
      </c>
      <c r="F83" s="21">
        <f>IFERROR(__xludf.DUMMYFUNCTION("""COMPUTED_VALUE"""),9.339307495E9)</f>
        <v>9339307495</v>
      </c>
      <c r="G83" s="21" t="str">
        <f>IFERROR(__xludf.DUMMYFUNCTION("""COMPUTED_VALUE"""),"kinshuk.mbbs-2020@aiimskalyani.edu.in")</f>
        <v>kinshuk.mbbs-2020@aiimskalyani.edu.in</v>
      </c>
      <c r="H83" s="21" t="str">
        <f>IFERROR(__xludf.DUMMYFUNCTION("""COMPUTED_VALUE"""),"Yes")</f>
        <v>Yes</v>
      </c>
      <c r="I83" s="21"/>
      <c r="J83" s="21"/>
      <c r="K83" s="21" t="str">
        <f>IFERROR(__xludf.DUMMYFUNCTION("""COMPUTED_VALUE"""),"Moyna, Purba Medinipur , 721642")</f>
        <v>Moyna, Purba Medinipur , 721642</v>
      </c>
      <c r="L83" s="22" t="str">
        <f>IFERROR(__xludf.DUMMYFUNCTION("""COMPUTED_VALUE"""),"https://drive.google.com/open?id=1X72wInD9AZd_FjWj8dYlC55ijAuQHYM-")</f>
        <v>https://drive.google.com/open?id=1X72wInD9AZd_FjWj8dYlC55ijAuQHYM-</v>
      </c>
      <c r="M83" s="22" t="str">
        <f>IFERROR(__xludf.DUMMYFUNCTION("""COMPUTED_VALUE"""),"https://drive.google.com/open?id=1aqvxPfiLCcEoD5tn2ygpiJqfn4gzD8rz")</f>
        <v>https://drive.google.com/open?id=1aqvxPfiLCcEoD5tn2ygpiJqfn4gzD8rz</v>
      </c>
      <c r="N83" s="21" t="str">
        <f>IFERROR(__xludf.DUMMYFUNCTION("""COMPUTED_VALUE"""),"KHOKAN KUMAR KHALUA")</f>
        <v>KHOKAN KUMAR KHALUA</v>
      </c>
      <c r="O83" s="21" t="str">
        <f>IFERROR(__xludf.DUMMYFUNCTION("""COMPUTED_VALUE"""),"SCHOOL TEACHER ")</f>
        <v>SCHOOL TEACHER </v>
      </c>
      <c r="P83" s="21" t="str">
        <f>IFERROR(__xludf.DUMMYFUNCTION("""COMPUTED_VALUE"""),"Ismalichak , Moyna , Purba Medinipur ,721642")</f>
        <v>Ismalichak , Moyna , Purba Medinipur ,721642</v>
      </c>
      <c r="Q83" s="21">
        <f>IFERROR(__xludf.DUMMYFUNCTION("""COMPUTED_VALUE"""),9.775223168E9)</f>
        <v>9775223168</v>
      </c>
      <c r="R83" s="21" t="str">
        <f>IFERROR(__xludf.DUMMYFUNCTION("""COMPUTED_VALUE"""),"TISTA HAZRA KHALUA")</f>
        <v>TISTA HAZRA KHALUA</v>
      </c>
      <c r="S83" s="21" t="str">
        <f>IFERROR(__xludf.DUMMYFUNCTION("""COMPUTED_VALUE"""),"NURSING OFFICER ")</f>
        <v>NURSING OFFICER </v>
      </c>
      <c r="T83" s="21" t="str">
        <f>IFERROR(__xludf.DUMMYFUNCTION("""COMPUTED_VALUE"""),"Ismalichak , Moyna , Purba Medinipur ,721642")</f>
        <v>Ismalichak , Moyna , Purba Medinipur ,721642</v>
      </c>
      <c r="U83" s="21">
        <f>IFERROR(__xludf.DUMMYFUNCTION("""COMPUTED_VALUE"""),9.73435414E9)</f>
        <v>9734354140</v>
      </c>
      <c r="V83" s="21">
        <f>IFERROR(__xludf.DUMMYFUNCTION("""COMPUTED_VALUE"""),2.0)</f>
        <v>2</v>
      </c>
      <c r="W83" s="21" t="str">
        <f>IFERROR(__xludf.DUMMYFUNCTION("""COMPUTED_VALUE"""),"KHOKAN KUMAR KHALUA ")</f>
        <v>KHOKAN KUMAR KHALUA </v>
      </c>
      <c r="X83" s="21" t="str">
        <f>IFERROR(__xludf.DUMMYFUNCTION("""COMPUTED_VALUE"""),"FATHER")</f>
        <v>FATHER</v>
      </c>
      <c r="Y83" s="21" t="str">
        <f>IFERROR(__xludf.DUMMYFUNCTION("""COMPUTED_VALUE"""),"TISTA HAZRA KHALUA ")</f>
        <v>TISTA HAZRA KHALUA </v>
      </c>
      <c r="Z83" s="21" t="str">
        <f>IFERROR(__xludf.DUMMYFUNCTION("""COMPUTED_VALUE"""),"MOTHER")</f>
        <v>MOTHER</v>
      </c>
      <c r="AA83" s="21" t="str">
        <f>IFERROR(__xludf.DUMMYFUNCTION("""COMPUTED_VALUE"""),"Non-Veg")</f>
        <v>Non-Veg</v>
      </c>
      <c r="AB83" s="21" t="str">
        <f>IFERROR(__xludf.DUMMYFUNCTION("""COMPUTED_VALUE"""),"Non-Veg")</f>
        <v>Non-Veg</v>
      </c>
      <c r="AC83" s="21" t="str">
        <f>IFERROR(__xludf.DUMMYFUNCTION("""COMPUTED_VALUE"""),"Non-Veg")</f>
        <v>Non-Veg</v>
      </c>
      <c r="AD83" s="21"/>
      <c r="AE83" s="21"/>
    </row>
    <row r="84" ht="22.5" customHeight="1">
      <c r="A84" s="18">
        <f>IFERROR(__xludf.DUMMYFUNCTION("""COMPUTED_VALUE"""),46264.901803518514)</f>
        <v>46264.9018</v>
      </c>
      <c r="B84" s="21" t="str">
        <f>IFERROR(__xludf.DUMMYFUNCTION("""COMPUTED_VALUE"""),"pragya.mbbs-2020@aiimskalyani.edu.in")</f>
        <v>pragya.mbbs-2020@aiimskalyani.edu.in</v>
      </c>
      <c r="C84" s="21" t="str">
        <f>IFERROR(__xludf.DUMMYFUNCTION("""COMPUTED_VALUE"""),"PRAGYA BHARATI")</f>
        <v>PRAGYA BHARATI</v>
      </c>
      <c r="D84" s="21" t="str">
        <f>IFERROR(__xludf.DUMMYFUNCTION("""COMPUTED_VALUE"""),"69 / 202001119")</f>
        <v>69 / 202001119</v>
      </c>
      <c r="E84" s="21" t="str">
        <f>IFERROR(__xludf.DUMMYFUNCTION("""COMPUTED_VALUE"""),"MBBS 2020")</f>
        <v>MBBS 2020</v>
      </c>
      <c r="F84" s="21">
        <f>IFERROR(__xludf.DUMMYFUNCTION("""COMPUTED_VALUE"""),9.821267506E9)</f>
        <v>9821267506</v>
      </c>
      <c r="G84" s="21" t="str">
        <f>IFERROR(__xludf.DUMMYFUNCTION("""COMPUTED_VALUE"""),"Pebble12000@gmail.com")</f>
        <v>Pebble12000@gmail.com</v>
      </c>
      <c r="H84" s="21" t="str">
        <f>IFERROR(__xludf.DUMMYFUNCTION("""COMPUTED_VALUE"""),"Yes")</f>
        <v>Yes</v>
      </c>
      <c r="I84" s="21" t="str">
        <f>IFERROR(__xludf.DUMMYFUNCTION("""COMPUTED_VALUE"""),"Singing, sketching")</f>
        <v>Singing, sketching</v>
      </c>
      <c r="J84" s="21" t="str">
        <f>IFERROR(__xludf.DUMMYFUNCTION("""COMPUTED_VALUE"""),"Yoga nationals 2018")</f>
        <v>Yoga nationals 2018</v>
      </c>
      <c r="K84" s="21" t="str">
        <f>IFERROR(__xludf.DUMMYFUNCTION("""COMPUTED_VALUE"""),"Patna, bihar")</f>
        <v>Patna, bihar</v>
      </c>
      <c r="L84" s="22" t="str">
        <f>IFERROR(__xludf.DUMMYFUNCTION("""COMPUTED_VALUE"""),"https://drive.google.com/open?id=1AgF_jk0KJ6Zalc4c9iPPr9IvqSwjDCXu")</f>
        <v>https://drive.google.com/open?id=1AgF_jk0KJ6Zalc4c9iPPr9IvqSwjDCXu</v>
      </c>
      <c r="M84" s="22" t="str">
        <f>IFERROR(__xludf.DUMMYFUNCTION("""COMPUTED_VALUE"""),"https://drive.google.com/open?id=1rbGz2tCFTemlGr2jS0AmItnim0PMvksE")</f>
        <v>https://drive.google.com/open?id=1rbGz2tCFTemlGr2jS0AmItnim0PMvksE</v>
      </c>
      <c r="N84" s="21" t="str">
        <f>IFERROR(__xludf.DUMMYFUNCTION("""COMPUTED_VALUE"""),"Mr. Kundan kumar")</f>
        <v>Mr. Kundan kumar</v>
      </c>
      <c r="O84" s="21" t="str">
        <f>IFERROR(__xludf.DUMMYFUNCTION("""COMPUTED_VALUE"""),"Senior Manager, Bank of Baroda")</f>
        <v>Senior Manager, Bank of Baroda</v>
      </c>
      <c r="P84" s="21" t="str">
        <f>IFERROR(__xludf.DUMMYFUNCTION("""COMPUTED_VALUE"""),"Delhi")</f>
        <v>Delhi</v>
      </c>
      <c r="Q84" s="21">
        <f>IFERROR(__xludf.DUMMYFUNCTION("""COMPUTED_VALUE"""),8.851573417E9)</f>
        <v>8851573417</v>
      </c>
      <c r="R84" s="21" t="str">
        <f>IFERROR(__xludf.DUMMYFUNCTION("""COMPUTED_VALUE"""),"Dr. Usha kumari")</f>
        <v>Dr. Usha kumari</v>
      </c>
      <c r="S84" s="21" t="str">
        <f>IFERROR(__xludf.DUMMYFUNCTION("""COMPUTED_VALUE"""),"Chairperson, Child Welfare Committee, Patna, Bihar")</f>
        <v>Chairperson, Child Welfare Committee, Patna, Bihar</v>
      </c>
      <c r="T84" s="21" t="str">
        <f>IFERROR(__xludf.DUMMYFUNCTION("""COMPUTED_VALUE"""),"Patna, Bihar")</f>
        <v>Patna, Bihar</v>
      </c>
      <c r="U84" s="21">
        <f>IFERROR(__xludf.DUMMYFUNCTION("""COMPUTED_VALUE"""),7.00443658E9)</f>
        <v>7004436580</v>
      </c>
      <c r="V84" s="21">
        <f>IFERROR(__xludf.DUMMYFUNCTION("""COMPUTED_VALUE"""),2.0)</f>
        <v>2</v>
      </c>
      <c r="W84" s="21" t="str">
        <f>IFERROR(__xludf.DUMMYFUNCTION("""COMPUTED_VALUE"""),"Dr. Usha Kumari")</f>
        <v>Dr. Usha Kumari</v>
      </c>
      <c r="X84" s="21" t="str">
        <f>IFERROR(__xludf.DUMMYFUNCTION("""COMPUTED_VALUE"""),"Mother")</f>
        <v>Mother</v>
      </c>
      <c r="Y84" s="21" t="str">
        <f>IFERROR(__xludf.DUMMYFUNCTION("""COMPUTED_VALUE"""),"Mr. Manas Kumar Vatsal")</f>
        <v>Mr. Manas Kumar Vatsal</v>
      </c>
      <c r="Z84" s="21" t="str">
        <f>IFERROR(__xludf.DUMMYFUNCTION("""COMPUTED_VALUE"""),"Maternal Uncle")</f>
        <v>Maternal Uncle</v>
      </c>
      <c r="AA84" s="21" t="str">
        <f>IFERROR(__xludf.DUMMYFUNCTION("""COMPUTED_VALUE"""),"Veg")</f>
        <v>Veg</v>
      </c>
      <c r="AB84" s="21" t="str">
        <f>IFERROR(__xludf.DUMMYFUNCTION("""COMPUTED_VALUE"""),"Non-Veg")</f>
        <v>Non-Veg</v>
      </c>
      <c r="AC84" s="21" t="str">
        <f>IFERROR(__xludf.DUMMYFUNCTION("""COMPUTED_VALUE"""),"Veg")</f>
        <v>Veg</v>
      </c>
      <c r="AD84" s="21" t="str">
        <f>IFERROR(__xludf.DUMMYFUNCTION("""COMPUTED_VALUE"""),"Bus Drop Service not needed")</f>
        <v>Bus Drop Service not needed</v>
      </c>
      <c r="AE84" s="21">
        <f>IFERROR(__xludf.DUMMYFUNCTION("""COMPUTED_VALUE"""),0.0)</f>
        <v>0</v>
      </c>
    </row>
    <row r="85" ht="22.5" customHeight="1">
      <c r="A85" s="18">
        <f>IFERROR(__xludf.DUMMYFUNCTION("""COMPUTED_VALUE"""),46264.89768414352)</f>
        <v>46264.89768</v>
      </c>
      <c r="B85" s="21" t="str">
        <f>IFERROR(__xludf.DUMMYFUNCTION("""COMPUTED_VALUE"""),"tiyasha.mbbs-2020@aiimskalyani.edu.in")</f>
        <v>tiyasha.mbbs-2020@aiimskalyani.edu.in</v>
      </c>
      <c r="C85" s="21" t="str">
        <f>IFERROR(__xludf.DUMMYFUNCTION("""COMPUTED_VALUE"""),"TIYASHA CHATTERJEE")</f>
        <v>TIYASHA CHATTERJEE</v>
      </c>
      <c r="D85" s="21">
        <f>IFERROR(__xludf.DUMMYFUNCTION("""COMPUTED_VALUE"""),2.02001157E8)</f>
        <v>202001157</v>
      </c>
      <c r="E85" s="21" t="str">
        <f>IFERROR(__xludf.DUMMYFUNCTION("""COMPUTED_VALUE"""),"MBBS 2020")</f>
        <v>MBBS 2020</v>
      </c>
      <c r="F85" s="21">
        <f>IFERROR(__xludf.DUMMYFUNCTION("""COMPUTED_VALUE"""),9.67462244E9)</f>
        <v>9674622440</v>
      </c>
      <c r="G85" s="21" t="str">
        <f>IFERROR(__xludf.DUMMYFUNCTION("""COMPUTED_VALUE"""),"tiyasha.mbbs-2020@aiimskalyani.edu.in")</f>
        <v>tiyasha.mbbs-2020@aiimskalyani.edu.in</v>
      </c>
      <c r="H85" s="21" t="str">
        <f>IFERROR(__xludf.DUMMYFUNCTION("""COMPUTED_VALUE"""),"Yes")</f>
        <v>Yes</v>
      </c>
      <c r="I85" s="21"/>
      <c r="J85" s="21"/>
      <c r="K85" s="21" t="str">
        <f>IFERROR(__xludf.DUMMYFUNCTION("""COMPUTED_VALUE"""),"Kolkata")</f>
        <v>Kolkata</v>
      </c>
      <c r="L85" s="22" t="str">
        <f>IFERROR(__xludf.DUMMYFUNCTION("""COMPUTED_VALUE"""),"https://drive.google.com/open?id=1nmE9wXF0rSvMqTuC6uREA91cFeJXAsj6")</f>
        <v>https://drive.google.com/open?id=1nmE9wXF0rSvMqTuC6uREA91cFeJXAsj6</v>
      </c>
      <c r="M85" s="22" t="str">
        <f>IFERROR(__xludf.DUMMYFUNCTION("""COMPUTED_VALUE"""),"https://drive.google.com/open?id=14RNrUN4mpkbO7eAM95HuFDkFOWUgWnaK")</f>
        <v>https://drive.google.com/open?id=14RNrUN4mpkbO7eAM95HuFDkFOWUgWnaK</v>
      </c>
      <c r="N85" s="21" t="str">
        <f>IFERROR(__xludf.DUMMYFUNCTION("""COMPUTED_VALUE"""),"Rahul Chatterjee")</f>
        <v>Rahul Chatterjee</v>
      </c>
      <c r="O85" s="21" t="str">
        <f>IFERROR(__xludf.DUMMYFUNCTION("""COMPUTED_VALUE"""),"Service ")</f>
        <v>Service </v>
      </c>
      <c r="P85" s="21" t="str">
        <f>IFERROR(__xludf.DUMMYFUNCTION("""COMPUTED_VALUE"""),"Kolkata")</f>
        <v>Kolkata</v>
      </c>
      <c r="Q85" s="21">
        <f>IFERROR(__xludf.DUMMYFUNCTION("""COMPUTED_VALUE"""),9.87426436E9)</f>
        <v>9874264360</v>
      </c>
      <c r="R85" s="21" t="str">
        <f>IFERROR(__xludf.DUMMYFUNCTION("""COMPUTED_VALUE"""),"Madhumita Chatterjee")</f>
        <v>Madhumita Chatterjee</v>
      </c>
      <c r="S85" s="21" t="str">
        <f>IFERROR(__xludf.DUMMYFUNCTION("""COMPUTED_VALUE"""),"Entrepreneur ")</f>
        <v>Entrepreneur </v>
      </c>
      <c r="T85" s="21" t="str">
        <f>IFERROR(__xludf.DUMMYFUNCTION("""COMPUTED_VALUE"""),"Kolkata")</f>
        <v>Kolkata</v>
      </c>
      <c r="U85" s="21">
        <f>IFERROR(__xludf.DUMMYFUNCTION("""COMPUTED_VALUE"""),9.836080313E9)</f>
        <v>9836080313</v>
      </c>
      <c r="V85" s="21">
        <f>IFERROR(__xludf.DUMMYFUNCTION("""COMPUTED_VALUE"""),2.0)</f>
        <v>2</v>
      </c>
      <c r="W85" s="21" t="str">
        <f>IFERROR(__xludf.DUMMYFUNCTION("""COMPUTED_VALUE"""),"Madhumita Chatterjee ")</f>
        <v>Madhumita Chatterjee </v>
      </c>
      <c r="X85" s="21" t="str">
        <f>IFERROR(__xludf.DUMMYFUNCTION("""COMPUTED_VALUE"""),"Mother")</f>
        <v>Mother</v>
      </c>
      <c r="Y85" s="21" t="str">
        <f>IFERROR(__xludf.DUMMYFUNCTION("""COMPUTED_VALUE"""),"Rahul Chatterjee ")</f>
        <v>Rahul Chatterjee </v>
      </c>
      <c r="Z85" s="21" t="str">
        <f>IFERROR(__xludf.DUMMYFUNCTION("""COMPUTED_VALUE"""),"Father")</f>
        <v>Father</v>
      </c>
      <c r="AA85" s="21" t="str">
        <f>IFERROR(__xludf.DUMMYFUNCTION("""COMPUTED_VALUE"""),"Non-Veg")</f>
        <v>Non-Veg</v>
      </c>
      <c r="AB85" s="21" t="str">
        <f>IFERROR(__xludf.DUMMYFUNCTION("""COMPUTED_VALUE"""),"Veg")</f>
        <v>Veg</v>
      </c>
      <c r="AC85" s="21" t="str">
        <f>IFERROR(__xludf.DUMMYFUNCTION("""COMPUTED_VALUE"""),"Veg")</f>
        <v>Veg</v>
      </c>
      <c r="AD85" s="21" t="str">
        <f>IFERROR(__xludf.DUMMYFUNCTION("""COMPUTED_VALUE"""),"Bus Drop Service not needed")</f>
        <v>Bus Drop Service not needed</v>
      </c>
      <c r="AE85" s="21">
        <f>IFERROR(__xludf.DUMMYFUNCTION("""COMPUTED_VALUE"""),0.0)</f>
        <v>0</v>
      </c>
    </row>
    <row r="86" ht="22.5" customHeight="1">
      <c r="A86" s="18">
        <f>IFERROR(__xludf.DUMMYFUNCTION("""COMPUTED_VALUE"""),46264.895832951384)</f>
        <v>46264.89583</v>
      </c>
      <c r="B86" s="21" t="str">
        <f>IFERROR(__xludf.DUMMYFUNCTION("""COMPUTED_VALUE"""),"altaf.mbbs-2020@aiimskalyani.edu.in")</f>
        <v>altaf.mbbs-2020@aiimskalyani.edu.in</v>
      </c>
      <c r="C86" s="21" t="str">
        <f>IFERROR(__xludf.DUMMYFUNCTION("""COMPUTED_VALUE"""),"ALTAF KHAN ")</f>
        <v>ALTAF KHAN </v>
      </c>
      <c r="D86" s="21">
        <f>IFERROR(__xludf.DUMMYFUNCTION("""COMPUTED_VALUE"""),2.0200158E7)</f>
        <v>20200158</v>
      </c>
      <c r="E86" s="21" t="str">
        <f>IFERROR(__xludf.DUMMYFUNCTION("""COMPUTED_VALUE"""),"MBBS 2020")</f>
        <v>MBBS 2020</v>
      </c>
      <c r="F86" s="21">
        <f>IFERROR(__xludf.DUMMYFUNCTION("""COMPUTED_VALUE"""),9.453612551E9)</f>
        <v>9453612551</v>
      </c>
      <c r="G86" s="21" t="str">
        <f>IFERROR(__xludf.DUMMYFUNCTION("""COMPUTED_VALUE"""),"Altaf.mbbs-2020@aiimskalyani.edu.in")</f>
        <v>Altaf.mbbs-2020@aiimskalyani.edu.in</v>
      </c>
      <c r="H86" s="21" t="str">
        <f>IFERROR(__xludf.DUMMYFUNCTION("""COMPUTED_VALUE"""),"Yes")</f>
        <v>Yes</v>
      </c>
      <c r="I86" s="21" t="str">
        <f>IFERROR(__xludf.DUMMYFUNCTION("""COMPUTED_VALUE"""),"None")</f>
        <v>None</v>
      </c>
      <c r="J86" s="21" t="str">
        <f>IFERROR(__xludf.DUMMYFUNCTION("""COMPUTED_VALUE"""),"None")</f>
        <v>None</v>
      </c>
      <c r="K86" s="21" t="str">
        <f>IFERROR(__xludf.DUMMYFUNCTION("""COMPUTED_VALUE"""),"Lucknow ")</f>
        <v>Lucknow </v>
      </c>
      <c r="L86" s="22" t="str">
        <f>IFERROR(__xludf.DUMMYFUNCTION("""COMPUTED_VALUE"""),"https://drive.google.com/open?id=1OKHYOcwxo5KX9hlTtCqE_9AV5KAEvPQt")</f>
        <v>https://drive.google.com/open?id=1OKHYOcwxo5KX9hlTtCqE_9AV5KAEvPQt</v>
      </c>
      <c r="M86" s="22" t="str">
        <f>IFERROR(__xludf.DUMMYFUNCTION("""COMPUTED_VALUE"""),"https://drive.google.com/open?id=1oE2EZGy9gu12RvtXM-WBxqvnrUSWKilB")</f>
        <v>https://drive.google.com/open?id=1oE2EZGy9gu12RvtXM-WBxqvnrUSWKilB</v>
      </c>
      <c r="N86" s="21" t="str">
        <f>IFERROR(__xludf.DUMMYFUNCTION("""COMPUTED_VALUE"""),"Lt. Dr. Dilshad Nabi Khan ")</f>
        <v>Lt. Dr. Dilshad Nabi Khan </v>
      </c>
      <c r="O86" s="21" t="str">
        <f>IFERROR(__xludf.DUMMYFUNCTION("""COMPUTED_VALUE"""),"--")</f>
        <v>--</v>
      </c>
      <c r="P86" s="21" t="str">
        <f>IFERROR(__xludf.DUMMYFUNCTION("""COMPUTED_VALUE"""),"--")</f>
        <v>--</v>
      </c>
      <c r="Q86" s="21">
        <f>IFERROR(__xludf.DUMMYFUNCTION("""COMPUTED_VALUE"""),9.453612551E9)</f>
        <v>9453612551</v>
      </c>
      <c r="R86" s="21" t="str">
        <f>IFERROR(__xludf.DUMMYFUNCTION("""COMPUTED_VALUE"""),"Noorjahan Khan ")</f>
        <v>Noorjahan Khan </v>
      </c>
      <c r="S86" s="21" t="str">
        <f>IFERROR(__xludf.DUMMYFUNCTION("""COMPUTED_VALUE"""),"Home maker")</f>
        <v>Home maker</v>
      </c>
      <c r="T86" s="21" t="str">
        <f>IFERROR(__xludf.DUMMYFUNCTION("""COMPUTED_VALUE"""),"Lucknow")</f>
        <v>Lucknow</v>
      </c>
      <c r="U86" s="21">
        <f>IFERROR(__xludf.DUMMYFUNCTION("""COMPUTED_VALUE"""),9.12593713E9)</f>
        <v>9125937130</v>
      </c>
      <c r="V86" s="21">
        <f>IFERROR(__xludf.DUMMYFUNCTION("""COMPUTED_VALUE"""),0.0)</f>
        <v>0</v>
      </c>
      <c r="W86" s="21"/>
      <c r="X86" s="21"/>
      <c r="Y86" s="21"/>
      <c r="Z86" s="21"/>
      <c r="AA86" s="21" t="str">
        <f>IFERROR(__xludf.DUMMYFUNCTION("""COMPUTED_VALUE"""),"Non-Veg")</f>
        <v>Non-Veg</v>
      </c>
      <c r="AB86" s="21"/>
      <c r="AC86" s="21"/>
      <c r="AD86" s="21" t="str">
        <f>IFERROR(__xludf.DUMMYFUNCTION("""COMPUTED_VALUE"""),"Bus Drop Service not needed")</f>
        <v>Bus Drop Service not needed</v>
      </c>
      <c r="AE86" s="21"/>
    </row>
    <row r="87" ht="22.5" customHeight="1">
      <c r="A87" s="18">
        <f>IFERROR(__xludf.DUMMYFUNCTION("""COMPUTED_VALUE"""),46264.860053067125)</f>
        <v>46264.86005</v>
      </c>
      <c r="B87" s="21" t="str">
        <f>IFERROR(__xludf.DUMMYFUNCTION("""COMPUTED_VALUE"""),"preeti.bscnursing-2021@aiimskalyani.edu.in")</f>
        <v>preeti.bscnursing-2021@aiimskalyani.edu.in</v>
      </c>
      <c r="C87" s="21" t="str">
        <f>IFERROR(__xludf.DUMMYFUNCTION("""COMPUTED_VALUE"""),"PREETI DUTTA ")</f>
        <v>PREETI DUTTA </v>
      </c>
      <c r="D87" s="21">
        <f>IFERROR(__xludf.DUMMYFUNCTION("""COMPUTED_VALUE"""),2.0210237E7)</f>
        <v>20210237</v>
      </c>
      <c r="E87" s="21" t="str">
        <f>IFERROR(__xludf.DUMMYFUNCTION("""COMPUTED_VALUE"""),"B.Sc (Hons) Nursing 2021")</f>
        <v>B.Sc (Hons) Nursing 2021</v>
      </c>
      <c r="F87" s="21">
        <f>IFERROR(__xludf.DUMMYFUNCTION("""COMPUTED_VALUE"""),7.074977255E9)</f>
        <v>7074977255</v>
      </c>
      <c r="G87" s="21" t="str">
        <f>IFERROR(__xludf.DUMMYFUNCTION("""COMPUTED_VALUE"""),"preetidutta2021@gmail.com")</f>
        <v>preetidutta2021@gmail.com</v>
      </c>
      <c r="H87" s="21" t="str">
        <f>IFERROR(__xludf.DUMMYFUNCTION("""COMPUTED_VALUE"""),"Yes")</f>
        <v>Yes</v>
      </c>
      <c r="I87" s="21" t="str">
        <f>IFERROR(__xludf.DUMMYFUNCTION("""COMPUTED_VALUE"""),"Love to Draw, ")</f>
        <v>Love to Draw, </v>
      </c>
      <c r="J87" s="21"/>
      <c r="K87" s="21" t="str">
        <f>IFERROR(__xludf.DUMMYFUNCTION("""COMPUTED_VALUE"""),"Bankura ")</f>
        <v>Bankura </v>
      </c>
      <c r="L87" s="22" t="str">
        <f>IFERROR(__xludf.DUMMYFUNCTION("""COMPUTED_VALUE"""),"https://drive.google.com/open?id=1hlJleNe4yhMsVtNy3uaRgEhaNrJjYvnE")</f>
        <v>https://drive.google.com/open?id=1hlJleNe4yhMsVtNy3uaRgEhaNrJjYvnE</v>
      </c>
      <c r="M87" s="22" t="str">
        <f>IFERROR(__xludf.DUMMYFUNCTION("""COMPUTED_VALUE"""),"https://drive.google.com/open?id=16sG-VxDCwhU-_Qbejm3nJtZOo1f2_uO5")</f>
        <v>https://drive.google.com/open?id=16sG-VxDCwhU-_Qbejm3nJtZOo1f2_uO5</v>
      </c>
      <c r="N87" s="21" t="str">
        <f>IFERROR(__xludf.DUMMYFUNCTION("""COMPUTED_VALUE"""),"Satya charan Dutta ")</f>
        <v>Satya charan Dutta </v>
      </c>
      <c r="O87" s="21" t="str">
        <f>IFERROR(__xludf.DUMMYFUNCTION("""COMPUTED_VALUE"""),"Serviceman")</f>
        <v>Serviceman</v>
      </c>
      <c r="P87" s="21" t="str">
        <f>IFERROR(__xludf.DUMMYFUNCTION("""COMPUTED_VALUE"""),"Bankura ")</f>
        <v>Bankura </v>
      </c>
      <c r="Q87" s="21">
        <f>IFERROR(__xludf.DUMMYFUNCTION("""COMPUTED_VALUE"""),9.474814312E9)</f>
        <v>9474814312</v>
      </c>
      <c r="R87" s="21" t="str">
        <f>IFERROR(__xludf.DUMMYFUNCTION("""COMPUTED_VALUE"""),"Archana Dutta ")</f>
        <v>Archana Dutta </v>
      </c>
      <c r="S87" s="21" t="str">
        <f>IFERROR(__xludf.DUMMYFUNCTION("""COMPUTED_VALUE"""),"Housewife")</f>
        <v>Housewife</v>
      </c>
      <c r="T87" s="21" t="str">
        <f>IFERROR(__xludf.DUMMYFUNCTION("""COMPUTED_VALUE"""),"Bankura")</f>
        <v>Bankura</v>
      </c>
      <c r="U87" s="21">
        <f>IFERROR(__xludf.DUMMYFUNCTION("""COMPUTED_VALUE"""),9.134190091E9)</f>
        <v>9134190091</v>
      </c>
      <c r="V87" s="21">
        <f>IFERROR(__xludf.DUMMYFUNCTION("""COMPUTED_VALUE"""),2.0)</f>
        <v>2</v>
      </c>
      <c r="W87" s="21" t="str">
        <f>IFERROR(__xludf.DUMMYFUNCTION("""COMPUTED_VALUE"""),"Satya charan Dutta ")</f>
        <v>Satya charan Dutta </v>
      </c>
      <c r="X87" s="21" t="str">
        <f>IFERROR(__xludf.DUMMYFUNCTION("""COMPUTED_VALUE"""),"Father ")</f>
        <v>Father </v>
      </c>
      <c r="Y87" s="21" t="str">
        <f>IFERROR(__xludf.DUMMYFUNCTION("""COMPUTED_VALUE"""),"Archana Dutta ")</f>
        <v>Archana Dutta </v>
      </c>
      <c r="Z87" s="21" t="str">
        <f>IFERROR(__xludf.DUMMYFUNCTION("""COMPUTED_VALUE"""),"Mother ")</f>
        <v>Mother </v>
      </c>
      <c r="AA87" s="21" t="str">
        <f>IFERROR(__xludf.DUMMYFUNCTION("""COMPUTED_VALUE"""),"Non-Veg")</f>
        <v>Non-Veg</v>
      </c>
      <c r="AB87" s="21" t="str">
        <f>IFERROR(__xludf.DUMMYFUNCTION("""COMPUTED_VALUE"""),"Non-Veg")</f>
        <v>Non-Veg</v>
      </c>
      <c r="AC87" s="21" t="str">
        <f>IFERROR(__xludf.DUMMYFUNCTION("""COMPUTED_VALUE"""),"Non-Veg")</f>
        <v>Non-Veg</v>
      </c>
      <c r="AD87" s="21"/>
      <c r="AE87" s="21"/>
    </row>
    <row r="88" ht="22.5" customHeight="1">
      <c r="A88" s="18">
        <f>IFERROR(__xludf.DUMMYFUNCTION("""COMPUTED_VALUE"""),46264.859808298614)</f>
        <v>46264.85981</v>
      </c>
      <c r="B88" s="21" t="str">
        <f>IFERROR(__xludf.DUMMYFUNCTION("""COMPUTED_VALUE"""),"mansi.mbbs-2020@aiimskalyani.edu.in")</f>
        <v>mansi.mbbs-2020@aiimskalyani.edu.in</v>
      </c>
      <c r="C88" s="21" t="str">
        <f>IFERROR(__xludf.DUMMYFUNCTION("""COMPUTED_VALUE"""),"MANSI SUBBA")</f>
        <v>MANSI SUBBA</v>
      </c>
      <c r="D88" s="21">
        <f>IFERROR(__xludf.DUMMYFUNCTION("""COMPUTED_VALUE"""),2.0200111E8)</f>
        <v>202001110</v>
      </c>
      <c r="E88" s="21" t="str">
        <f>IFERROR(__xludf.DUMMYFUNCTION("""COMPUTED_VALUE"""),"MBBS 2020")</f>
        <v>MBBS 2020</v>
      </c>
      <c r="F88" s="21">
        <f>IFERROR(__xludf.DUMMYFUNCTION("""COMPUTED_VALUE"""),9.679315598E9)</f>
        <v>9679315598</v>
      </c>
      <c r="G88" s="21" t="str">
        <f>IFERROR(__xludf.DUMMYFUNCTION("""COMPUTED_VALUE"""),"mansi.mbbs-2020@aiimskalyani.edu.in")</f>
        <v>mansi.mbbs-2020@aiimskalyani.edu.in</v>
      </c>
      <c r="H88" s="21" t="str">
        <f>IFERROR(__xludf.DUMMYFUNCTION("""COMPUTED_VALUE"""),"Yes")</f>
        <v>Yes</v>
      </c>
      <c r="I88" s="21" t="str">
        <f>IFERROR(__xludf.DUMMYFUNCTION("""COMPUTED_VALUE"""),"Singing and playing guitar")</f>
        <v>Singing and playing guitar</v>
      </c>
      <c r="J88" s="21" t="str">
        <f>IFERROR(__xludf.DUMMYFUNCTION("""COMPUTED_VALUE"""),"Notable achievements: 
School topper (10th standard) 
State topper NEET UG 2020 (Sikkim)")</f>
        <v>Notable achievements: 
School topper (10th standard) 
State topper NEET UG 2020 (Sikkim)</v>
      </c>
      <c r="K88" s="21" t="str">
        <f>IFERROR(__xludf.DUMMYFUNCTION("""COMPUTED_VALUE"""),"Gangtok, Sikkim")</f>
        <v>Gangtok, Sikkim</v>
      </c>
      <c r="L88" s="22" t="str">
        <f>IFERROR(__xludf.DUMMYFUNCTION("""COMPUTED_VALUE"""),"https://drive.google.com/open?id=1I9ykYpi52o7Ds7p8J3CIOEOxydSwibFL")</f>
        <v>https://drive.google.com/open?id=1I9ykYpi52o7Ds7p8J3CIOEOxydSwibFL</v>
      </c>
      <c r="M88" s="22" t="str">
        <f>IFERROR(__xludf.DUMMYFUNCTION("""COMPUTED_VALUE"""),"https://drive.google.com/open?id=1rYEhNu-GhsdymxAL2zGfa_aNIYGyLNnf")</f>
        <v>https://drive.google.com/open?id=1rYEhNu-GhsdymxAL2zGfa_aNIYGyLNnf</v>
      </c>
      <c r="N88" s="21" t="str">
        <f>IFERROR(__xludf.DUMMYFUNCTION("""COMPUTED_VALUE"""),"Late Budhi Man Subba")</f>
        <v>Late Budhi Man Subba</v>
      </c>
      <c r="O88" s="21" t="str">
        <f>IFERROR(__xludf.DUMMYFUNCTION("""COMPUTED_VALUE"""),"Deceased ")</f>
        <v>Deceased </v>
      </c>
      <c r="P88" s="21" t="str">
        <f>IFERROR(__xludf.DUMMYFUNCTION("""COMPUTED_VALUE"""),"Chota Singtam, East Sikkim")</f>
        <v>Chota Singtam, East Sikkim</v>
      </c>
      <c r="Q88" s="21">
        <f>IFERROR(__xludf.DUMMYFUNCTION("""COMPUTED_VALUE"""),9.593372255E9)</f>
        <v>9593372255</v>
      </c>
      <c r="R88" s="21" t="str">
        <f>IFERROR(__xludf.DUMMYFUNCTION("""COMPUTED_VALUE"""),"Man Kumari Rai")</f>
        <v>Man Kumari Rai</v>
      </c>
      <c r="S88" s="21" t="str">
        <f>IFERROR(__xludf.DUMMYFUNCTION("""COMPUTED_VALUE"""),"Government employee")</f>
        <v>Government employee</v>
      </c>
      <c r="T88" s="21" t="str">
        <f>IFERROR(__xludf.DUMMYFUNCTION("""COMPUTED_VALUE"""),"Chota Singtam, East Sikkim")</f>
        <v>Chota Singtam, East Sikkim</v>
      </c>
      <c r="U88" s="21">
        <f>IFERROR(__xludf.DUMMYFUNCTION("""COMPUTED_VALUE"""),9.733064422E9)</f>
        <v>9733064422</v>
      </c>
      <c r="V88" s="21">
        <f>IFERROR(__xludf.DUMMYFUNCTION("""COMPUTED_VALUE"""),2.0)</f>
        <v>2</v>
      </c>
      <c r="W88" s="21" t="str">
        <f>IFERROR(__xludf.DUMMYFUNCTION("""COMPUTED_VALUE"""),"Man Kumari Rai")</f>
        <v>Man Kumari Rai</v>
      </c>
      <c r="X88" s="21" t="str">
        <f>IFERROR(__xludf.DUMMYFUNCTION("""COMPUTED_VALUE"""),"Mother")</f>
        <v>Mother</v>
      </c>
      <c r="Y88" s="21" t="str">
        <f>IFERROR(__xludf.DUMMYFUNCTION("""COMPUTED_VALUE"""),"Allen Subba")</f>
        <v>Allen Subba</v>
      </c>
      <c r="Z88" s="21" t="str">
        <f>IFERROR(__xludf.DUMMYFUNCTION("""COMPUTED_VALUE"""),"Sibling (Brother)")</f>
        <v>Sibling (Brother)</v>
      </c>
      <c r="AA88" s="21" t="str">
        <f>IFERROR(__xludf.DUMMYFUNCTION("""COMPUTED_VALUE"""),"Non-Veg")</f>
        <v>Non-Veg</v>
      </c>
      <c r="AB88" s="21" t="str">
        <f>IFERROR(__xludf.DUMMYFUNCTION("""COMPUTED_VALUE"""),"Non-Veg")</f>
        <v>Non-Veg</v>
      </c>
      <c r="AC88" s="21" t="str">
        <f>IFERROR(__xludf.DUMMYFUNCTION("""COMPUTED_VALUE"""),"Non-Veg")</f>
        <v>Non-Veg</v>
      </c>
      <c r="AD88" s="21"/>
      <c r="AE88" s="21"/>
    </row>
    <row r="89" ht="22.5" customHeight="1">
      <c r="A89" s="18">
        <f>IFERROR(__xludf.DUMMYFUNCTION("""COMPUTED_VALUE"""),46264.851554733796)</f>
        <v>46264.85155</v>
      </c>
      <c r="B89" s="21" t="str">
        <f>IFERROR(__xludf.DUMMYFUNCTION("""COMPUTED_VALUE"""),"kumarikhushboo0123@gmail.com")</f>
        <v>kumarikhushboo0123@gmail.com</v>
      </c>
      <c r="C89" s="21" t="str">
        <f>IFERROR(__xludf.DUMMYFUNCTION("""COMPUTED_VALUE"""),"KHUSHBOO KUMARI ")</f>
        <v>KHUSHBOO KUMARI </v>
      </c>
      <c r="D89" s="21">
        <f>IFERROR(__xludf.DUMMYFUNCTION("""COMPUTED_VALUE"""),2.0210216E7)</f>
        <v>20210216</v>
      </c>
      <c r="E89" s="21" t="str">
        <f>IFERROR(__xludf.DUMMYFUNCTION("""COMPUTED_VALUE"""),"B.Sc (Hons) Nursing 2021")</f>
        <v>B.Sc (Hons) Nursing 2021</v>
      </c>
      <c r="F89" s="21">
        <f>IFERROR(__xludf.DUMMYFUNCTION("""COMPUTED_VALUE"""),9.973417831E9)</f>
        <v>9973417831</v>
      </c>
      <c r="G89" s="21" t="str">
        <f>IFERROR(__xludf.DUMMYFUNCTION("""COMPUTED_VALUE"""),"kumarikhushboo0123@gmail.com")</f>
        <v>kumarikhushboo0123@gmail.com</v>
      </c>
      <c r="H89" s="21" t="str">
        <f>IFERROR(__xludf.DUMMYFUNCTION("""COMPUTED_VALUE"""),"Yes")</f>
        <v>Yes</v>
      </c>
      <c r="I89" s="21" t="str">
        <f>IFERROR(__xludf.DUMMYFUNCTION("""COMPUTED_VALUE"""),"Reading and playing Badminton ")</f>
        <v>Reading and playing Badminton </v>
      </c>
      <c r="J89" s="21" t="str">
        <f>IFERROR(__xludf.DUMMYFUNCTION("""COMPUTED_VALUE"""),"Volleyball and Throwball winner ")</f>
        <v>Volleyball and Throwball winner </v>
      </c>
      <c r="K89" s="21" t="str">
        <f>IFERROR(__xludf.DUMMYFUNCTION("""COMPUTED_VALUE"""),"Jogbani (Bihar)")</f>
        <v>Jogbani (Bihar)</v>
      </c>
      <c r="L89" s="22" t="str">
        <f>IFERROR(__xludf.DUMMYFUNCTION("""COMPUTED_VALUE"""),"https://drive.google.com/open?id=14_7dNgH2jKaUTkEsmAia11nMGYHPwMPK")</f>
        <v>https://drive.google.com/open?id=14_7dNgH2jKaUTkEsmAia11nMGYHPwMPK</v>
      </c>
      <c r="M89" s="22" t="str">
        <f>IFERROR(__xludf.DUMMYFUNCTION("""COMPUTED_VALUE"""),"https://drive.google.com/open?id=1dcUHRKQlHNXEiuCu8H4WDFnT5PQ9u3Cv")</f>
        <v>https://drive.google.com/open?id=1dcUHRKQlHNXEiuCu8H4WDFnT5PQ9u3Cv</v>
      </c>
      <c r="N89" s="21" t="str">
        <f>IFERROR(__xludf.DUMMYFUNCTION("""COMPUTED_VALUE"""),"Vijay sah")</f>
        <v>Vijay sah</v>
      </c>
      <c r="O89" s="21" t="str">
        <f>IFERROR(__xludf.DUMMYFUNCTION("""COMPUTED_VALUE"""),"Businessman ")</f>
        <v>Businessman </v>
      </c>
      <c r="P89" s="21" t="str">
        <f>IFERROR(__xludf.DUMMYFUNCTION("""COMPUTED_VALUE"""),"Jogbani (bihar)")</f>
        <v>Jogbani (bihar)</v>
      </c>
      <c r="Q89" s="21">
        <f>IFERROR(__xludf.DUMMYFUNCTION("""COMPUTED_VALUE"""),7.033232188E9)</f>
        <v>7033232188</v>
      </c>
      <c r="R89" s="21" t="str">
        <f>IFERROR(__xludf.DUMMYFUNCTION("""COMPUTED_VALUE"""),"Urmila Devi")</f>
        <v>Urmila Devi</v>
      </c>
      <c r="S89" s="21" t="str">
        <f>IFERROR(__xludf.DUMMYFUNCTION("""COMPUTED_VALUE"""),"Housewife ")</f>
        <v>Housewife </v>
      </c>
      <c r="T89" s="21" t="str">
        <f>IFERROR(__xludf.DUMMYFUNCTION("""COMPUTED_VALUE"""),"Jogbani (Bihar)")</f>
        <v>Jogbani (Bihar)</v>
      </c>
      <c r="U89" s="21">
        <f>IFERROR(__xludf.DUMMYFUNCTION("""COMPUTED_VALUE"""),8.092010547E9)</f>
        <v>8092010547</v>
      </c>
      <c r="V89" s="21">
        <f>IFERROR(__xludf.DUMMYFUNCTION("""COMPUTED_VALUE"""),1.0)</f>
        <v>1</v>
      </c>
      <c r="W89" s="21" t="str">
        <f>IFERROR(__xludf.DUMMYFUNCTION("""COMPUTED_VALUE"""),"Abhinav Kumar ")</f>
        <v>Abhinav Kumar </v>
      </c>
      <c r="X89" s="21" t="str">
        <f>IFERROR(__xludf.DUMMYFUNCTION("""COMPUTED_VALUE"""),"Brother ")</f>
        <v>Brother </v>
      </c>
      <c r="Y89" s="21"/>
      <c r="Z89" s="21"/>
      <c r="AA89" s="21" t="str">
        <f>IFERROR(__xludf.DUMMYFUNCTION("""COMPUTED_VALUE"""),"Non-Veg")</f>
        <v>Non-Veg</v>
      </c>
      <c r="AB89" s="21" t="str">
        <f>IFERROR(__xludf.DUMMYFUNCTION("""COMPUTED_VALUE"""),"Veg")</f>
        <v>Veg</v>
      </c>
      <c r="AC89" s="21"/>
      <c r="AD89" s="21" t="str">
        <f>IFERROR(__xludf.DUMMYFUNCTION("""COMPUTED_VALUE"""),"Drop at Kalyani Railway Station")</f>
        <v>Drop at Kalyani Railway Station</v>
      </c>
      <c r="AE89" s="21">
        <f>IFERROR(__xludf.DUMMYFUNCTION("""COMPUTED_VALUE"""),2.0)</f>
        <v>2</v>
      </c>
    </row>
    <row r="90" ht="22.5" customHeight="1">
      <c r="A90" s="18">
        <f>IFERROR(__xludf.DUMMYFUNCTION("""COMPUTED_VALUE"""),46264.85141974537)</f>
        <v>46264.85142</v>
      </c>
      <c r="B90" s="21" t="str">
        <f>IFERROR(__xludf.DUMMYFUNCTION("""COMPUTED_VALUE"""),"bindukoyel2000@gmail.com")</f>
        <v>bindukoyel2000@gmail.com</v>
      </c>
      <c r="C90" s="21" t="str">
        <f>IFERROR(__xludf.DUMMYFUNCTION("""COMPUTED_VALUE"""),"KOYEL BINDU")</f>
        <v>KOYEL BINDU</v>
      </c>
      <c r="D90" s="21">
        <f>IFERROR(__xludf.DUMMYFUNCTION("""COMPUTED_VALUE"""),2.0210217E7)</f>
        <v>20210217</v>
      </c>
      <c r="E90" s="21" t="str">
        <f>IFERROR(__xludf.DUMMYFUNCTION("""COMPUTED_VALUE"""),"B.Sc (Hons) Nursing 2021")</f>
        <v>B.Sc (Hons) Nursing 2021</v>
      </c>
      <c r="F90" s="21">
        <f>IFERROR(__xludf.DUMMYFUNCTION("""COMPUTED_VALUE"""),6.29504067E9)</f>
        <v>6295040670</v>
      </c>
      <c r="G90" s="21" t="str">
        <f>IFERROR(__xludf.DUMMYFUNCTION("""COMPUTED_VALUE"""),"bindukoyel2000@gmail.com")</f>
        <v>bindukoyel2000@gmail.com</v>
      </c>
      <c r="H90" s="21" t="str">
        <f>IFERROR(__xludf.DUMMYFUNCTION("""COMPUTED_VALUE"""),"Yes")</f>
        <v>Yes</v>
      </c>
      <c r="I90" s="21" t="str">
        <f>IFERROR(__xludf.DUMMYFUNCTION("""COMPUTED_VALUE"""),"Playing badminton and reading books")</f>
        <v>Playing badminton and reading books</v>
      </c>
      <c r="J90" s="21" t="str">
        <f>IFERROR(__xludf.DUMMYFUNCTION("""COMPUTED_VALUE"""),"Nursing Sports Club Head")</f>
        <v>Nursing Sports Club Head</v>
      </c>
      <c r="K90" s="21" t="str">
        <f>IFERROR(__xludf.DUMMYFUNCTION("""COMPUTED_VALUE"""),"Falta ( West Bengal )")</f>
        <v>Falta ( West Bengal )</v>
      </c>
      <c r="L90" s="22" t="str">
        <f>IFERROR(__xludf.DUMMYFUNCTION("""COMPUTED_VALUE"""),"https://drive.google.com/open?id=15o0a3fzy5LjwThrVuwlxE9rBOP_qlfuK")</f>
        <v>https://drive.google.com/open?id=15o0a3fzy5LjwThrVuwlxE9rBOP_qlfuK</v>
      </c>
      <c r="M90" s="22" t="str">
        <f>IFERROR(__xludf.DUMMYFUNCTION("""COMPUTED_VALUE"""),"https://drive.google.com/open?id=1C2qKVxFDxPhJY2kHo4pIgoCVLnztIcyb")</f>
        <v>https://drive.google.com/open?id=1C2qKVxFDxPhJY2kHo4pIgoCVLnztIcyb</v>
      </c>
      <c r="N90" s="21" t="str">
        <f>IFERROR(__xludf.DUMMYFUNCTION("""COMPUTED_VALUE"""),"Salil Kumar Bindu")</f>
        <v>Salil Kumar Bindu</v>
      </c>
      <c r="O90" s="21" t="str">
        <f>IFERROR(__xludf.DUMMYFUNCTION("""COMPUTED_VALUE"""),"Retired Central Government Employee")</f>
        <v>Retired Central Government Employee</v>
      </c>
      <c r="P90" s="21" t="str">
        <f>IFERROR(__xludf.DUMMYFUNCTION("""COMPUTED_VALUE"""),"Falta ( West Bengal )")</f>
        <v>Falta ( West Bengal )</v>
      </c>
      <c r="Q90" s="21">
        <f>IFERROR(__xludf.DUMMYFUNCTION("""COMPUTED_VALUE"""),8.617659762E9)</f>
        <v>8617659762</v>
      </c>
      <c r="R90" s="21" t="str">
        <f>IFERROR(__xludf.DUMMYFUNCTION("""COMPUTED_VALUE"""),"Kabita Bindu")</f>
        <v>Kabita Bindu</v>
      </c>
      <c r="S90" s="21" t="str">
        <f>IFERROR(__xludf.DUMMYFUNCTION("""COMPUTED_VALUE"""),"Housewife")</f>
        <v>Housewife</v>
      </c>
      <c r="T90" s="21" t="str">
        <f>IFERROR(__xludf.DUMMYFUNCTION("""COMPUTED_VALUE"""),"Falta ( West Bengal )")</f>
        <v>Falta ( West Bengal )</v>
      </c>
      <c r="U90" s="21">
        <f>IFERROR(__xludf.DUMMYFUNCTION("""COMPUTED_VALUE"""),8.001512822E9)</f>
        <v>8001512822</v>
      </c>
      <c r="V90" s="21">
        <f>IFERROR(__xludf.DUMMYFUNCTION("""COMPUTED_VALUE"""),2.0)</f>
        <v>2</v>
      </c>
      <c r="W90" s="21" t="str">
        <f>IFERROR(__xludf.DUMMYFUNCTION("""COMPUTED_VALUE"""),"Salil Kumar Bindu")</f>
        <v>Salil Kumar Bindu</v>
      </c>
      <c r="X90" s="21" t="str">
        <f>IFERROR(__xludf.DUMMYFUNCTION("""COMPUTED_VALUE"""),"Father")</f>
        <v>Father</v>
      </c>
      <c r="Y90" s="21" t="str">
        <f>IFERROR(__xludf.DUMMYFUNCTION("""COMPUTED_VALUE"""),"Kabita Bindu")</f>
        <v>Kabita Bindu</v>
      </c>
      <c r="Z90" s="21" t="str">
        <f>IFERROR(__xludf.DUMMYFUNCTION("""COMPUTED_VALUE"""),"Mother")</f>
        <v>Mother</v>
      </c>
      <c r="AA90" s="21" t="str">
        <f>IFERROR(__xludf.DUMMYFUNCTION("""COMPUTED_VALUE"""),"Non-Veg")</f>
        <v>Non-Veg</v>
      </c>
      <c r="AB90" s="21" t="str">
        <f>IFERROR(__xludf.DUMMYFUNCTION("""COMPUTED_VALUE"""),"Non-Veg")</f>
        <v>Non-Veg</v>
      </c>
      <c r="AC90" s="21" t="str">
        <f>IFERROR(__xludf.DUMMYFUNCTION("""COMPUTED_VALUE"""),"Non-Veg")</f>
        <v>Non-Veg</v>
      </c>
      <c r="AD90" s="21" t="str">
        <f>IFERROR(__xludf.DUMMYFUNCTION("""COMPUTED_VALUE"""),"Drop at Kalyani Railway Station")</f>
        <v>Drop at Kalyani Railway Station</v>
      </c>
      <c r="AE90" s="21">
        <f>IFERROR(__xludf.DUMMYFUNCTION("""COMPUTED_VALUE"""),3.0)</f>
        <v>3</v>
      </c>
    </row>
    <row r="91" ht="22.5" customHeight="1">
      <c r="A91" s="18">
        <f>IFERROR(__xludf.DUMMYFUNCTION("""COMPUTED_VALUE"""),46264.83983052083)</f>
        <v>46264.83983</v>
      </c>
      <c r="B91" s="21" t="str">
        <f>IFERROR(__xludf.DUMMYFUNCTION("""COMPUTED_VALUE"""),"mourupa.mbbs-2020@aiimskalyani.edu.in")</f>
        <v>mourupa.mbbs-2020@aiimskalyani.edu.in</v>
      </c>
      <c r="C91" s="21" t="str">
        <f>IFERROR(__xludf.DUMMYFUNCTION("""COMPUTED_VALUE"""),"MOURUPA SARKAR ")</f>
        <v>MOURUPA SARKAR </v>
      </c>
      <c r="D91" s="21">
        <f>IFERROR(__xludf.DUMMYFUNCTION("""COMPUTED_VALUE"""),2.0200114E7)</f>
        <v>20200114</v>
      </c>
      <c r="E91" s="21" t="str">
        <f>IFERROR(__xludf.DUMMYFUNCTION("""COMPUTED_VALUE"""),"MBBS 2020")</f>
        <v>MBBS 2020</v>
      </c>
      <c r="F91" s="21">
        <f>IFERROR(__xludf.DUMMYFUNCTION("""COMPUTED_VALUE"""),6.295614611E9)</f>
        <v>6295614611</v>
      </c>
      <c r="G91" s="21" t="str">
        <f>IFERROR(__xludf.DUMMYFUNCTION("""COMPUTED_VALUE"""),"mourupa.mbbs-2020@aiimskalyani.edu.in")</f>
        <v>mourupa.mbbs-2020@aiimskalyani.edu.in</v>
      </c>
      <c r="H91" s="21" t="str">
        <f>IFERROR(__xludf.DUMMYFUNCTION("""COMPUTED_VALUE"""),"Yes")</f>
        <v>Yes</v>
      </c>
      <c r="I91" s="21" t="str">
        <f>IFERROR(__xludf.DUMMYFUNCTION("""COMPUTED_VALUE"""),"Painting ")</f>
        <v>Painting </v>
      </c>
      <c r="J91" s="21" t="str">
        <f>IFERROR(__xludf.DUMMYFUNCTION("""COMPUTED_VALUE"""),"Won various competitions organised by Art  Club in Aiims kalyani ")</f>
        <v>Won various competitions organised by Art  Club in Aiims kalyani </v>
      </c>
      <c r="K91" s="21" t="str">
        <f>IFERROR(__xludf.DUMMYFUNCTION("""COMPUTED_VALUE"""),"Alipur Duar ")</f>
        <v>Alipur Duar </v>
      </c>
      <c r="L91" s="22" t="str">
        <f>IFERROR(__xludf.DUMMYFUNCTION("""COMPUTED_VALUE"""),"https://drive.google.com/open?id=1EZl5dm09BGfE1LXPFGGzxMDkfjpRXEDL")</f>
        <v>https://drive.google.com/open?id=1EZl5dm09BGfE1LXPFGGzxMDkfjpRXEDL</v>
      </c>
      <c r="M91" s="22" t="str">
        <f>IFERROR(__xludf.DUMMYFUNCTION("""COMPUTED_VALUE"""),"https://drive.google.com/open?id=1WfJdQ7lba38kSgsUtHTA0vyCO4jFnufI")</f>
        <v>https://drive.google.com/open?id=1WfJdQ7lba38kSgsUtHTA0vyCO4jFnufI</v>
      </c>
      <c r="N91" s="21" t="str">
        <f>IFERROR(__xludf.DUMMYFUNCTION("""COMPUTED_VALUE"""),"Mr Ratan Sarkar ")</f>
        <v>Mr Ratan Sarkar </v>
      </c>
      <c r="O91" s="21" t="str">
        <f>IFERROR(__xludf.DUMMYFUNCTION("""COMPUTED_VALUE"""),"Government Service ")</f>
        <v>Government Service </v>
      </c>
      <c r="P91" s="21" t="str">
        <f>IFERROR(__xludf.DUMMYFUNCTION("""COMPUTED_VALUE"""),"Alipur Duar")</f>
        <v>Alipur Duar</v>
      </c>
      <c r="Q91" s="21">
        <f>IFERROR(__xludf.DUMMYFUNCTION("""COMPUTED_VALUE"""),6.297473298E9)</f>
        <v>6297473298</v>
      </c>
      <c r="R91" s="21" t="str">
        <f>IFERROR(__xludf.DUMMYFUNCTION("""COMPUTED_VALUE"""),"Mithu Das Sarkar")</f>
        <v>Mithu Das Sarkar</v>
      </c>
      <c r="S91" s="21" t="str">
        <f>IFERROR(__xludf.DUMMYFUNCTION("""COMPUTED_VALUE"""),"Government service ")</f>
        <v>Government service </v>
      </c>
      <c r="T91" s="21" t="str">
        <f>IFERROR(__xludf.DUMMYFUNCTION("""COMPUTED_VALUE"""),"Alipur Duar ")</f>
        <v>Alipur Duar </v>
      </c>
      <c r="U91" s="21">
        <f>IFERROR(__xludf.DUMMYFUNCTION("""COMPUTED_VALUE"""),7.908479314E9)</f>
        <v>7908479314</v>
      </c>
      <c r="V91" s="21">
        <f>IFERROR(__xludf.DUMMYFUNCTION("""COMPUTED_VALUE"""),2.0)</f>
        <v>2</v>
      </c>
      <c r="W91" s="21" t="str">
        <f>IFERROR(__xludf.DUMMYFUNCTION("""COMPUTED_VALUE"""),"Mithu Das Sarkar")</f>
        <v>Mithu Das Sarkar</v>
      </c>
      <c r="X91" s="21" t="str">
        <f>IFERROR(__xludf.DUMMYFUNCTION("""COMPUTED_VALUE"""),"Mother ")</f>
        <v>Mother </v>
      </c>
      <c r="Y91" s="21" t="str">
        <f>IFERROR(__xludf.DUMMYFUNCTION("""COMPUTED_VALUE"""),"Ratan Sarkar ")</f>
        <v>Ratan Sarkar </v>
      </c>
      <c r="Z91" s="21" t="str">
        <f>IFERROR(__xludf.DUMMYFUNCTION("""COMPUTED_VALUE"""),"Father ")</f>
        <v>Father </v>
      </c>
      <c r="AA91" s="21" t="str">
        <f>IFERROR(__xludf.DUMMYFUNCTION("""COMPUTED_VALUE"""),"Non-Veg")</f>
        <v>Non-Veg</v>
      </c>
      <c r="AB91" s="21" t="str">
        <f>IFERROR(__xludf.DUMMYFUNCTION("""COMPUTED_VALUE"""),"Veg")</f>
        <v>Veg</v>
      </c>
      <c r="AC91" s="21" t="str">
        <f>IFERROR(__xludf.DUMMYFUNCTION("""COMPUTED_VALUE"""),"Non-Veg")</f>
        <v>Non-Veg</v>
      </c>
      <c r="AD91" s="21" t="str">
        <f>IFERROR(__xludf.DUMMYFUNCTION("""COMPUTED_VALUE"""),"Bus Drop Service not needed")</f>
        <v>Bus Drop Service not needed</v>
      </c>
      <c r="AE91" s="21"/>
    </row>
    <row r="92" ht="22.5" customHeight="1">
      <c r="A92" s="18">
        <f>IFERROR(__xludf.DUMMYFUNCTION("""COMPUTED_VALUE"""),46264.827741562505)</f>
        <v>46264.82774</v>
      </c>
      <c r="B92" s="21" t="str">
        <f>IFERROR(__xludf.DUMMYFUNCTION("""COMPUTED_VALUE"""),"rakesh.mbbs-2020@aiimskalyani.edu.in")</f>
        <v>rakesh.mbbs-2020@aiimskalyani.edu.in</v>
      </c>
      <c r="C92" s="21" t="str">
        <f>IFERROR(__xludf.DUMMYFUNCTION("""COMPUTED_VALUE"""),"Rakesh Raushan")</f>
        <v>Rakesh Raushan</v>
      </c>
      <c r="D92" s="21">
        <f>IFERROR(__xludf.DUMMYFUNCTION("""COMPUTED_VALUE"""),2.02001124E8)</f>
        <v>202001124</v>
      </c>
      <c r="E92" s="21" t="str">
        <f>IFERROR(__xludf.DUMMYFUNCTION("""COMPUTED_VALUE"""),"MBBS 2020")</f>
        <v>MBBS 2020</v>
      </c>
      <c r="F92" s="21">
        <f>IFERROR(__xludf.DUMMYFUNCTION("""COMPUTED_VALUE"""),9.799092569E9)</f>
        <v>9799092569</v>
      </c>
      <c r="G92" s="21" t="str">
        <f>IFERROR(__xludf.DUMMYFUNCTION("""COMPUTED_VALUE"""),"Rakeshraushan112@gmail.com")</f>
        <v>Rakeshraushan112@gmail.com</v>
      </c>
      <c r="H92" s="21" t="str">
        <f>IFERROR(__xludf.DUMMYFUNCTION("""COMPUTED_VALUE"""),"Yes")</f>
        <v>Yes</v>
      </c>
      <c r="I92" s="21" t="str">
        <f>IFERROR(__xludf.DUMMYFUNCTION("""COMPUTED_VALUE"""),"Travelling, Trekking, Playing Chess, Badminton, cricket,  cooking, Photography")</f>
        <v>Travelling, Trekking, Playing Chess, Badminton, cricket,  cooking, Photography</v>
      </c>
      <c r="J92" s="21"/>
      <c r="K92" s="21" t="str">
        <f>IFERROR(__xludf.DUMMYFUNCTION("""COMPUTED_VALUE"""),"Saharsa ")</f>
        <v>Saharsa </v>
      </c>
      <c r="L92" s="22" t="str">
        <f>IFERROR(__xludf.DUMMYFUNCTION("""COMPUTED_VALUE"""),"https://drive.google.com/open?id=1cei-PULn1wQVZbfJ-9M_omjOaQWjneMr")</f>
        <v>https://drive.google.com/open?id=1cei-PULn1wQVZbfJ-9M_omjOaQWjneMr</v>
      </c>
      <c r="M92" s="22" t="str">
        <f>IFERROR(__xludf.DUMMYFUNCTION("""COMPUTED_VALUE"""),"https://drive.google.com/open?id=1xY-xUFjpIBv770_nomBwb-6qXCT6x8t2")</f>
        <v>https://drive.google.com/open?id=1xY-xUFjpIBv770_nomBwb-6qXCT6x8t2</v>
      </c>
      <c r="N92" s="21" t="str">
        <f>IFERROR(__xludf.DUMMYFUNCTION("""COMPUTED_VALUE"""),"Bijay Kumar")</f>
        <v>Bijay Kumar</v>
      </c>
      <c r="O92" s="21" t="str">
        <f>IFERROR(__xludf.DUMMYFUNCTION("""COMPUTED_VALUE"""),"Business ")</f>
        <v>Business </v>
      </c>
      <c r="P92" s="21" t="str">
        <f>IFERROR(__xludf.DUMMYFUNCTION("""COMPUTED_VALUE"""),"Saharsa ")</f>
        <v>Saharsa </v>
      </c>
      <c r="Q92" s="21">
        <f>IFERROR(__xludf.DUMMYFUNCTION("""COMPUTED_VALUE"""),9.431891302E9)</f>
        <v>9431891302</v>
      </c>
      <c r="R92" s="21" t="str">
        <f>IFERROR(__xludf.DUMMYFUNCTION("""COMPUTED_VALUE"""),"Kumari Sunita ")</f>
        <v>Kumari Sunita </v>
      </c>
      <c r="S92" s="21" t="str">
        <f>IFERROR(__xludf.DUMMYFUNCTION("""COMPUTED_VALUE"""),"Government Job ")</f>
        <v>Government Job </v>
      </c>
      <c r="T92" s="21" t="str">
        <f>IFERROR(__xludf.DUMMYFUNCTION("""COMPUTED_VALUE"""),"Saharsa ")</f>
        <v>Saharsa </v>
      </c>
      <c r="U92" s="21">
        <f>IFERROR(__xludf.DUMMYFUNCTION("""COMPUTED_VALUE"""),8.25287629E9)</f>
        <v>8252876290</v>
      </c>
      <c r="V92" s="21">
        <f>IFERROR(__xludf.DUMMYFUNCTION("""COMPUTED_VALUE"""),0.0)</f>
        <v>0</v>
      </c>
      <c r="W92" s="21"/>
      <c r="X92" s="21"/>
      <c r="Y92" s="21"/>
      <c r="Z92" s="21"/>
      <c r="AA92" s="21" t="str">
        <f>IFERROR(__xludf.DUMMYFUNCTION("""COMPUTED_VALUE"""),"Non-Veg")</f>
        <v>Non-Veg</v>
      </c>
      <c r="AB92" s="21"/>
      <c r="AC92" s="21"/>
      <c r="AD92" s="21" t="str">
        <f>IFERROR(__xludf.DUMMYFUNCTION("""COMPUTED_VALUE"""),"Bus Drop Service not needed")</f>
        <v>Bus Drop Service not needed</v>
      </c>
      <c r="AE92" s="21"/>
    </row>
    <row r="93" ht="22.5" customHeight="1">
      <c r="A93" s="18">
        <f>IFERROR(__xludf.DUMMYFUNCTION("""COMPUTED_VALUE"""),46264.81534148148)</f>
        <v>46264.81534</v>
      </c>
      <c r="B93" s="21" t="str">
        <f>IFERROR(__xludf.DUMMYFUNCTION("""COMPUTED_VALUE"""),"sreeram.mbbs-2020@aiimskalyani.edu.in")</f>
        <v>sreeram.mbbs-2020@aiimskalyani.edu.in</v>
      </c>
      <c r="C93" s="21" t="str">
        <f>IFERROR(__xludf.DUMMYFUNCTION("""COMPUTED_VALUE"""),"Sreeram R S")</f>
        <v>Sreeram R S</v>
      </c>
      <c r="D93" s="21" t="str">
        <f>IFERROR(__xludf.DUMMYFUNCTION("""COMPUTED_VALUE"""),"124 / 202001174")</f>
        <v>124 / 202001174</v>
      </c>
      <c r="E93" s="21" t="str">
        <f>IFERROR(__xludf.DUMMYFUNCTION("""COMPUTED_VALUE"""),"MBBS 2020")</f>
        <v>MBBS 2020</v>
      </c>
      <c r="F93" s="21">
        <f>IFERROR(__xludf.DUMMYFUNCTION("""COMPUTED_VALUE"""),9.188573375E9)</f>
        <v>9188573375</v>
      </c>
      <c r="G93" s="21" t="str">
        <f>IFERROR(__xludf.DUMMYFUNCTION("""COMPUTED_VALUE"""),"sreeram.mbbs-2020@aiimskalyani.edu.in")</f>
        <v>sreeram.mbbs-2020@aiimskalyani.edu.in</v>
      </c>
      <c r="H93" s="21" t="str">
        <f>IFERROR(__xludf.DUMMYFUNCTION("""COMPUTED_VALUE"""),"Yes")</f>
        <v>Yes</v>
      </c>
      <c r="I93" s="21"/>
      <c r="J93" s="21"/>
      <c r="K93" s="21" t="str">
        <f>IFERROR(__xludf.DUMMYFUNCTION("""COMPUTED_VALUE"""),"Kerala")</f>
        <v>Kerala</v>
      </c>
      <c r="L93" s="22" t="str">
        <f>IFERROR(__xludf.DUMMYFUNCTION("""COMPUTED_VALUE"""),"https://drive.google.com/open?id=1mMFiI51tsVW_TprZtopgXmH_Nn-I9Z7g")</f>
        <v>https://drive.google.com/open?id=1mMFiI51tsVW_TprZtopgXmH_Nn-I9Z7g</v>
      </c>
      <c r="M93" s="22" t="str">
        <f>IFERROR(__xludf.DUMMYFUNCTION("""COMPUTED_VALUE"""),"https://drive.google.com/open?id=1l89BGnA4vKTlHGE5ICKyfo8hsSc3bLO6")</f>
        <v>https://drive.google.com/open?id=1l89BGnA4vKTlHGE5ICKyfo8hsSc3bLO6</v>
      </c>
      <c r="N93" s="21" t="str">
        <f>IFERROR(__xludf.DUMMYFUNCTION("""COMPUTED_VALUE"""),"Sangameswaran M R")</f>
        <v>Sangameswaran M R</v>
      </c>
      <c r="O93" s="21" t="str">
        <f>IFERROR(__xludf.DUMMYFUNCTION("""COMPUTED_VALUE"""),"Mechanical Engineer ( Retired )")</f>
        <v>Mechanical Engineer ( Retired )</v>
      </c>
      <c r="P93" s="21" t="str">
        <f>IFERROR(__xludf.DUMMYFUNCTION("""COMPUTED_VALUE"""),"Palakkad , Kerala")</f>
        <v>Palakkad , Kerala</v>
      </c>
      <c r="Q93" s="21">
        <f>IFERROR(__xludf.DUMMYFUNCTION("""COMPUTED_VALUE"""),6.235195823E9)</f>
        <v>6235195823</v>
      </c>
      <c r="R93" s="21" t="str">
        <f>IFERROR(__xludf.DUMMYFUNCTION("""COMPUTED_VALUE"""),"Jayaseeta V N")</f>
        <v>Jayaseeta V N</v>
      </c>
      <c r="S93" s="21" t="str">
        <f>IFERROR(__xludf.DUMMYFUNCTION("""COMPUTED_VALUE"""),"Bank employee , Kerala Gramin Bank")</f>
        <v>Bank employee , Kerala Gramin Bank</v>
      </c>
      <c r="T93" s="21" t="str">
        <f>IFERROR(__xludf.DUMMYFUNCTION("""COMPUTED_VALUE"""),"Palakkad , Kerala")</f>
        <v>Palakkad , Kerala</v>
      </c>
      <c r="U93" s="21">
        <f>IFERROR(__xludf.DUMMYFUNCTION("""COMPUTED_VALUE"""),9.633533665E9)</f>
        <v>9633533665</v>
      </c>
      <c r="V93" s="21">
        <f>IFERROR(__xludf.DUMMYFUNCTION("""COMPUTED_VALUE"""),1.0)</f>
        <v>1</v>
      </c>
      <c r="W93" s="21" t="str">
        <f>IFERROR(__xludf.DUMMYFUNCTION("""COMPUTED_VALUE"""),"Jayaseeta V N")</f>
        <v>Jayaseeta V N</v>
      </c>
      <c r="X93" s="21" t="str">
        <f>IFERROR(__xludf.DUMMYFUNCTION("""COMPUTED_VALUE"""),"Mother")</f>
        <v>Mother</v>
      </c>
      <c r="Y93" s="21"/>
      <c r="Z93" s="21"/>
      <c r="AA93" s="21" t="str">
        <f>IFERROR(__xludf.DUMMYFUNCTION("""COMPUTED_VALUE"""),"Veg")</f>
        <v>Veg</v>
      </c>
      <c r="AB93" s="21" t="str">
        <f>IFERROR(__xludf.DUMMYFUNCTION("""COMPUTED_VALUE"""),"Veg")</f>
        <v>Veg</v>
      </c>
      <c r="AC93" s="21"/>
      <c r="AD93" s="21" t="str">
        <f>IFERROR(__xludf.DUMMYFUNCTION("""COMPUTED_VALUE"""),"Bus Drop Service not needed")</f>
        <v>Bus Drop Service not needed</v>
      </c>
      <c r="AE93" s="21">
        <f>IFERROR(__xludf.DUMMYFUNCTION("""COMPUTED_VALUE"""),0.0)</f>
        <v>0</v>
      </c>
    </row>
    <row r="94" ht="22.5" customHeight="1">
      <c r="A94" s="18">
        <f>IFERROR(__xludf.DUMMYFUNCTION("""COMPUTED_VALUE"""),46264.809969953705)</f>
        <v>46264.80997</v>
      </c>
      <c r="B94" s="21" t="str">
        <f>IFERROR(__xludf.DUMMYFUNCTION("""COMPUTED_VALUE"""),"vulasala.mbbs-2020@aiimskalyani.edu.in")</f>
        <v>vulasala.mbbs-2020@aiimskalyani.edu.in</v>
      </c>
      <c r="C94" s="21" t="str">
        <f>IFERROR(__xludf.DUMMYFUNCTION("""COMPUTED_VALUE"""),"VULASALA VENKATA SAI CHARAN")</f>
        <v>VULASALA VENKATA SAI CHARAN</v>
      </c>
      <c r="D94" s="21">
        <f>IFERROR(__xludf.DUMMYFUNCTION("""COMPUTED_VALUE"""),2.02001163E8)</f>
        <v>202001163</v>
      </c>
      <c r="E94" s="21" t="str">
        <f>IFERROR(__xludf.DUMMYFUNCTION("""COMPUTED_VALUE"""),"MBBS 2020")</f>
        <v>MBBS 2020</v>
      </c>
      <c r="F94" s="21">
        <f>IFERROR(__xludf.DUMMYFUNCTION("""COMPUTED_VALUE"""),8.341737691E9)</f>
        <v>8341737691</v>
      </c>
      <c r="G94" s="21" t="str">
        <f>IFERROR(__xludf.DUMMYFUNCTION("""COMPUTED_VALUE"""),"vulasala.mbbs-2020@aiimskalyani.edu.in")</f>
        <v>vulasala.mbbs-2020@aiimskalyani.edu.in</v>
      </c>
      <c r="H94" s="21" t="str">
        <f>IFERROR(__xludf.DUMMYFUNCTION("""COMPUTED_VALUE"""),"Yes")</f>
        <v>Yes</v>
      </c>
      <c r="I94" s="21" t="str">
        <f>IFERROR(__xludf.DUMMYFUNCTION("""COMPUTED_VALUE"""),"Music, Movies, doomscrolling")</f>
        <v>Music, Movies, doomscrolling</v>
      </c>
      <c r="J94" s="21" t="str">
        <f>IFERROR(__xludf.DUMMYFUNCTION("""COMPUTED_VALUE"""),"College Research Poster presentation 2023 - 2nd prize")</f>
        <v>College Research Poster presentation 2023 - 2nd prize</v>
      </c>
      <c r="K94" s="21" t="str">
        <f>IFERROR(__xludf.DUMMYFUNCTION("""COMPUTED_VALUE"""),"Proddatur, Andhra Pradesh")</f>
        <v>Proddatur, Andhra Pradesh</v>
      </c>
      <c r="L94" s="22" t="str">
        <f>IFERROR(__xludf.DUMMYFUNCTION("""COMPUTED_VALUE"""),"https://drive.google.com/open?id=1l-YPj1SujDEzufsgxinfewrNChZ44hmn")</f>
        <v>https://drive.google.com/open?id=1l-YPj1SujDEzufsgxinfewrNChZ44hmn</v>
      </c>
      <c r="M94" s="22" t="str">
        <f>IFERROR(__xludf.DUMMYFUNCTION("""COMPUTED_VALUE"""),"https://drive.google.com/open?id=1vO3anu3uqZAN5tjSoc_FJhctZ6AmmyP6")</f>
        <v>https://drive.google.com/open?id=1vO3anu3uqZAN5tjSoc_FJhctZ6AmmyP6</v>
      </c>
      <c r="N94" s="21" t="str">
        <f>IFERROR(__xludf.DUMMYFUNCTION("""COMPUTED_VALUE"""),"Vulasala Sreenivasulu")</f>
        <v>Vulasala Sreenivasulu</v>
      </c>
      <c r="O94" s="21" t="str">
        <f>IFERROR(__xludf.DUMMYFUNCTION("""COMPUTED_VALUE"""),"ADE in APGENCO")</f>
        <v>ADE in APGENCO</v>
      </c>
      <c r="P94" s="21" t="str">
        <f>IFERROR(__xludf.DUMMYFUNCTION("""COMPUTED_VALUE"""),"Proddatur")</f>
        <v>Proddatur</v>
      </c>
      <c r="Q94" s="21">
        <f>IFERROR(__xludf.DUMMYFUNCTION("""COMPUTED_VALUE"""),8.919187309E9)</f>
        <v>8919187309</v>
      </c>
      <c r="R94" s="21" t="str">
        <f>IFERROR(__xludf.DUMMYFUNCTION("""COMPUTED_VALUE"""),"Chimmani Annapurna")</f>
        <v>Chimmani Annapurna</v>
      </c>
      <c r="S94" s="21" t="str">
        <f>IFERROR(__xludf.DUMMYFUNCTION("""COMPUTED_VALUE"""),"Home maker")</f>
        <v>Home maker</v>
      </c>
      <c r="T94" s="21" t="str">
        <f>IFERROR(__xludf.DUMMYFUNCTION("""COMPUTED_VALUE"""),"Proddatur")</f>
        <v>Proddatur</v>
      </c>
      <c r="U94" s="21">
        <f>IFERROR(__xludf.DUMMYFUNCTION("""COMPUTED_VALUE"""),8.317611083E9)</f>
        <v>8317611083</v>
      </c>
      <c r="V94" s="21">
        <f>IFERROR(__xludf.DUMMYFUNCTION("""COMPUTED_VALUE"""),2.0)</f>
        <v>2</v>
      </c>
      <c r="W94" s="21" t="str">
        <f>IFERROR(__xludf.DUMMYFUNCTION("""COMPUTED_VALUE"""),"Vulasala Sreenivasulu")</f>
        <v>Vulasala Sreenivasulu</v>
      </c>
      <c r="X94" s="21" t="str">
        <f>IFERROR(__xludf.DUMMYFUNCTION("""COMPUTED_VALUE"""),"Father ")</f>
        <v>Father </v>
      </c>
      <c r="Y94" s="21" t="str">
        <f>IFERROR(__xludf.DUMMYFUNCTION("""COMPUTED_VALUE"""),"Chimmani Lakshmi")</f>
        <v>Chimmani Lakshmi</v>
      </c>
      <c r="Z94" s="21" t="str">
        <f>IFERROR(__xludf.DUMMYFUNCTION("""COMPUTED_VALUE"""),"Mother ")</f>
        <v>Mother </v>
      </c>
      <c r="AA94" s="21" t="str">
        <f>IFERROR(__xludf.DUMMYFUNCTION("""COMPUTED_VALUE"""),"Non-Veg")</f>
        <v>Non-Veg</v>
      </c>
      <c r="AB94" s="21" t="str">
        <f>IFERROR(__xludf.DUMMYFUNCTION("""COMPUTED_VALUE"""),"Non-Veg")</f>
        <v>Non-Veg</v>
      </c>
      <c r="AC94" s="21" t="str">
        <f>IFERROR(__xludf.DUMMYFUNCTION("""COMPUTED_VALUE"""),"Non-Veg")</f>
        <v>Non-Veg</v>
      </c>
      <c r="AD94" s="21" t="str">
        <f>IFERROR(__xludf.DUMMYFUNCTION("""COMPUTED_VALUE"""),"Drop at Kolkata Airport")</f>
        <v>Drop at Kolkata Airport</v>
      </c>
      <c r="AE94" s="21">
        <f>IFERROR(__xludf.DUMMYFUNCTION("""COMPUTED_VALUE"""),2.0)</f>
        <v>2</v>
      </c>
    </row>
    <row r="95" ht="22.5" customHeight="1">
      <c r="A95" s="18">
        <f>IFERROR(__xludf.DUMMYFUNCTION("""COMPUTED_VALUE"""),46264.80190770833)</f>
        <v>46264.80191</v>
      </c>
      <c r="B95" s="21" t="str">
        <f>IFERROR(__xludf.DUMMYFUNCTION("""COMPUTED_VALUE"""),"disha.mbbs-2020@aiimskalyani.edu.in")</f>
        <v>disha.mbbs-2020@aiimskalyani.edu.in</v>
      </c>
      <c r="C95" s="21" t="str">
        <f>IFERROR(__xludf.DUMMYFUNCTION("""COMPUTED_VALUE"""),"DISHA MANDAL")</f>
        <v>DISHA MANDAL</v>
      </c>
      <c r="D95" s="21">
        <f>IFERROR(__xludf.DUMMYFUNCTION("""COMPUTED_VALUE"""),2.0200197E7)</f>
        <v>20200197</v>
      </c>
      <c r="E95" s="21" t="str">
        <f>IFERROR(__xludf.DUMMYFUNCTION("""COMPUTED_VALUE"""),"MBBS 2020")</f>
        <v>MBBS 2020</v>
      </c>
      <c r="F95" s="21">
        <f>IFERROR(__xludf.DUMMYFUNCTION("""COMPUTED_VALUE"""),9.933492817E9)</f>
        <v>9933492817</v>
      </c>
      <c r="G95" s="21" t="str">
        <f>IFERROR(__xludf.DUMMYFUNCTION("""COMPUTED_VALUE"""),"mandaldisha21@gmail.com")</f>
        <v>mandaldisha21@gmail.com</v>
      </c>
      <c r="H95" s="21" t="str">
        <f>IFERROR(__xludf.DUMMYFUNCTION("""COMPUTED_VALUE"""),"Yes")</f>
        <v>Yes</v>
      </c>
      <c r="I95" s="21" t="str">
        <f>IFERROR(__xludf.DUMMYFUNCTION("""COMPUTED_VALUE"""),"Reading Books, Listening music")</f>
        <v>Reading Books, Listening music</v>
      </c>
      <c r="J95" s="21"/>
      <c r="K95" s="21" t="str">
        <f>IFERROR(__xludf.DUMMYFUNCTION("""COMPUTED_VALUE"""),"Bankura")</f>
        <v>Bankura</v>
      </c>
      <c r="L95" s="22" t="str">
        <f>IFERROR(__xludf.DUMMYFUNCTION("""COMPUTED_VALUE"""),"https://drive.google.com/open?id=1WAR3PH2PNje3aU1_IFAB6VIupB7ExLC9")</f>
        <v>https://drive.google.com/open?id=1WAR3PH2PNje3aU1_IFAB6VIupB7ExLC9</v>
      </c>
      <c r="M95" s="22" t="str">
        <f>IFERROR(__xludf.DUMMYFUNCTION("""COMPUTED_VALUE"""),"https://drive.google.com/open?id=1vpUSj95DCgepZ11M33qVLLufnDIa6yfg")</f>
        <v>https://drive.google.com/open?id=1vpUSj95DCgepZ11M33qVLLufnDIa6yfg</v>
      </c>
      <c r="N95" s="21" t="str">
        <f>IFERROR(__xludf.DUMMYFUNCTION("""COMPUTED_VALUE"""),"MRINAL KANTI MANDAL")</f>
        <v>MRINAL KANTI MANDAL</v>
      </c>
      <c r="O95" s="21" t="str">
        <f>IFERROR(__xludf.DUMMYFUNCTION("""COMPUTED_VALUE"""),"ASSISTANT DIRECTOR AGRICULTURE, GOVT OF WEST BENGAL")</f>
        <v>ASSISTANT DIRECTOR AGRICULTURE, GOVT OF WEST BENGAL</v>
      </c>
      <c r="P95" s="21" t="str">
        <f>IFERROR(__xludf.DUMMYFUNCTION("""COMPUTED_VALUE"""),"BANKURA")</f>
        <v>BANKURA</v>
      </c>
      <c r="Q95" s="21">
        <f>IFERROR(__xludf.DUMMYFUNCTION("""COMPUTED_VALUE"""),9.641492848E9)</f>
        <v>9641492848</v>
      </c>
      <c r="R95" s="21" t="str">
        <f>IFERROR(__xludf.DUMMYFUNCTION("""COMPUTED_VALUE"""),"BABITA MANDAL")</f>
        <v>BABITA MANDAL</v>
      </c>
      <c r="S95" s="21" t="str">
        <f>IFERROR(__xludf.DUMMYFUNCTION("""COMPUTED_VALUE"""),"HOMEMAKER ")</f>
        <v>HOMEMAKER </v>
      </c>
      <c r="T95" s="21" t="str">
        <f>IFERROR(__xludf.DUMMYFUNCTION("""COMPUTED_VALUE"""),"BANKURA ")</f>
        <v>BANKURA </v>
      </c>
      <c r="U95" s="21">
        <f>IFERROR(__xludf.DUMMYFUNCTION("""COMPUTED_VALUE"""),7.908035189E9)</f>
        <v>7908035189</v>
      </c>
      <c r="V95" s="21">
        <f>IFERROR(__xludf.DUMMYFUNCTION("""COMPUTED_VALUE"""),2.0)</f>
        <v>2</v>
      </c>
      <c r="W95" s="21" t="str">
        <f>IFERROR(__xludf.DUMMYFUNCTION("""COMPUTED_VALUE"""),"MRINAL KANTI MANDAL ")</f>
        <v>MRINAL KANTI MANDAL </v>
      </c>
      <c r="X95" s="21" t="str">
        <f>IFERROR(__xludf.DUMMYFUNCTION("""COMPUTED_VALUE"""),"Father")</f>
        <v>Father</v>
      </c>
      <c r="Y95" s="21" t="str">
        <f>IFERROR(__xludf.DUMMYFUNCTION("""COMPUTED_VALUE"""),"BABITA MANDAL")</f>
        <v>BABITA MANDAL</v>
      </c>
      <c r="Z95" s="21" t="str">
        <f>IFERROR(__xludf.DUMMYFUNCTION("""COMPUTED_VALUE"""),"Mother")</f>
        <v>Mother</v>
      </c>
      <c r="AA95" s="21" t="str">
        <f>IFERROR(__xludf.DUMMYFUNCTION("""COMPUTED_VALUE"""),"Non-Veg")</f>
        <v>Non-Veg</v>
      </c>
      <c r="AB95" s="21" t="str">
        <f>IFERROR(__xludf.DUMMYFUNCTION("""COMPUTED_VALUE"""),"Non-Veg")</f>
        <v>Non-Veg</v>
      </c>
      <c r="AC95" s="21" t="str">
        <f>IFERROR(__xludf.DUMMYFUNCTION("""COMPUTED_VALUE"""),"Non-Veg")</f>
        <v>Non-Veg</v>
      </c>
      <c r="AD95" s="21" t="str">
        <f>IFERROR(__xludf.DUMMYFUNCTION("""COMPUTED_VALUE"""),"Drop at Kalyani Railway Station")</f>
        <v>Drop at Kalyani Railway Station</v>
      </c>
      <c r="AE95" s="21">
        <f>IFERROR(__xludf.DUMMYFUNCTION("""COMPUTED_VALUE"""),3.0)</f>
        <v>3</v>
      </c>
    </row>
    <row r="96" ht="22.5" customHeight="1">
      <c r="A96" s="18">
        <f>IFERROR(__xludf.DUMMYFUNCTION("""COMPUTED_VALUE"""),46264.775871018515)</f>
        <v>46264.77587</v>
      </c>
      <c r="B96" s="21" t="str">
        <f>IFERROR(__xludf.DUMMYFUNCTION("""COMPUTED_VALUE"""),"honkap.mbbs-2020@aiimskalyani.edu.in")</f>
        <v>honkap.mbbs-2020@aiimskalyani.edu.in</v>
      </c>
      <c r="C96" s="21" t="str">
        <f>IFERROR(__xludf.DUMMYFUNCTION("""COMPUTED_VALUE"""),"HONKAP WANGJEN")</f>
        <v>HONKAP WANGJEN</v>
      </c>
      <c r="D96" s="21" t="str">
        <f>IFERROR(__xludf.DUMMYFUNCTION("""COMPUTED_VALUE"""),"51/202001101")</f>
        <v>51/202001101</v>
      </c>
      <c r="E96" s="21" t="str">
        <f>IFERROR(__xludf.DUMMYFUNCTION("""COMPUTED_VALUE"""),"MBBS 2020")</f>
        <v>MBBS 2020</v>
      </c>
      <c r="F96" s="21">
        <f>IFERROR(__xludf.DUMMYFUNCTION("""COMPUTED_VALUE"""),9.383106349E9)</f>
        <v>9383106349</v>
      </c>
      <c r="G96" s="21" t="str">
        <f>IFERROR(__xludf.DUMMYFUNCTION("""COMPUTED_VALUE"""),"honkap.mbbs-2020@aiimskalyani.edu.in")</f>
        <v>honkap.mbbs-2020@aiimskalyani.edu.in</v>
      </c>
      <c r="H96" s="21" t="str">
        <f>IFERROR(__xludf.DUMMYFUNCTION("""COMPUTED_VALUE"""),"Yes")</f>
        <v>Yes</v>
      </c>
      <c r="I96" s="21" t="str">
        <f>IFERROR(__xludf.DUMMYFUNCTION("""COMPUTED_VALUE"""),"photography, reading and following current affairs, hiking, travelling, listening to music, playing badminton, exercising, driving and fishing.")</f>
        <v>photography, reading and following current affairs, hiking, travelling, listening to music, playing badminton, exercising, driving and fishing.</v>
      </c>
      <c r="J96" s="21"/>
      <c r="K96" s="21" t="str">
        <f>IFERROR(__xludf.DUMMYFUNCTION("""COMPUTED_VALUE"""),"Village- Hasse Russa, PS/PO-Kanubari, Pincode-792131, District-Longding, State- Arunachal Pradesh.")</f>
        <v>Village- Hasse Russa, PS/PO-Kanubari, Pincode-792131, District-Longding, State- Arunachal Pradesh.</v>
      </c>
      <c r="L96" s="22" t="str">
        <f>IFERROR(__xludf.DUMMYFUNCTION("""COMPUTED_VALUE"""),"https://drive.google.com/open?id=1evafgOkL5bzXnMIWfeJ-3EYX21EA1I4H")</f>
        <v>https://drive.google.com/open?id=1evafgOkL5bzXnMIWfeJ-3EYX21EA1I4H</v>
      </c>
      <c r="M96" s="22" t="str">
        <f>IFERROR(__xludf.DUMMYFUNCTION("""COMPUTED_VALUE"""),"https://drive.google.com/open?id=1oyRXm0T63v91E4r6-sJBAxNWs8edMhLB")</f>
        <v>https://drive.google.com/open?id=1oyRXm0T63v91E4r6-sJBAxNWs8edMhLB</v>
      </c>
      <c r="N96" s="21" t="str">
        <f>IFERROR(__xludf.DUMMYFUNCTION("""COMPUTED_VALUE"""),"PHOTONG WANGJEN")</f>
        <v>PHOTONG WANGJEN</v>
      </c>
      <c r="O96" s="21" t="str">
        <f>IFERROR(__xludf.DUMMYFUNCTION("""COMPUTED_VALUE"""),"Farmer ")</f>
        <v>Farmer </v>
      </c>
      <c r="P96" s="21" t="str">
        <f>IFERROR(__xludf.DUMMYFUNCTION("""COMPUTED_VALUE"""),"Village- Hasse Russa, PS/PO-Kanubari, Pincode-792131, District-Longding, State- Arunachal Pradesh. ")</f>
        <v>Village- Hasse Russa, PS/PO-Kanubari, Pincode-792131, District-Longding, State- Arunachal Pradesh. </v>
      </c>
      <c r="Q96" s="21">
        <f>IFERROR(__xludf.DUMMYFUNCTION("""COMPUTED_VALUE"""),7.005403521E9)</f>
        <v>7005403521</v>
      </c>
      <c r="R96" s="21" t="str">
        <f>IFERROR(__xludf.DUMMYFUNCTION("""COMPUTED_VALUE"""),"PHEMUN WANGJEN")</f>
        <v>PHEMUN WANGJEN</v>
      </c>
      <c r="S96" s="21" t="str">
        <f>IFERROR(__xludf.DUMMYFUNCTION("""COMPUTED_VALUE"""),"Homemaker ")</f>
        <v>Homemaker </v>
      </c>
      <c r="T96" s="21" t="str">
        <f>IFERROR(__xludf.DUMMYFUNCTION("""COMPUTED_VALUE"""),"Village- Hasse Russa, PS/PO-Kanubari, Pincode-792131, District-Longding, State- Arunachal Pradesh. ")</f>
        <v>Village- Hasse Russa, PS/PO-Kanubari, Pincode-792131, District-Longding, State- Arunachal Pradesh. </v>
      </c>
      <c r="U96" s="21">
        <f>IFERROR(__xludf.DUMMYFUNCTION("""COMPUTED_VALUE"""),9.383106349E9)</f>
        <v>9383106349</v>
      </c>
      <c r="V96" s="21">
        <f>IFERROR(__xludf.DUMMYFUNCTION("""COMPUTED_VALUE"""),1.0)</f>
        <v>1</v>
      </c>
      <c r="W96" s="21" t="str">
        <f>IFERROR(__xludf.DUMMYFUNCTION("""COMPUTED_VALUE"""),"Ngamlem Wangjen")</f>
        <v>Ngamlem Wangjen</v>
      </c>
      <c r="X96" s="21" t="str">
        <f>IFERROR(__xludf.DUMMYFUNCTION("""COMPUTED_VALUE"""),"Elder sister ")</f>
        <v>Elder sister </v>
      </c>
      <c r="Y96" s="21"/>
      <c r="Z96" s="21"/>
      <c r="AA96" s="21" t="str">
        <f>IFERROR(__xludf.DUMMYFUNCTION("""COMPUTED_VALUE"""),"Non-Veg")</f>
        <v>Non-Veg</v>
      </c>
      <c r="AB96" s="21" t="str">
        <f>IFERROR(__xludf.DUMMYFUNCTION("""COMPUTED_VALUE"""),"Non-Veg")</f>
        <v>Non-Veg</v>
      </c>
      <c r="AC96" s="21"/>
      <c r="AD96" s="21" t="str">
        <f>IFERROR(__xludf.DUMMYFUNCTION("""COMPUTED_VALUE"""),"Bus Drop Service not needed")</f>
        <v>Bus Drop Service not needed</v>
      </c>
      <c r="AE96" s="21"/>
    </row>
    <row r="97" ht="22.5" customHeight="1">
      <c r="A97" s="18">
        <f>IFERROR(__xludf.DUMMYFUNCTION("""COMPUTED_VALUE"""),46264.770809814814)</f>
        <v>46264.77081</v>
      </c>
      <c r="B97" s="21" t="str">
        <f>IFERROR(__xludf.DUMMYFUNCTION("""COMPUTED_VALUE"""),"subhasis.mbbs-2020@aiimskalyani.edu.in")</f>
        <v>subhasis.mbbs-2020@aiimskalyani.edu.in</v>
      </c>
      <c r="C97" s="21" t="str">
        <f>IFERROR(__xludf.DUMMYFUNCTION("""COMPUTED_VALUE"""),"SUBHASIS PANJA ")</f>
        <v>SUBHASIS PANJA </v>
      </c>
      <c r="D97" s="21" t="str">
        <f>IFERROR(__xludf.DUMMYFUNCTION("""COMPUTED_VALUE"""),"100/202001150")</f>
        <v>100/202001150</v>
      </c>
      <c r="E97" s="21" t="str">
        <f>IFERROR(__xludf.DUMMYFUNCTION("""COMPUTED_VALUE"""),"MBBS 2020")</f>
        <v>MBBS 2020</v>
      </c>
      <c r="F97" s="21">
        <f>IFERROR(__xludf.DUMMYFUNCTION("""COMPUTED_VALUE"""),7.908126837E9)</f>
        <v>7908126837</v>
      </c>
      <c r="G97" s="21" t="str">
        <f>IFERROR(__xludf.DUMMYFUNCTION("""COMPUTED_VALUE"""),"subhasispanja11@gmail.com")</f>
        <v>subhasispanja11@gmail.com</v>
      </c>
      <c r="H97" s="21" t="str">
        <f>IFERROR(__xludf.DUMMYFUNCTION("""COMPUTED_VALUE"""),"Yes")</f>
        <v>Yes</v>
      </c>
      <c r="I97" s="21" t="str">
        <f>IFERROR(__xludf.DUMMYFUNCTION("""COMPUTED_VALUE"""),"Quiz, Badminton, Poems, Watching and analyzing Bayern Munich football games.")</f>
        <v>Quiz, Badminton, Poems, Watching and analyzing Bayern Munich football games.</v>
      </c>
      <c r="J97" s="21"/>
      <c r="K97" s="21" t="str">
        <f>IFERROR(__xludf.DUMMYFUNCTION("""COMPUTED_VALUE"""),"Arambagh ")</f>
        <v>Arambagh </v>
      </c>
      <c r="L97" s="22" t="str">
        <f>IFERROR(__xludf.DUMMYFUNCTION("""COMPUTED_VALUE"""),"https://drive.google.com/open?id=124crok5AAw7ikRRjYsGq6nRYmxtyzGdL")</f>
        <v>https://drive.google.com/open?id=124crok5AAw7ikRRjYsGq6nRYmxtyzGdL</v>
      </c>
      <c r="M97" s="22" t="str">
        <f>IFERROR(__xludf.DUMMYFUNCTION("""COMPUTED_VALUE"""),"https://drive.google.com/open?id=1zW8WVLi6_3sWq2Ftmyb2_GxImDfZVuTc")</f>
        <v>https://drive.google.com/open?id=1zW8WVLi6_3sWq2Ftmyb2_GxImDfZVuTc</v>
      </c>
      <c r="N97" s="21" t="str">
        <f>IFERROR(__xludf.DUMMYFUNCTION("""COMPUTED_VALUE"""),"Sridhar Panja")</f>
        <v>Sridhar Panja</v>
      </c>
      <c r="O97" s="21" t="str">
        <f>IFERROR(__xludf.DUMMYFUNCTION("""COMPUTED_VALUE"""),"LIC AAO Officer")</f>
        <v>LIC AAO Officer</v>
      </c>
      <c r="P97" s="21" t="str">
        <f>IFERROR(__xludf.DUMMYFUNCTION("""COMPUTED_VALUE"""),"Arambagh ")</f>
        <v>Arambagh </v>
      </c>
      <c r="Q97" s="21">
        <f>IFERROR(__xludf.DUMMYFUNCTION("""COMPUTED_VALUE"""),7.908989497E9)</f>
        <v>7908989497</v>
      </c>
      <c r="R97" s="21" t="str">
        <f>IFERROR(__xludf.DUMMYFUNCTION("""COMPUTED_VALUE"""),"Ambika Panja")</f>
        <v>Ambika Panja</v>
      </c>
      <c r="S97" s="21" t="str">
        <f>IFERROR(__xludf.DUMMYFUNCTION("""COMPUTED_VALUE"""),"Nurse (West Bengal Staff Nurse)")</f>
        <v>Nurse (West Bengal Staff Nurse)</v>
      </c>
      <c r="T97" s="21" t="str">
        <f>IFERROR(__xludf.DUMMYFUNCTION("""COMPUTED_VALUE"""),"Arambagh ")</f>
        <v>Arambagh </v>
      </c>
      <c r="U97" s="21">
        <f>IFERROR(__xludf.DUMMYFUNCTION("""COMPUTED_VALUE"""),9.474663399E9)</f>
        <v>9474663399</v>
      </c>
      <c r="V97" s="21">
        <f>IFERROR(__xludf.DUMMYFUNCTION("""COMPUTED_VALUE"""),2.0)</f>
        <v>2</v>
      </c>
      <c r="W97" s="21" t="str">
        <f>IFERROR(__xludf.DUMMYFUNCTION("""COMPUTED_VALUE"""),"Sridhar Panja ")</f>
        <v>Sridhar Panja </v>
      </c>
      <c r="X97" s="21" t="str">
        <f>IFERROR(__xludf.DUMMYFUNCTION("""COMPUTED_VALUE"""),"Father")</f>
        <v>Father</v>
      </c>
      <c r="Y97" s="21" t="str">
        <f>IFERROR(__xludf.DUMMYFUNCTION("""COMPUTED_VALUE"""),"Ambika Panja ")</f>
        <v>Ambika Panja </v>
      </c>
      <c r="Z97" s="21" t="str">
        <f>IFERROR(__xludf.DUMMYFUNCTION("""COMPUTED_VALUE"""),"Mother ")</f>
        <v>Mother </v>
      </c>
      <c r="AA97" s="21" t="str">
        <f>IFERROR(__xludf.DUMMYFUNCTION("""COMPUTED_VALUE"""),"Non-Veg")</f>
        <v>Non-Veg</v>
      </c>
      <c r="AB97" s="21" t="str">
        <f>IFERROR(__xludf.DUMMYFUNCTION("""COMPUTED_VALUE"""),"Non-Veg")</f>
        <v>Non-Veg</v>
      </c>
      <c r="AC97" s="21" t="str">
        <f>IFERROR(__xludf.DUMMYFUNCTION("""COMPUTED_VALUE"""),"Veg")</f>
        <v>Veg</v>
      </c>
      <c r="AD97" s="21" t="str">
        <f>IFERROR(__xludf.DUMMYFUNCTION("""COMPUTED_VALUE"""),"Bus Drop Service not needed")</f>
        <v>Bus Drop Service not needed</v>
      </c>
      <c r="AE97" s="21"/>
    </row>
    <row r="98" ht="22.5" customHeight="1">
      <c r="A98" s="18">
        <f>IFERROR(__xludf.DUMMYFUNCTION("""COMPUTED_VALUE"""),46264.72327453704)</f>
        <v>46264.72327</v>
      </c>
      <c r="B98" s="21" t="str">
        <f>IFERROR(__xludf.DUMMYFUNCTION("""COMPUTED_VALUE"""),"ashish.mbbs-2020@aiimskalyani.edu.in")</f>
        <v>ashish.mbbs-2020@aiimskalyani.edu.in</v>
      </c>
      <c r="C98" s="21" t="str">
        <f>IFERROR(__xludf.DUMMYFUNCTION("""COMPUTED_VALUE"""),"ASHISH GAURAV ")</f>
        <v>ASHISH GAURAV </v>
      </c>
      <c r="D98" s="21">
        <f>IFERROR(__xludf.DUMMYFUNCTION("""COMPUTED_VALUE"""),2.0200176E7)</f>
        <v>20200176</v>
      </c>
      <c r="E98" s="21" t="str">
        <f>IFERROR(__xludf.DUMMYFUNCTION("""COMPUTED_VALUE"""),"MBBS 2020")</f>
        <v>MBBS 2020</v>
      </c>
      <c r="F98" s="21">
        <f>IFERROR(__xludf.DUMMYFUNCTION("""COMPUTED_VALUE"""),7.35245305E9)</f>
        <v>7352453050</v>
      </c>
      <c r="G98" s="21" t="str">
        <f>IFERROR(__xludf.DUMMYFUNCTION("""COMPUTED_VALUE"""),"gauravdrashish@gmail.com")</f>
        <v>gauravdrashish@gmail.com</v>
      </c>
      <c r="H98" s="21" t="str">
        <f>IFERROR(__xludf.DUMMYFUNCTION("""COMPUTED_VALUE"""),"Yes")</f>
        <v>Yes</v>
      </c>
      <c r="I98" s="21" t="str">
        <f>IFERROR(__xludf.DUMMYFUNCTION("""COMPUTED_VALUE"""),"Playing cricket ")</f>
        <v>Playing cricket </v>
      </c>
      <c r="J98" s="21" t="str">
        <f>IFERROR(__xludf.DUMMYFUNCTION("""COMPUTED_VALUE"""),"Completed ICMR STS RESEARCH PROJECT ")</f>
        <v>Completed ICMR STS RESEARCH PROJECT </v>
      </c>
      <c r="K98" s="21" t="str">
        <f>IFERROR(__xludf.DUMMYFUNCTION("""COMPUTED_VALUE"""),"Mashrak, chapra")</f>
        <v>Mashrak, chapra</v>
      </c>
      <c r="L98" s="22" t="str">
        <f>IFERROR(__xludf.DUMMYFUNCTION("""COMPUTED_VALUE"""),"https://drive.google.com/open?id=1exP8iApsSJz-fQoCCg6_C_zjXxKagc7N")</f>
        <v>https://drive.google.com/open?id=1exP8iApsSJz-fQoCCg6_C_zjXxKagc7N</v>
      </c>
      <c r="M98" s="22" t="str">
        <f>IFERROR(__xludf.DUMMYFUNCTION("""COMPUTED_VALUE"""),"https://drive.google.com/open?id=1cm90fqXv2zVDf7h9fbEs9F8ucMNpHqwB")</f>
        <v>https://drive.google.com/open?id=1cm90fqXv2zVDf7h9fbEs9F8ucMNpHqwB</v>
      </c>
      <c r="N98" s="21" t="str">
        <f>IFERROR(__xludf.DUMMYFUNCTION("""COMPUTED_VALUE"""),"Jay kishor singh ")</f>
        <v>Jay kishor singh </v>
      </c>
      <c r="O98" s="21" t="str">
        <f>IFERROR(__xludf.DUMMYFUNCTION("""COMPUTED_VALUE"""),"Professor ")</f>
        <v>Professor </v>
      </c>
      <c r="P98" s="21" t="str">
        <f>IFERROR(__xludf.DUMMYFUNCTION("""COMPUTED_VALUE"""),"Mashrak ")</f>
        <v>Mashrak </v>
      </c>
      <c r="Q98" s="21">
        <f>IFERROR(__xludf.DUMMYFUNCTION("""COMPUTED_VALUE"""),9.334789078E9)</f>
        <v>9334789078</v>
      </c>
      <c r="R98" s="21" t="str">
        <f>IFERROR(__xludf.DUMMYFUNCTION("""COMPUTED_VALUE"""),"Ahilya devi ")</f>
        <v>Ahilya devi </v>
      </c>
      <c r="S98" s="21" t="str">
        <f>IFERROR(__xludf.DUMMYFUNCTION("""COMPUTED_VALUE"""),"Housewife ")</f>
        <v>Housewife </v>
      </c>
      <c r="T98" s="21" t="str">
        <f>IFERROR(__xludf.DUMMYFUNCTION("""COMPUTED_VALUE"""),"Mashrak ")</f>
        <v>Mashrak </v>
      </c>
      <c r="U98" s="21">
        <f>IFERROR(__xludf.DUMMYFUNCTION("""COMPUTED_VALUE"""),9.334789078E9)</f>
        <v>9334789078</v>
      </c>
      <c r="V98" s="21">
        <f>IFERROR(__xludf.DUMMYFUNCTION("""COMPUTED_VALUE"""),2.0)</f>
        <v>2</v>
      </c>
      <c r="W98" s="21" t="str">
        <f>IFERROR(__xludf.DUMMYFUNCTION("""COMPUTED_VALUE"""),"Jay kishor singh ")</f>
        <v>Jay kishor singh </v>
      </c>
      <c r="X98" s="21" t="str">
        <f>IFERROR(__xludf.DUMMYFUNCTION("""COMPUTED_VALUE"""),"Father ")</f>
        <v>Father </v>
      </c>
      <c r="Y98" s="21" t="str">
        <f>IFERROR(__xludf.DUMMYFUNCTION("""COMPUTED_VALUE"""),"Ahilya devi ")</f>
        <v>Ahilya devi </v>
      </c>
      <c r="Z98" s="21" t="str">
        <f>IFERROR(__xludf.DUMMYFUNCTION("""COMPUTED_VALUE"""),"Mother ")</f>
        <v>Mother </v>
      </c>
      <c r="AA98" s="21" t="str">
        <f>IFERROR(__xludf.DUMMYFUNCTION("""COMPUTED_VALUE"""),"Veg")</f>
        <v>Veg</v>
      </c>
      <c r="AB98" s="21" t="str">
        <f>IFERROR(__xludf.DUMMYFUNCTION("""COMPUTED_VALUE"""),"Veg")</f>
        <v>Veg</v>
      </c>
      <c r="AC98" s="21" t="str">
        <f>IFERROR(__xludf.DUMMYFUNCTION("""COMPUTED_VALUE"""),"Veg")</f>
        <v>Veg</v>
      </c>
      <c r="AD98" s="21" t="str">
        <f>IFERROR(__xludf.DUMMYFUNCTION("""COMPUTED_VALUE"""),"Bus Drop Service not needed")</f>
        <v>Bus Drop Service not needed</v>
      </c>
      <c r="AE98" s="21">
        <f>IFERROR(__xludf.DUMMYFUNCTION("""COMPUTED_VALUE"""),0.0)</f>
        <v>0</v>
      </c>
    </row>
    <row r="99" ht="22.5" customHeight="1">
      <c r="A99" s="18">
        <f>IFERROR(__xludf.DUMMYFUNCTION("""COMPUTED_VALUE"""),46264.720909490745)</f>
        <v>46264.72091</v>
      </c>
      <c r="B99" s="21" t="str">
        <f>IFERROR(__xludf.DUMMYFUNCTION("""COMPUTED_VALUE"""),"anubhab.mbbs-2020@aiimskalyani.edu.in")</f>
        <v>anubhab.mbbs-2020@aiimskalyani.edu.in</v>
      </c>
      <c r="C99" s="21" t="str">
        <f>IFERROR(__xludf.DUMMYFUNCTION("""COMPUTED_VALUE"""),"Anubhab Saha")</f>
        <v>Anubhab Saha</v>
      </c>
      <c r="D99" s="21">
        <f>IFERROR(__xludf.DUMMYFUNCTION("""COMPUTED_VALUE"""),2.0200169E7)</f>
        <v>20200169</v>
      </c>
      <c r="E99" s="21" t="str">
        <f>IFERROR(__xludf.DUMMYFUNCTION("""COMPUTED_VALUE"""),"MBBS 2020")</f>
        <v>MBBS 2020</v>
      </c>
      <c r="F99" s="21">
        <f>IFERROR(__xludf.DUMMYFUNCTION("""COMPUTED_VALUE"""),9.59118026E9)</f>
        <v>9591180260</v>
      </c>
      <c r="G99" s="21" t="str">
        <f>IFERROR(__xludf.DUMMYFUNCTION("""COMPUTED_VALUE"""),"anubhabsaha.med@gmail.com")</f>
        <v>anubhabsaha.med@gmail.com</v>
      </c>
      <c r="H99" s="21" t="str">
        <f>IFERROR(__xludf.DUMMYFUNCTION("""COMPUTED_VALUE"""),"Yes")</f>
        <v>Yes</v>
      </c>
      <c r="I99" s="21" t="str">
        <f>IFERROR(__xludf.DUMMYFUNCTION("""COMPUTED_VALUE"""),"Quizzing, Listening to Music and and playing Guitar, Reading Novels, Playing Football")</f>
        <v>Quizzing, Listening to Music and and playing Guitar, Reading Novels, Playing Football</v>
      </c>
      <c r="J99" s="21" t="str">
        <f>IFERROR(__xludf.DUMMYFUNCTION("""COMPUTED_VALUE"""),"1. Represented AIIMS Kalyani in various National Open Quizzes (Errol Cowper trophy, Kolkata International Quiz Festival, Kolkata International Sports quiz festival etc)
2. Won Solo Instrumental at JIPMER Intercollege fest (Spandan 2023)
3. Podium finishes"&amp;" in online and offline quizzes organised by AIIMS Bhubaneswar and JIPMER.
4. Represented AIIMS Kalyani in Intercollege Battle of Bands competition in JIPMER and AIIMS Bhubaneswar.
5. Music Club Head of AIIMS Kalyani (2024)")</f>
        <v>1. Represented AIIMS Kalyani in various National Open Quizzes (Errol Cowper trophy, Kolkata International Quiz Festival, Kolkata International Sports quiz festival etc)
2. Won Solo Instrumental at JIPMER Intercollege fest (Spandan 2023)
3. Podium finishes in online and offline quizzes organised by AIIMS Bhubaneswar and JIPMER.
4. Represented AIIMS Kalyani in Intercollege Battle of Bands competition in JIPMER and AIIMS Bhubaneswar.
5. Music Club Head of AIIMS Kalyani (2024)</v>
      </c>
      <c r="K99" s="21" t="str">
        <f>IFERROR(__xludf.DUMMYFUNCTION("""COMPUTED_VALUE"""),"Bangalore")</f>
        <v>Bangalore</v>
      </c>
      <c r="L99" s="22" t="str">
        <f>IFERROR(__xludf.DUMMYFUNCTION("""COMPUTED_VALUE"""),"https://drive.google.com/open?id=1Y6ZcGc2riRBA1oJVHyZfsfZ4dY3i6fjT")</f>
        <v>https://drive.google.com/open?id=1Y6ZcGc2riRBA1oJVHyZfsfZ4dY3i6fjT</v>
      </c>
      <c r="M99" s="22" t="str">
        <f>IFERROR(__xludf.DUMMYFUNCTION("""COMPUTED_VALUE"""),"https://drive.google.com/open?id=1ERvGu6dTpc99Rnh9EJjqrc6E_swukhi7")</f>
        <v>https://drive.google.com/open?id=1ERvGu6dTpc99Rnh9EJjqrc6E_swukhi7</v>
      </c>
      <c r="N99" s="21" t="str">
        <f>IFERROR(__xludf.DUMMYFUNCTION("""COMPUTED_VALUE"""),"Jayanta Kumar Saha")</f>
        <v>Jayanta Kumar Saha</v>
      </c>
      <c r="O99" s="21" t="str">
        <f>IFERROR(__xludf.DUMMYFUNCTION("""COMPUTED_VALUE"""),"Bank Employee, Senior Manager, Indian Bank")</f>
        <v>Bank Employee, Senior Manager, Indian Bank</v>
      </c>
      <c r="P99" s="21" t="str">
        <f>IFERROR(__xludf.DUMMYFUNCTION("""COMPUTED_VALUE"""),"Bangalore")</f>
        <v>Bangalore</v>
      </c>
      <c r="Q99" s="21">
        <f>IFERROR(__xludf.DUMMYFUNCTION("""COMPUTED_VALUE"""),9.945740299E9)</f>
        <v>9945740299</v>
      </c>
      <c r="R99" s="21" t="str">
        <f>IFERROR(__xludf.DUMMYFUNCTION("""COMPUTED_VALUE"""),"Jayeeta Saha")</f>
        <v>Jayeeta Saha</v>
      </c>
      <c r="S99" s="21" t="str">
        <f>IFERROR(__xludf.DUMMYFUNCTION("""COMPUTED_VALUE"""),"Teacher, Assistant teacher, Vidyodaya NAL Nursery School")</f>
        <v>Teacher, Assistant teacher, Vidyodaya NAL Nursery School</v>
      </c>
      <c r="T99" s="21" t="str">
        <f>IFERROR(__xludf.DUMMYFUNCTION("""COMPUTED_VALUE"""),"Bangalore")</f>
        <v>Bangalore</v>
      </c>
      <c r="U99" s="21">
        <f>IFERROR(__xludf.DUMMYFUNCTION("""COMPUTED_VALUE"""),9.731863312E9)</f>
        <v>9731863312</v>
      </c>
      <c r="V99" s="21">
        <f>IFERROR(__xludf.DUMMYFUNCTION("""COMPUTED_VALUE"""),2.0)</f>
        <v>2</v>
      </c>
      <c r="W99" s="21" t="str">
        <f>IFERROR(__xludf.DUMMYFUNCTION("""COMPUTED_VALUE"""),"Jayanta Kumar Saha")</f>
        <v>Jayanta Kumar Saha</v>
      </c>
      <c r="X99" s="21" t="str">
        <f>IFERROR(__xludf.DUMMYFUNCTION("""COMPUTED_VALUE"""),"Father")</f>
        <v>Father</v>
      </c>
      <c r="Y99" s="21" t="str">
        <f>IFERROR(__xludf.DUMMYFUNCTION("""COMPUTED_VALUE"""),"Jayeeta Saha")</f>
        <v>Jayeeta Saha</v>
      </c>
      <c r="Z99" s="21" t="str">
        <f>IFERROR(__xludf.DUMMYFUNCTION("""COMPUTED_VALUE"""),"Mother")</f>
        <v>Mother</v>
      </c>
      <c r="AA99" s="21" t="str">
        <f>IFERROR(__xludf.DUMMYFUNCTION("""COMPUTED_VALUE"""),"Non-Veg")</f>
        <v>Non-Veg</v>
      </c>
      <c r="AB99" s="21" t="str">
        <f>IFERROR(__xludf.DUMMYFUNCTION("""COMPUTED_VALUE"""),"Non-Veg")</f>
        <v>Non-Veg</v>
      </c>
      <c r="AC99" s="21" t="str">
        <f>IFERROR(__xludf.DUMMYFUNCTION("""COMPUTED_VALUE"""),"Non-Veg")</f>
        <v>Non-Veg</v>
      </c>
      <c r="AD99" s="21" t="str">
        <f>IFERROR(__xludf.DUMMYFUNCTION("""COMPUTED_VALUE"""),"Bus Drop Service not needed")</f>
        <v>Bus Drop Service not needed</v>
      </c>
      <c r="AE99" s="21">
        <f>IFERROR(__xludf.DUMMYFUNCTION("""COMPUTED_VALUE"""),0.0)</f>
        <v>0</v>
      </c>
    </row>
    <row r="100" ht="22.5" customHeight="1">
      <c r="A100" s="18">
        <f>IFERROR(__xludf.DUMMYFUNCTION("""COMPUTED_VALUE"""),46264.672823796296)</f>
        <v>46264.67282</v>
      </c>
      <c r="B100" s="21" t="str">
        <f>IFERROR(__xludf.DUMMYFUNCTION("""COMPUTED_VALUE"""),"pritam.mbbs-2020@aiimskalyani.edu.in")</f>
        <v>pritam.mbbs-2020@aiimskalyani.edu.in</v>
      </c>
      <c r="C100" s="21" t="str">
        <f>IFERROR(__xludf.DUMMYFUNCTION("""COMPUTED_VALUE"""),"PRITAM KUMAR DAS")</f>
        <v>PRITAM KUMAR DAS</v>
      </c>
      <c r="D100" s="21" t="str">
        <f>IFERROR(__xludf.DUMMYFUNCTION("""COMPUTED_VALUE"""),"70 / 202001120")</f>
        <v>70 / 202001120</v>
      </c>
      <c r="E100" s="21" t="str">
        <f>IFERROR(__xludf.DUMMYFUNCTION("""COMPUTED_VALUE"""),"MBBS 2020")</f>
        <v>MBBS 2020</v>
      </c>
      <c r="F100" s="21">
        <f>IFERROR(__xludf.DUMMYFUNCTION("""COMPUTED_VALUE"""),9.903416146E9)</f>
        <v>9903416146</v>
      </c>
      <c r="G100" s="21" t="str">
        <f>IFERROR(__xludf.DUMMYFUNCTION("""COMPUTED_VALUE"""),"pritamkdas21@gmail.com")</f>
        <v>pritamkdas21@gmail.com</v>
      </c>
      <c r="H100" s="21" t="str">
        <f>IFERROR(__xludf.DUMMYFUNCTION("""COMPUTED_VALUE"""),"Yes")</f>
        <v>Yes</v>
      </c>
      <c r="I100" s="21"/>
      <c r="J100" s="21"/>
      <c r="K100" s="21" t="str">
        <f>IFERROR(__xludf.DUMMYFUNCTION("""COMPUTED_VALUE"""),"Ara - Bihar")</f>
        <v>Ara - Bihar</v>
      </c>
      <c r="L100" s="22" t="str">
        <f>IFERROR(__xludf.DUMMYFUNCTION("""COMPUTED_VALUE"""),"https://drive.google.com/open?id=1FeO19y_W8VWcjEZdY_YIZLqTIsi4H8S3")</f>
        <v>https://drive.google.com/open?id=1FeO19y_W8VWcjEZdY_YIZLqTIsi4H8S3</v>
      </c>
      <c r="M100" s="22" t="str">
        <f>IFERROR(__xludf.DUMMYFUNCTION("""COMPUTED_VALUE"""),"https://drive.google.com/open?id=1BZbbjvux3p2XroHfFauBl6n9_CcTVHFh")</f>
        <v>https://drive.google.com/open?id=1BZbbjvux3p2XroHfFauBl6n9_CcTVHFh</v>
      </c>
      <c r="N100" s="21" t="str">
        <f>IFERROR(__xludf.DUMMYFUNCTION("""COMPUTED_VALUE"""),"Uma Shankar Das ")</f>
        <v>Uma Shankar Das </v>
      </c>
      <c r="O100" s="21" t="str">
        <f>IFERROR(__xludf.DUMMYFUNCTION("""COMPUTED_VALUE"""),"Govt. service / ATT")</f>
        <v>Govt. service / ATT</v>
      </c>
      <c r="P100" s="21" t="str">
        <f>IFERROR(__xludf.DUMMYFUNCTION("""COMPUTED_VALUE"""),"Kolkata ")</f>
        <v>Kolkata </v>
      </c>
      <c r="Q100" s="21">
        <f>IFERROR(__xludf.DUMMYFUNCTION("""COMPUTED_VALUE"""),8.27293834E9)</f>
        <v>8272938340</v>
      </c>
      <c r="R100" s="21" t="str">
        <f>IFERROR(__xludf.DUMMYFUNCTION("""COMPUTED_VALUE"""),"Nilam Devi ")</f>
        <v>Nilam Devi </v>
      </c>
      <c r="S100" s="21" t="str">
        <f>IFERROR(__xludf.DUMMYFUNCTION("""COMPUTED_VALUE"""),"Housewife ")</f>
        <v>Housewife </v>
      </c>
      <c r="T100" s="21" t="str">
        <f>IFERROR(__xludf.DUMMYFUNCTION("""COMPUTED_VALUE"""),"Kori ( Bihar)")</f>
        <v>Kori ( Bihar)</v>
      </c>
      <c r="U100" s="21">
        <f>IFERROR(__xludf.DUMMYFUNCTION("""COMPUTED_VALUE"""),9.477399505E9)</f>
        <v>9477399505</v>
      </c>
      <c r="V100" s="21">
        <f>IFERROR(__xludf.DUMMYFUNCTION("""COMPUTED_VALUE"""),2.0)</f>
        <v>2</v>
      </c>
      <c r="W100" s="21" t="str">
        <f>IFERROR(__xludf.DUMMYFUNCTION("""COMPUTED_VALUE"""),"Uma Shankar Das ")</f>
        <v>Uma Shankar Das </v>
      </c>
      <c r="X100" s="21" t="str">
        <f>IFERROR(__xludf.DUMMYFUNCTION("""COMPUTED_VALUE"""),"Father")</f>
        <v>Father</v>
      </c>
      <c r="Y100" s="21" t="str">
        <f>IFERROR(__xludf.DUMMYFUNCTION("""COMPUTED_VALUE"""),"Nilam devi")</f>
        <v>Nilam devi</v>
      </c>
      <c r="Z100" s="21" t="str">
        <f>IFERROR(__xludf.DUMMYFUNCTION("""COMPUTED_VALUE"""),"Mother")</f>
        <v>Mother</v>
      </c>
      <c r="AA100" s="21" t="str">
        <f>IFERROR(__xludf.DUMMYFUNCTION("""COMPUTED_VALUE"""),"Non-Veg")</f>
        <v>Non-Veg</v>
      </c>
      <c r="AB100" s="21" t="str">
        <f>IFERROR(__xludf.DUMMYFUNCTION("""COMPUTED_VALUE"""),"Non-Veg")</f>
        <v>Non-Veg</v>
      </c>
      <c r="AC100" s="21" t="str">
        <f>IFERROR(__xludf.DUMMYFUNCTION("""COMPUTED_VALUE"""),"Non-Veg")</f>
        <v>Non-Veg</v>
      </c>
      <c r="AD100" s="21" t="str">
        <f>IFERROR(__xludf.DUMMYFUNCTION("""COMPUTED_VALUE"""),"Bus Drop Service not needed")</f>
        <v>Bus Drop Service not needed</v>
      </c>
      <c r="AE100" s="21">
        <f>IFERROR(__xludf.DUMMYFUNCTION("""COMPUTED_VALUE"""),0.0)</f>
        <v>0</v>
      </c>
    </row>
    <row r="101" ht="22.5" customHeight="1">
      <c r="A101" s="18">
        <f>IFERROR(__xludf.DUMMYFUNCTION("""COMPUTED_VALUE"""),46264.667765)</f>
        <v>46264.66777</v>
      </c>
      <c r="B101" s="21" t="str">
        <f>IFERROR(__xludf.DUMMYFUNCTION("""COMPUTED_VALUE"""),"gowtham.mbbs-2020@aiimskalyani.edu.in")</f>
        <v>gowtham.mbbs-2020@aiimskalyani.edu.in</v>
      </c>
      <c r="C101" s="21" t="str">
        <f>IFERROR(__xludf.DUMMYFUNCTION("""COMPUTED_VALUE"""),"GOWTHAM S")</f>
        <v>GOWTHAM S</v>
      </c>
      <c r="D101" s="21">
        <f>IFERROR(__xludf.DUMMYFUNCTION("""COMPUTED_VALUE"""),2.0200199E7)</f>
        <v>20200199</v>
      </c>
      <c r="E101" s="21" t="str">
        <f>IFERROR(__xludf.DUMMYFUNCTION("""COMPUTED_VALUE"""),"MBBS 2020")</f>
        <v>MBBS 2020</v>
      </c>
      <c r="F101" s="21">
        <f>IFERROR(__xludf.DUMMYFUNCTION("""COMPUTED_VALUE"""),8.113071161E9)</f>
        <v>8113071161</v>
      </c>
      <c r="G101" s="21" t="str">
        <f>IFERROR(__xludf.DUMMYFUNCTION("""COMPUTED_VALUE"""),"gowtham.mbbs-2020@aiimskalyani.edu.in")</f>
        <v>gowtham.mbbs-2020@aiimskalyani.edu.in</v>
      </c>
      <c r="H101" s="21" t="str">
        <f>IFERROR(__xludf.DUMMYFUNCTION("""COMPUTED_VALUE"""),"Yes")</f>
        <v>Yes</v>
      </c>
      <c r="I101" s="21" t="str">
        <f>IFERROR(__xludf.DUMMYFUNCTION("""COMPUTED_VALUE"""),"Football enthusiast, occasional quizzing, movies tv shows and animes, Novels and other stories")</f>
        <v>Football enthusiast, occasional quizzing, movies tv shows and animes, Novels and other stories</v>
      </c>
      <c r="J101" s="21" t="str">
        <f>IFERROR(__xludf.DUMMYFUNCTION("""COMPUTED_VALUE"""),"Was in the aiims kalyani football team, was captain of the green house football team during 3rd year, led the team to the finals. Won football inter house house match in 2nd and final year")</f>
        <v>Was in the aiims kalyani football team, was captain of the green house football team during 3rd year, led the team to the finals. Won football inter house house match in 2nd and final year</v>
      </c>
      <c r="K101" s="21" t="str">
        <f>IFERROR(__xludf.DUMMYFUNCTION("""COMPUTED_VALUE"""),"Chathenkary, Thiruvalla, Kerala")</f>
        <v>Chathenkary, Thiruvalla, Kerala</v>
      </c>
      <c r="L101" s="22" t="str">
        <f>IFERROR(__xludf.DUMMYFUNCTION("""COMPUTED_VALUE"""),"https://drive.google.com/open?id=14KxPGkJYWPipEttIFlq04mALjst5dPU7")</f>
        <v>https://drive.google.com/open?id=14KxPGkJYWPipEttIFlq04mALjst5dPU7</v>
      </c>
      <c r="M101" s="22" t="str">
        <f>IFERROR(__xludf.DUMMYFUNCTION("""COMPUTED_VALUE"""),"https://drive.google.com/open?id=1Wqoq6QmYVL-NSZllrfdkNyK-hRfq1ihk")</f>
        <v>https://drive.google.com/open?id=1Wqoq6QmYVL-NSZllrfdkNyK-hRfq1ihk</v>
      </c>
      <c r="N101" s="21" t="str">
        <f>IFERROR(__xludf.DUMMYFUNCTION("""COMPUTED_VALUE"""),"Santhosh G")</f>
        <v>Santhosh G</v>
      </c>
      <c r="O101" s="21" t="str">
        <f>IFERROR(__xludf.DUMMYFUNCTION("""COMPUTED_VALUE"""),"Advocate ")</f>
        <v>Advocate </v>
      </c>
      <c r="P101" s="21" t="str">
        <f>IFERROR(__xludf.DUMMYFUNCTION("""COMPUTED_VALUE"""),"Thiruvalla")</f>
        <v>Thiruvalla</v>
      </c>
      <c r="Q101" s="21">
        <f>IFERROR(__xludf.DUMMYFUNCTION("""COMPUTED_VALUE"""),9.847614625E9)</f>
        <v>9847614625</v>
      </c>
      <c r="R101" s="21" t="str">
        <f>IFERROR(__xludf.DUMMYFUNCTION("""COMPUTED_VALUE"""),"Sobha VK")</f>
        <v>Sobha VK</v>
      </c>
      <c r="S101" s="21" t="str">
        <f>IFERROR(__xludf.DUMMYFUNCTION("""COMPUTED_VALUE"""),"Principal, Nellimoodu New B.Ed College")</f>
        <v>Principal, Nellimoodu New B.Ed College</v>
      </c>
      <c r="T101" s="21" t="str">
        <f>IFERROR(__xludf.DUMMYFUNCTION("""COMPUTED_VALUE"""),"Thiruvalla")</f>
        <v>Thiruvalla</v>
      </c>
      <c r="U101" s="21">
        <f>IFERROR(__xludf.DUMMYFUNCTION("""COMPUTED_VALUE"""),8.84846664E9)</f>
        <v>8848466640</v>
      </c>
      <c r="V101" s="21">
        <f>IFERROR(__xludf.DUMMYFUNCTION("""COMPUTED_VALUE"""),2.0)</f>
        <v>2</v>
      </c>
      <c r="W101" s="21" t="str">
        <f>IFERROR(__xludf.DUMMYFUNCTION("""COMPUTED_VALUE"""),"Santhosh G")</f>
        <v>Santhosh G</v>
      </c>
      <c r="X101" s="21" t="str">
        <f>IFERROR(__xludf.DUMMYFUNCTION("""COMPUTED_VALUE"""),"Father")</f>
        <v>Father</v>
      </c>
      <c r="Y101" s="21" t="str">
        <f>IFERROR(__xludf.DUMMYFUNCTION("""COMPUTED_VALUE"""),"Sobha VK")</f>
        <v>Sobha VK</v>
      </c>
      <c r="Z101" s="21" t="str">
        <f>IFERROR(__xludf.DUMMYFUNCTION("""COMPUTED_VALUE"""),"Mother")</f>
        <v>Mother</v>
      </c>
      <c r="AA101" s="21" t="str">
        <f>IFERROR(__xludf.DUMMYFUNCTION("""COMPUTED_VALUE"""),"Non-Veg")</f>
        <v>Non-Veg</v>
      </c>
      <c r="AB101" s="21" t="str">
        <f>IFERROR(__xludf.DUMMYFUNCTION("""COMPUTED_VALUE"""),"Non-Veg")</f>
        <v>Non-Veg</v>
      </c>
      <c r="AC101" s="21" t="str">
        <f>IFERROR(__xludf.DUMMYFUNCTION("""COMPUTED_VALUE"""),"Non-Veg")</f>
        <v>Non-Veg</v>
      </c>
      <c r="AD101" s="21" t="str">
        <f>IFERROR(__xludf.DUMMYFUNCTION("""COMPUTED_VALUE"""),"Bus Drop Service not needed")</f>
        <v>Bus Drop Service not needed</v>
      </c>
      <c r="AE101" s="21">
        <f>IFERROR(__xludf.DUMMYFUNCTION("""COMPUTED_VALUE"""),0.0)</f>
        <v>0</v>
      </c>
    </row>
    <row r="102" ht="22.5" customHeight="1">
      <c r="A102" s="18">
        <f>IFERROR(__xludf.DUMMYFUNCTION("""COMPUTED_VALUE"""),46264.652847743055)</f>
        <v>46264.65285</v>
      </c>
      <c r="B102" s="21" t="str">
        <f>IFERROR(__xludf.DUMMYFUNCTION("""COMPUTED_VALUE"""),"sashi.mscnursing-2023@aiimskalyani.edu.in")</f>
        <v>sashi.mscnursing-2023@aiimskalyani.edu.in</v>
      </c>
      <c r="C102" s="21" t="str">
        <f>IFERROR(__xludf.DUMMYFUNCTION("""COMPUTED_VALUE"""),"SASHI BAG ")</f>
        <v>SASHI BAG </v>
      </c>
      <c r="D102" s="21">
        <f>IFERROR(__xludf.DUMMYFUNCTION("""COMPUTED_VALUE"""),2.0230406E7)</f>
        <v>20230406</v>
      </c>
      <c r="E102" s="21" t="str">
        <f>IFERROR(__xludf.DUMMYFUNCTION("""COMPUTED_VALUE"""),"M.Sc. Nursing 2023")</f>
        <v>M.Sc. Nursing 2023</v>
      </c>
      <c r="F102" s="21">
        <f>IFERROR(__xludf.DUMMYFUNCTION("""COMPUTED_VALUE"""),8.018894955E9)</f>
        <v>8018894955</v>
      </c>
      <c r="G102" s="21" t="str">
        <f>IFERROR(__xludf.DUMMYFUNCTION("""COMPUTED_VALUE"""),"sashi.mscnursing-2023@aiimskalyani.edu.in")</f>
        <v>sashi.mscnursing-2023@aiimskalyani.edu.in</v>
      </c>
      <c r="H102" s="21" t="str">
        <f>IFERROR(__xludf.DUMMYFUNCTION("""COMPUTED_VALUE"""),"Yes")</f>
        <v>Yes</v>
      </c>
      <c r="I102" s="21" t="str">
        <f>IFERROR(__xludf.DUMMYFUNCTION("""COMPUTED_VALUE"""),"Dancing ")</f>
        <v>Dancing </v>
      </c>
      <c r="J102" s="21" t="str">
        <f>IFERROR(__xludf.DUMMYFUNCTION("""COMPUTED_VALUE"""),"N/A")</f>
        <v>N/A</v>
      </c>
      <c r="K102" s="21" t="str">
        <f>IFERROR(__xludf.DUMMYFUNCTION("""COMPUTED_VALUE"""),"Nuapada, Odisha ")</f>
        <v>Nuapada, Odisha </v>
      </c>
      <c r="L102" s="22" t="str">
        <f>IFERROR(__xludf.DUMMYFUNCTION("""COMPUTED_VALUE"""),"https://drive.google.com/open?id=152MAZpjZvThK43BIDbogZ9khRdPP5tJ0")</f>
        <v>https://drive.google.com/open?id=152MAZpjZvThK43BIDbogZ9khRdPP5tJ0</v>
      </c>
      <c r="M102" s="22" t="str">
        <f>IFERROR(__xludf.DUMMYFUNCTION("""COMPUTED_VALUE"""),"https://drive.google.com/open?id=1O7FYjFhVrWKHFRQ9RAu1l5ijTF1IDO4C")</f>
        <v>https://drive.google.com/open?id=1O7FYjFhVrWKHFRQ9RAu1l5ijTF1IDO4C</v>
      </c>
      <c r="N102" s="21" t="str">
        <f>IFERROR(__xludf.DUMMYFUNCTION("""COMPUTED_VALUE"""),"Narsing Bag ")</f>
        <v>Narsing Bag </v>
      </c>
      <c r="O102" s="21" t="str">
        <f>IFERROR(__xludf.DUMMYFUNCTION("""COMPUTED_VALUE"""),"Farmer ")</f>
        <v>Farmer </v>
      </c>
      <c r="P102" s="21" t="str">
        <f>IFERROR(__xludf.DUMMYFUNCTION("""COMPUTED_VALUE"""),"Semeria, Nuapada, Odisha ")</f>
        <v>Semeria, Nuapada, Odisha </v>
      </c>
      <c r="Q102" s="21">
        <f>IFERROR(__xludf.DUMMYFUNCTION("""COMPUTED_VALUE"""),7.077135656E9)</f>
        <v>7077135656</v>
      </c>
      <c r="R102" s="21" t="str">
        <f>IFERROR(__xludf.DUMMYFUNCTION("""COMPUTED_VALUE"""),"Shakuntala Bag ")</f>
        <v>Shakuntala Bag </v>
      </c>
      <c r="S102" s="21" t="str">
        <f>IFERROR(__xludf.DUMMYFUNCTION("""COMPUTED_VALUE"""),"Homemaker ")</f>
        <v>Homemaker </v>
      </c>
      <c r="T102" s="21" t="str">
        <f>IFERROR(__xludf.DUMMYFUNCTION("""COMPUTED_VALUE"""),"Semeria, Nuapada, Odisha ")</f>
        <v>Semeria, Nuapada, Odisha </v>
      </c>
      <c r="U102" s="21">
        <f>IFERROR(__xludf.DUMMYFUNCTION("""COMPUTED_VALUE"""),7.077135656E9)</f>
        <v>7077135656</v>
      </c>
      <c r="V102" s="21">
        <f>IFERROR(__xludf.DUMMYFUNCTION("""COMPUTED_VALUE"""),2.0)</f>
        <v>2</v>
      </c>
      <c r="W102" s="21" t="str">
        <f>IFERROR(__xludf.DUMMYFUNCTION("""COMPUTED_VALUE"""),"Narsing Bag ")</f>
        <v>Narsing Bag </v>
      </c>
      <c r="X102" s="21" t="str">
        <f>IFERROR(__xludf.DUMMYFUNCTION("""COMPUTED_VALUE"""),"Father ")</f>
        <v>Father </v>
      </c>
      <c r="Y102" s="21" t="str">
        <f>IFERROR(__xludf.DUMMYFUNCTION("""COMPUTED_VALUE"""),"Shakuntala Bag ")</f>
        <v>Shakuntala Bag </v>
      </c>
      <c r="Z102" s="21" t="str">
        <f>IFERROR(__xludf.DUMMYFUNCTION("""COMPUTED_VALUE"""),"Mother ")</f>
        <v>Mother </v>
      </c>
      <c r="AA102" s="21" t="str">
        <f>IFERROR(__xludf.DUMMYFUNCTION("""COMPUTED_VALUE"""),"Veg")</f>
        <v>Veg</v>
      </c>
      <c r="AB102" s="21" t="str">
        <f>IFERROR(__xludf.DUMMYFUNCTION("""COMPUTED_VALUE"""),"Veg")</f>
        <v>Veg</v>
      </c>
      <c r="AC102" s="21" t="str">
        <f>IFERROR(__xludf.DUMMYFUNCTION("""COMPUTED_VALUE"""),"Veg")</f>
        <v>Veg</v>
      </c>
      <c r="AD102" s="21" t="str">
        <f>IFERROR(__xludf.DUMMYFUNCTION("""COMPUTED_VALUE"""),"Bus Drop Service not needed")</f>
        <v>Bus Drop Service not needed</v>
      </c>
      <c r="AE102" s="21">
        <f>IFERROR(__xludf.DUMMYFUNCTION("""COMPUTED_VALUE"""),0.0)</f>
        <v>0</v>
      </c>
    </row>
    <row r="103" ht="22.5" customHeight="1">
      <c r="A103" s="18">
        <f>IFERROR(__xludf.DUMMYFUNCTION("""COMPUTED_VALUE"""),46264.64908991898)</f>
        <v>46264.64909</v>
      </c>
      <c r="B103" s="21" t="str">
        <f>IFERROR(__xludf.DUMMYFUNCTION("""COMPUTED_VALUE"""),"anoushka.mbbs-2020@aiimskalyani.edu.in")</f>
        <v>anoushka.mbbs-2020@aiimskalyani.edu.in</v>
      </c>
      <c r="C103" s="21" t="str">
        <f>IFERROR(__xludf.DUMMYFUNCTION("""COMPUTED_VALUE"""),"ANOUSHKA CHAUDHURY")</f>
        <v>ANOUSHKA CHAUDHURY</v>
      </c>
      <c r="D103" s="21" t="str">
        <f>IFERROR(__xludf.DUMMYFUNCTION("""COMPUTED_VALUE"""),"18/20200168")</f>
        <v>18/20200168</v>
      </c>
      <c r="E103" s="21" t="str">
        <f>IFERROR(__xludf.DUMMYFUNCTION("""COMPUTED_VALUE"""),"MBBS 2020")</f>
        <v>MBBS 2020</v>
      </c>
      <c r="F103" s="21">
        <f>IFERROR(__xludf.DUMMYFUNCTION("""COMPUTED_VALUE"""),8.777643438E9)</f>
        <v>8777643438</v>
      </c>
      <c r="G103" s="21" t="str">
        <f>IFERROR(__xludf.DUMMYFUNCTION("""COMPUTED_VALUE"""),"aan012013@gmail.com")</f>
        <v>aan012013@gmail.com</v>
      </c>
      <c r="H103" s="21" t="str">
        <f>IFERROR(__xludf.DUMMYFUNCTION("""COMPUTED_VALUE"""),"Yes")</f>
        <v>Yes</v>
      </c>
      <c r="I103" s="21" t="str">
        <f>IFERROR(__xludf.DUMMYFUNCTION("""COMPUTED_VALUE"""),"Classical dance, quizzing")</f>
        <v>Classical dance, quizzing</v>
      </c>
      <c r="J103" s="21" t="str">
        <f>IFERROR(__xludf.DUMMYFUNCTION("""COMPUTED_VALUE"""),"Received the ICMR Short Term Studentship (STS) grant 2022, Completed an 8-year Bharatnatyam course at Kalamandalam Calcutta ")</f>
        <v>Received the ICMR Short Term Studentship (STS) grant 2022, Completed an 8-year Bharatnatyam course at Kalamandalam Calcutta </v>
      </c>
      <c r="K103" s="21" t="str">
        <f>IFERROR(__xludf.DUMMYFUNCTION("""COMPUTED_VALUE"""),"Kolkata")</f>
        <v>Kolkata</v>
      </c>
      <c r="L103" s="22" t="str">
        <f>IFERROR(__xludf.DUMMYFUNCTION("""COMPUTED_VALUE"""),"https://drive.google.com/open?id=1agx6ZfcmuLblPYU7OsUM2ZwLLKrSIMl7")</f>
        <v>https://drive.google.com/open?id=1agx6ZfcmuLblPYU7OsUM2ZwLLKrSIMl7</v>
      </c>
      <c r="M103" s="22" t="str">
        <f>IFERROR(__xludf.DUMMYFUNCTION("""COMPUTED_VALUE"""),"https://drive.google.com/open?id=1HpMDpGCD4c3_33yBOdQz4f5MkCXQfSgn")</f>
        <v>https://drive.google.com/open?id=1HpMDpGCD4c3_33yBOdQz4f5MkCXQfSgn</v>
      </c>
      <c r="N103" s="21" t="str">
        <f>IFERROR(__xludf.DUMMYFUNCTION("""COMPUTED_VALUE"""),"Kaushik Chaudhury")</f>
        <v>Kaushik Chaudhury</v>
      </c>
      <c r="O103" s="21" t="str">
        <f>IFERROR(__xludf.DUMMYFUNCTION("""COMPUTED_VALUE"""),"Software Engineer")</f>
        <v>Software Engineer</v>
      </c>
      <c r="P103" s="21" t="str">
        <f>IFERROR(__xludf.DUMMYFUNCTION("""COMPUTED_VALUE"""),"Kolkata")</f>
        <v>Kolkata</v>
      </c>
      <c r="Q103" s="21">
        <f>IFERROR(__xludf.DUMMYFUNCTION("""COMPUTED_VALUE"""),7.980342566E9)</f>
        <v>7980342566</v>
      </c>
      <c r="R103" s="21" t="str">
        <f>IFERROR(__xludf.DUMMYFUNCTION("""COMPUTED_VALUE"""),"Olli Chaudhury")</f>
        <v>Olli Chaudhury</v>
      </c>
      <c r="S103" s="21" t="str">
        <f>IFERROR(__xludf.DUMMYFUNCTION("""COMPUTED_VALUE"""),"Teacher")</f>
        <v>Teacher</v>
      </c>
      <c r="T103" s="21" t="str">
        <f>IFERROR(__xludf.DUMMYFUNCTION("""COMPUTED_VALUE"""),"Kolkata")</f>
        <v>Kolkata</v>
      </c>
      <c r="U103" s="21">
        <f>IFERROR(__xludf.DUMMYFUNCTION("""COMPUTED_VALUE"""),8.98106359E9)</f>
        <v>8981063590</v>
      </c>
      <c r="V103" s="21">
        <f>IFERROR(__xludf.DUMMYFUNCTION("""COMPUTED_VALUE"""),2.0)</f>
        <v>2</v>
      </c>
      <c r="W103" s="21" t="str">
        <f>IFERROR(__xludf.DUMMYFUNCTION("""COMPUTED_VALUE"""),"Olli Chaudhury")</f>
        <v>Olli Chaudhury</v>
      </c>
      <c r="X103" s="21" t="str">
        <f>IFERROR(__xludf.DUMMYFUNCTION("""COMPUTED_VALUE"""),"Mother")</f>
        <v>Mother</v>
      </c>
      <c r="Y103" s="21" t="str">
        <f>IFERROR(__xludf.DUMMYFUNCTION("""COMPUTED_VALUE"""),"Kaushik Chaudhury")</f>
        <v>Kaushik Chaudhury</v>
      </c>
      <c r="Z103" s="21" t="str">
        <f>IFERROR(__xludf.DUMMYFUNCTION("""COMPUTED_VALUE"""),"Father")</f>
        <v>Father</v>
      </c>
      <c r="AA103" s="21" t="str">
        <f>IFERROR(__xludf.DUMMYFUNCTION("""COMPUTED_VALUE"""),"Non-Veg")</f>
        <v>Non-Veg</v>
      </c>
      <c r="AB103" s="21" t="str">
        <f>IFERROR(__xludf.DUMMYFUNCTION("""COMPUTED_VALUE"""),"Non-Veg")</f>
        <v>Non-Veg</v>
      </c>
      <c r="AC103" s="21" t="str">
        <f>IFERROR(__xludf.DUMMYFUNCTION("""COMPUTED_VALUE"""),"Non-Veg")</f>
        <v>Non-Veg</v>
      </c>
      <c r="AD103" s="21" t="str">
        <f>IFERROR(__xludf.DUMMYFUNCTION("""COMPUTED_VALUE"""),"Bus Drop Service not needed")</f>
        <v>Bus Drop Service not needed</v>
      </c>
      <c r="AE103" s="21"/>
    </row>
    <row r="104" ht="22.5" customHeight="1">
      <c r="A104" s="18">
        <f>IFERROR(__xludf.DUMMYFUNCTION("""COMPUTED_VALUE"""),46264.64436519676)</f>
        <v>46264.64437</v>
      </c>
      <c r="B104" s="21" t="str">
        <f>IFERROR(__xludf.DUMMYFUNCTION("""COMPUTED_VALUE"""),"shivam.mbbs-2020@aiimskalyani.edu.in")</f>
        <v>shivam.mbbs-2020@aiimskalyani.edu.in</v>
      </c>
      <c r="C104" s="21" t="str">
        <f>IFERROR(__xludf.DUMMYFUNCTION("""COMPUTED_VALUE"""),"SHIVAM RAJESH CHAUHAN")</f>
        <v>SHIVAM RAJESH CHAUHAN</v>
      </c>
      <c r="D104" s="21">
        <f>IFERROR(__xludf.DUMMYFUNCTION("""COMPUTED_VALUE"""),2.02001141E8)</f>
        <v>202001141</v>
      </c>
      <c r="E104" s="21" t="str">
        <f>IFERROR(__xludf.DUMMYFUNCTION("""COMPUTED_VALUE"""),"MBBS 2020")</f>
        <v>MBBS 2020</v>
      </c>
      <c r="F104" s="21">
        <f>IFERROR(__xludf.DUMMYFUNCTION("""COMPUTED_VALUE"""),9.958065849E9)</f>
        <v>9958065849</v>
      </c>
      <c r="G104" s="21" t="str">
        <f>IFERROR(__xludf.DUMMYFUNCTION("""COMPUTED_VALUE"""),"shivam10chauhan@gmail.com")</f>
        <v>shivam10chauhan@gmail.com</v>
      </c>
      <c r="H104" s="21" t="str">
        <f>IFERROR(__xludf.DUMMYFUNCTION("""COMPUTED_VALUE"""),"Yes")</f>
        <v>Yes</v>
      </c>
      <c r="I104" s="21" t="str">
        <f>IFERROR(__xludf.DUMMYFUNCTION("""COMPUTED_VALUE"""),"Badminton")</f>
        <v>Badminton</v>
      </c>
      <c r="J104" s="21"/>
      <c r="K104" s="21" t="str">
        <f>IFERROR(__xludf.DUMMYFUNCTION("""COMPUTED_VALUE"""),"Gurgaon")</f>
        <v>Gurgaon</v>
      </c>
      <c r="L104" s="22" t="str">
        <f>IFERROR(__xludf.DUMMYFUNCTION("""COMPUTED_VALUE"""),"https://drive.google.com/open?id=1u8imoqsNrP_lVTtGQ21ZqWYQszN6ixOv")</f>
        <v>https://drive.google.com/open?id=1u8imoqsNrP_lVTtGQ21ZqWYQszN6ixOv</v>
      </c>
      <c r="M104" s="22" t="str">
        <f>IFERROR(__xludf.DUMMYFUNCTION("""COMPUTED_VALUE"""),"https://drive.google.com/open?id=11SIoYQq9hiWtLLY_sLjDOh8TbZ9sutr4")</f>
        <v>https://drive.google.com/open?id=11SIoYQq9hiWtLLY_sLjDOh8TbZ9sutr4</v>
      </c>
      <c r="N104" s="21" t="str">
        <f>IFERROR(__xludf.DUMMYFUNCTION("""COMPUTED_VALUE"""),"Rajesh Chauhan")</f>
        <v>Rajesh Chauhan</v>
      </c>
      <c r="O104" s="21" t="str">
        <f>IFERROR(__xludf.DUMMYFUNCTION("""COMPUTED_VALUE"""),"Wooden packaging Business/ MBA")</f>
        <v>Wooden packaging Business/ MBA</v>
      </c>
      <c r="P104" s="21" t="str">
        <f>IFERROR(__xludf.DUMMYFUNCTION("""COMPUTED_VALUE"""),"Gurgaon")</f>
        <v>Gurgaon</v>
      </c>
      <c r="Q104" s="21">
        <f>IFERROR(__xludf.DUMMYFUNCTION("""COMPUTED_VALUE"""),9.35090579E9)</f>
        <v>9350905790</v>
      </c>
      <c r="R104" s="21" t="str">
        <f>IFERROR(__xludf.DUMMYFUNCTION("""COMPUTED_VALUE"""),"Sangam Chauhan")</f>
        <v>Sangam Chauhan</v>
      </c>
      <c r="S104" s="21" t="str">
        <f>IFERROR(__xludf.DUMMYFUNCTION("""COMPUTED_VALUE"""),"House wife/ Graduation")</f>
        <v>House wife/ Graduation</v>
      </c>
      <c r="T104" s="21" t="str">
        <f>IFERROR(__xludf.DUMMYFUNCTION("""COMPUTED_VALUE"""),"Gurgaon")</f>
        <v>Gurgaon</v>
      </c>
      <c r="U104" s="21">
        <f>IFERROR(__xludf.DUMMYFUNCTION("""COMPUTED_VALUE"""),8.076650205E9)</f>
        <v>8076650205</v>
      </c>
      <c r="V104" s="21">
        <f>IFERROR(__xludf.DUMMYFUNCTION("""COMPUTED_VALUE"""),2.0)</f>
        <v>2</v>
      </c>
      <c r="W104" s="21" t="str">
        <f>IFERROR(__xludf.DUMMYFUNCTION("""COMPUTED_VALUE"""),"Rajesh Chauhan")</f>
        <v>Rajesh Chauhan</v>
      </c>
      <c r="X104" s="21" t="str">
        <f>IFERROR(__xludf.DUMMYFUNCTION("""COMPUTED_VALUE"""),"Father")</f>
        <v>Father</v>
      </c>
      <c r="Y104" s="21" t="str">
        <f>IFERROR(__xludf.DUMMYFUNCTION("""COMPUTED_VALUE"""),"Sangam Chauhan")</f>
        <v>Sangam Chauhan</v>
      </c>
      <c r="Z104" s="21" t="str">
        <f>IFERROR(__xludf.DUMMYFUNCTION("""COMPUTED_VALUE"""),"Mother")</f>
        <v>Mother</v>
      </c>
      <c r="AA104" s="21" t="str">
        <f>IFERROR(__xludf.DUMMYFUNCTION("""COMPUTED_VALUE"""),"Veg")</f>
        <v>Veg</v>
      </c>
      <c r="AB104" s="21" t="str">
        <f>IFERROR(__xludf.DUMMYFUNCTION("""COMPUTED_VALUE"""),"Veg")</f>
        <v>Veg</v>
      </c>
      <c r="AC104" s="21" t="str">
        <f>IFERROR(__xludf.DUMMYFUNCTION("""COMPUTED_VALUE"""),"Veg")</f>
        <v>Veg</v>
      </c>
      <c r="AD104" s="21" t="str">
        <f>IFERROR(__xludf.DUMMYFUNCTION("""COMPUTED_VALUE"""),"Bus Drop Service not needed")</f>
        <v>Bus Drop Service not needed</v>
      </c>
      <c r="AE104" s="21"/>
    </row>
    <row r="105" ht="22.5" customHeight="1">
      <c r="A105" s="18">
        <f>IFERROR(__xludf.DUMMYFUNCTION("""COMPUTED_VALUE"""),46264.54728483796)</f>
        <v>46264.54728</v>
      </c>
      <c r="B105" s="21" t="str">
        <f>IFERROR(__xludf.DUMMYFUNCTION("""COMPUTED_VALUE"""),"samyamitra120598@gmail.com")</f>
        <v>samyamitra120598@gmail.com</v>
      </c>
      <c r="C105" s="21" t="str">
        <f>IFERROR(__xludf.DUMMYFUNCTION("""COMPUTED_VALUE"""),"SAMYA MITRA ")</f>
        <v>SAMYA MITRA </v>
      </c>
      <c r="D105" s="21">
        <f>IFERROR(__xludf.DUMMYFUNCTION("""COMPUTED_VALUE"""),2.0230311E7)</f>
        <v>20230311</v>
      </c>
      <c r="E105" s="21" t="str">
        <f>IFERROR(__xludf.DUMMYFUNCTION("""COMPUTED_VALUE"""),"MD/MS/MDS 2023")</f>
        <v>MD/MS/MDS 2023</v>
      </c>
      <c r="F105" s="21">
        <f>IFERROR(__xludf.DUMMYFUNCTION("""COMPUTED_VALUE"""),8.967968556E9)</f>
        <v>8967968556</v>
      </c>
      <c r="G105" s="21" t="str">
        <f>IFERROR(__xludf.DUMMYFUNCTION("""COMPUTED_VALUE"""),"samyamitra120598@gmail.com")</f>
        <v>samyamitra120598@gmail.com</v>
      </c>
      <c r="H105" s="21" t="str">
        <f>IFERROR(__xludf.DUMMYFUNCTION("""COMPUTED_VALUE"""),"Yes")</f>
        <v>Yes</v>
      </c>
      <c r="I105" s="21"/>
      <c r="J105" s="21"/>
      <c r="K105" s="21" t="str">
        <f>IFERROR(__xludf.DUMMYFUNCTION("""COMPUTED_VALUE"""),"RAIGANJ ")</f>
        <v>RAIGANJ </v>
      </c>
      <c r="L105" s="22" t="str">
        <f>IFERROR(__xludf.DUMMYFUNCTION("""COMPUTED_VALUE"""),"https://drive.google.com/open?id=1oTU0HnOhbkuJ3RhdmOb9qEbpezYQDMQw")</f>
        <v>https://drive.google.com/open?id=1oTU0HnOhbkuJ3RhdmOb9qEbpezYQDMQw</v>
      </c>
      <c r="M105" s="22" t="str">
        <f>IFERROR(__xludf.DUMMYFUNCTION("""COMPUTED_VALUE"""),"https://drive.google.com/open?id=1X4JWLItu9ghafqaLSkURBJcu5eETQID-")</f>
        <v>https://drive.google.com/open?id=1X4JWLItu9ghafqaLSkURBJcu5eETQID-</v>
      </c>
      <c r="N105" s="21" t="str">
        <f>IFERROR(__xludf.DUMMYFUNCTION("""COMPUTED_VALUE"""),"DEBASISH MITRA")</f>
        <v>DEBASISH MITRA</v>
      </c>
      <c r="O105" s="21" t="str">
        <f>IFERROR(__xludf.DUMMYFUNCTION("""COMPUTED_VALUE"""),"SCHOOL TEACHER ")</f>
        <v>SCHOOL TEACHER </v>
      </c>
      <c r="P105" s="21" t="str">
        <f>IFERROR(__xludf.DUMMYFUNCTION("""COMPUTED_VALUE"""),"RAIGANJ ")</f>
        <v>RAIGANJ </v>
      </c>
      <c r="Q105" s="21">
        <f>IFERROR(__xludf.DUMMYFUNCTION("""COMPUTED_VALUE"""),8.101805849E9)</f>
        <v>8101805849</v>
      </c>
      <c r="R105" s="21" t="str">
        <f>IFERROR(__xludf.DUMMYFUNCTION("""COMPUTED_VALUE"""),"PARAMITA MITRA")</f>
        <v>PARAMITA MITRA</v>
      </c>
      <c r="S105" s="21" t="str">
        <f>IFERROR(__xludf.DUMMYFUNCTION("""COMPUTED_VALUE"""),"HOUSE WIFE")</f>
        <v>HOUSE WIFE</v>
      </c>
      <c r="T105" s="21" t="str">
        <f>IFERROR(__xludf.DUMMYFUNCTION("""COMPUTED_VALUE"""),"RAIGANJ ")</f>
        <v>RAIGANJ </v>
      </c>
      <c r="U105" s="21">
        <f>IFERROR(__xludf.DUMMYFUNCTION("""COMPUTED_VALUE"""),8.597421076E9)</f>
        <v>8597421076</v>
      </c>
      <c r="V105" s="21">
        <f>IFERROR(__xludf.DUMMYFUNCTION("""COMPUTED_VALUE"""),1.0)</f>
        <v>1</v>
      </c>
      <c r="W105" s="21" t="str">
        <f>IFERROR(__xludf.DUMMYFUNCTION("""COMPUTED_VALUE"""),"MADHUMITA GUHA")</f>
        <v>MADHUMITA GUHA</v>
      </c>
      <c r="X105" s="21" t="str">
        <f>IFERROR(__xludf.DUMMYFUNCTION("""COMPUTED_VALUE"""),"AUNT")</f>
        <v>AUNT</v>
      </c>
      <c r="Y105" s="21" t="str">
        <f>IFERROR(__xludf.DUMMYFUNCTION("""COMPUTED_VALUE"""),"ANWESHA MITRA")</f>
        <v>ANWESHA MITRA</v>
      </c>
      <c r="Z105" s="21" t="str">
        <f>IFERROR(__xludf.DUMMYFUNCTION("""COMPUTED_VALUE"""),"SISTER ")</f>
        <v>SISTER </v>
      </c>
      <c r="AA105" s="21" t="str">
        <f>IFERROR(__xludf.DUMMYFUNCTION("""COMPUTED_VALUE"""),"Non-Veg")</f>
        <v>Non-Veg</v>
      </c>
      <c r="AB105" s="21" t="str">
        <f>IFERROR(__xludf.DUMMYFUNCTION("""COMPUTED_VALUE"""),"Non-Veg")</f>
        <v>Non-Veg</v>
      </c>
      <c r="AC105" s="21" t="str">
        <f>IFERROR(__xludf.DUMMYFUNCTION("""COMPUTED_VALUE"""),"Non-Veg")</f>
        <v>Non-Veg</v>
      </c>
      <c r="AD105" s="21"/>
      <c r="AE105" s="21"/>
    </row>
    <row r="106" ht="22.5" customHeight="1">
      <c r="A106" s="18">
        <f>IFERROR(__xludf.DUMMYFUNCTION("""COMPUTED_VALUE"""),46263.90703443287)</f>
        <v>46263.90703</v>
      </c>
      <c r="B106" s="21" t="str">
        <f>IFERROR(__xludf.DUMMYFUNCTION("""COMPUTED_VALUE"""),"shawmegha451@gmail.com")</f>
        <v>shawmegha451@gmail.com</v>
      </c>
      <c r="C106" s="21" t="str">
        <f>IFERROR(__xludf.DUMMYFUNCTION("""COMPUTED_VALUE"""),"MEGHA SHAW")</f>
        <v>MEGHA SHAW</v>
      </c>
      <c r="D106" s="21">
        <f>IFERROR(__xludf.DUMMYFUNCTION("""COMPUTED_VALUE"""),2.0210222E7)</f>
        <v>20210222</v>
      </c>
      <c r="E106" s="21" t="str">
        <f>IFERROR(__xludf.DUMMYFUNCTION("""COMPUTED_VALUE"""),"B.Sc (Hons) Nursing 2021")</f>
        <v>B.Sc (Hons) Nursing 2021</v>
      </c>
      <c r="F106" s="21">
        <f>IFERROR(__xludf.DUMMYFUNCTION("""COMPUTED_VALUE"""),7.908304766E9)</f>
        <v>7908304766</v>
      </c>
      <c r="G106" s="21" t="str">
        <f>IFERROR(__xludf.DUMMYFUNCTION("""COMPUTED_VALUE"""),"shawmegha451@gmail.com")</f>
        <v>shawmegha451@gmail.com</v>
      </c>
      <c r="H106" s="21" t="str">
        <f>IFERROR(__xludf.DUMMYFUNCTION("""COMPUTED_VALUE"""),"Yes")</f>
        <v>Yes</v>
      </c>
      <c r="I106" s="21" t="str">
        <f>IFERROR(__xludf.DUMMYFUNCTION("""COMPUTED_VALUE"""),"Cooking, Reading a story book , crafting  and drawing ")</f>
        <v>Cooking, Reading a story book , crafting  and drawing </v>
      </c>
      <c r="J106" s="21" t="str">
        <f>IFERROR(__xludf.DUMMYFUNCTION("""COMPUTED_VALUE""")," Got A PRIZE IN QUIZE COMPETITION  , Rangoli making poster competition, work as organizer in different cultural events ")</f>
        <v> Got A PRIZE IN QUIZE COMPETITION  , Rangoli making poster competition, work as organizer in different cultural events </v>
      </c>
      <c r="K106" s="21" t="str">
        <f>IFERROR(__xludf.DUMMYFUNCTION("""COMPUTED_VALUE"""),"Kakdwip,south 24 pargana west bengal ")</f>
        <v>Kakdwip,south 24 pargana west bengal </v>
      </c>
      <c r="L106" s="22" t="str">
        <f>IFERROR(__xludf.DUMMYFUNCTION("""COMPUTED_VALUE"""),"https://drive.google.com/open?id=17BdUijWLObfbTAKpcHr9mXHy1RK5gi2-")</f>
        <v>https://drive.google.com/open?id=17BdUijWLObfbTAKpcHr9mXHy1RK5gi2-</v>
      </c>
      <c r="M106" s="22" t="str">
        <f>IFERROR(__xludf.DUMMYFUNCTION("""COMPUTED_VALUE"""),"https://drive.google.com/open?id=1XJonGXteDH9udDMLlJGeP_HfJwqiofaj")</f>
        <v>https://drive.google.com/open?id=1XJonGXteDH9udDMLlJGeP_HfJwqiofaj</v>
      </c>
      <c r="N106" s="21" t="str">
        <f>IFERROR(__xludf.DUMMYFUNCTION("""COMPUTED_VALUE"""),"Raman kumar shaw")</f>
        <v>Raman kumar shaw</v>
      </c>
      <c r="O106" s="21" t="str">
        <f>IFERROR(__xludf.DUMMYFUNCTION("""COMPUTED_VALUE"""),"Business man")</f>
        <v>Business man</v>
      </c>
      <c r="P106" s="21" t="str">
        <f>IFERROR(__xludf.DUMMYFUNCTION("""COMPUTED_VALUE"""),"Kakdwip ")</f>
        <v>Kakdwip </v>
      </c>
      <c r="Q106" s="21">
        <f>IFERROR(__xludf.DUMMYFUNCTION("""COMPUTED_VALUE"""),9.932803251E9)</f>
        <v>9932803251</v>
      </c>
      <c r="R106" s="21" t="str">
        <f>IFERROR(__xludf.DUMMYFUNCTION("""COMPUTED_VALUE"""),"Jyoti shaw")</f>
        <v>Jyoti shaw</v>
      </c>
      <c r="S106" s="21" t="str">
        <f>IFERROR(__xludf.DUMMYFUNCTION("""COMPUTED_VALUE"""),"Housewife ")</f>
        <v>Housewife </v>
      </c>
      <c r="T106" s="21" t="str">
        <f>IFERROR(__xludf.DUMMYFUNCTION("""COMPUTED_VALUE"""),"Kakdwip ")</f>
        <v>Kakdwip </v>
      </c>
      <c r="U106" s="21">
        <f>IFERROR(__xludf.DUMMYFUNCTION("""COMPUTED_VALUE"""),9.733291683E9)</f>
        <v>9733291683</v>
      </c>
      <c r="V106" s="21">
        <f>IFERROR(__xludf.DUMMYFUNCTION("""COMPUTED_VALUE"""),2.0)</f>
        <v>2</v>
      </c>
      <c r="W106" s="21" t="str">
        <f>IFERROR(__xludf.DUMMYFUNCTION("""COMPUTED_VALUE"""),"Raman Kumar shaw")</f>
        <v>Raman Kumar shaw</v>
      </c>
      <c r="X106" s="21" t="str">
        <f>IFERROR(__xludf.DUMMYFUNCTION("""COMPUTED_VALUE"""),"Father ")</f>
        <v>Father </v>
      </c>
      <c r="Y106" s="21" t="str">
        <f>IFERROR(__xludf.DUMMYFUNCTION("""COMPUTED_VALUE"""),"Jyoti shaw")</f>
        <v>Jyoti shaw</v>
      </c>
      <c r="Z106" s="21" t="str">
        <f>IFERROR(__xludf.DUMMYFUNCTION("""COMPUTED_VALUE"""),"Mother ")</f>
        <v>Mother </v>
      </c>
      <c r="AA106" s="21" t="str">
        <f>IFERROR(__xludf.DUMMYFUNCTION("""COMPUTED_VALUE"""),"Non-Veg")</f>
        <v>Non-Veg</v>
      </c>
      <c r="AB106" s="21" t="str">
        <f>IFERROR(__xludf.DUMMYFUNCTION("""COMPUTED_VALUE"""),"Non-Veg")</f>
        <v>Non-Veg</v>
      </c>
      <c r="AC106" s="21" t="str">
        <f>IFERROR(__xludf.DUMMYFUNCTION("""COMPUTED_VALUE"""),"Non-Veg")</f>
        <v>Non-Veg</v>
      </c>
      <c r="AD106" s="21" t="str">
        <f>IFERROR(__xludf.DUMMYFUNCTION("""COMPUTED_VALUE"""),"Drop at Kalyani Railway Station")</f>
        <v>Drop at Kalyani Railway Station</v>
      </c>
      <c r="AE106" s="21">
        <f>IFERROR(__xludf.DUMMYFUNCTION("""COMPUTED_VALUE"""),3.0)</f>
        <v>3</v>
      </c>
    </row>
    <row r="107" ht="22.5" customHeight="1">
      <c r="A107" s="18">
        <f>IFERROR(__xludf.DUMMYFUNCTION("""COMPUTED_VALUE"""),46263.64326521991)</f>
        <v>46263.64327</v>
      </c>
      <c r="B107" s="21" t="str">
        <f>IFERROR(__xludf.DUMMYFUNCTION("""COMPUTED_VALUE"""),"sarmin.bscnursing-2021@aiimskalyani.edu.in")</f>
        <v>sarmin.bscnursing-2021@aiimskalyani.edu.in</v>
      </c>
      <c r="C107" s="21" t="str">
        <f>IFERROR(__xludf.DUMMYFUNCTION("""COMPUTED_VALUE"""),"SARMIN SULTANA ")</f>
        <v>SARMIN SULTANA </v>
      </c>
      <c r="D107" s="21">
        <f>IFERROR(__xludf.DUMMYFUNCTION("""COMPUTED_VALUE"""),2.0210247E7)</f>
        <v>20210247</v>
      </c>
      <c r="E107" s="21" t="str">
        <f>IFERROR(__xludf.DUMMYFUNCTION("""COMPUTED_VALUE"""),"B.Sc (Hons) Nursing 2021")</f>
        <v>B.Sc (Hons) Nursing 2021</v>
      </c>
      <c r="F107" s="21">
        <f>IFERROR(__xludf.DUMMYFUNCTION("""COMPUTED_VALUE"""),8.436365622E9)</f>
        <v>8436365622</v>
      </c>
      <c r="G107" s="21" t="str">
        <f>IFERROR(__xludf.DUMMYFUNCTION("""COMPUTED_VALUE"""),"sarmins2000@gmail.com")</f>
        <v>sarmins2000@gmail.com</v>
      </c>
      <c r="H107" s="21" t="str">
        <f>IFERROR(__xludf.DUMMYFUNCTION("""COMPUTED_VALUE"""),"Yes")</f>
        <v>Yes</v>
      </c>
      <c r="I107" s="21" t="str">
        <f>IFERROR(__xludf.DUMMYFUNCTION("""COMPUTED_VALUE"""),"Reading books, listening music ")</f>
        <v>Reading books, listening music </v>
      </c>
      <c r="J107" s="21"/>
      <c r="K107" s="21" t="str">
        <f>IFERROR(__xludf.DUMMYFUNCTION("""COMPUTED_VALUE"""),"Barasat ")</f>
        <v>Barasat </v>
      </c>
      <c r="L107" s="22" t="str">
        <f>IFERROR(__xludf.DUMMYFUNCTION("""COMPUTED_VALUE"""),"https://drive.google.com/open?id=1ayNmTeBQYcJdKiZR6EGzzcRuTQQTE9qU")</f>
        <v>https://drive.google.com/open?id=1ayNmTeBQYcJdKiZR6EGzzcRuTQQTE9qU</v>
      </c>
      <c r="M107" s="22" t="str">
        <f>IFERROR(__xludf.DUMMYFUNCTION("""COMPUTED_VALUE"""),"https://drive.google.com/open?id=1ZD3z5nf0pwc96d1HX7jqSXfk-ERO4_Oe")</f>
        <v>https://drive.google.com/open?id=1ZD3z5nf0pwc96d1HX7jqSXfk-ERO4_Oe</v>
      </c>
      <c r="N107" s="21" t="str">
        <f>IFERROR(__xludf.DUMMYFUNCTION("""COMPUTED_VALUE"""),"BABLU MONDAL")</f>
        <v>BABLU MONDAL</v>
      </c>
      <c r="O107" s="21" t="str">
        <f>IFERROR(__xludf.DUMMYFUNCTION("""COMPUTED_VALUE"""),"Bussiness")</f>
        <v>Bussiness</v>
      </c>
      <c r="P107" s="21" t="str">
        <f>IFERROR(__xludf.DUMMYFUNCTION("""COMPUTED_VALUE"""),"Barasat ")</f>
        <v>Barasat </v>
      </c>
      <c r="Q107" s="21">
        <f>IFERROR(__xludf.DUMMYFUNCTION("""COMPUTED_VALUE"""),8.641982215E9)</f>
        <v>8641982215</v>
      </c>
      <c r="R107" s="21" t="str">
        <f>IFERROR(__xludf.DUMMYFUNCTION("""COMPUTED_VALUE"""),"SAYRA KHATUN ")</f>
        <v>SAYRA KHATUN </v>
      </c>
      <c r="S107" s="21" t="str">
        <f>IFERROR(__xludf.DUMMYFUNCTION("""COMPUTED_VALUE"""),"Para teacher ")</f>
        <v>Para teacher </v>
      </c>
      <c r="T107" s="21" t="str">
        <f>IFERROR(__xludf.DUMMYFUNCTION("""COMPUTED_VALUE"""),"Barasat ")</f>
        <v>Barasat </v>
      </c>
      <c r="U107" s="21">
        <f>IFERROR(__xludf.DUMMYFUNCTION("""COMPUTED_VALUE"""),9.143218559E9)</f>
        <v>9143218559</v>
      </c>
      <c r="V107" s="21">
        <f>IFERROR(__xludf.DUMMYFUNCTION("""COMPUTED_VALUE"""),2.0)</f>
        <v>2</v>
      </c>
      <c r="W107" s="21" t="str">
        <f>IFERROR(__xludf.DUMMYFUNCTION("""COMPUTED_VALUE"""),"Bablu Mondal")</f>
        <v>Bablu Mondal</v>
      </c>
      <c r="X107" s="21" t="str">
        <f>IFERROR(__xludf.DUMMYFUNCTION("""COMPUTED_VALUE"""),"Father")</f>
        <v>Father</v>
      </c>
      <c r="Y107" s="21" t="str">
        <f>IFERROR(__xludf.DUMMYFUNCTION("""COMPUTED_VALUE"""),"Sayra khatun ")</f>
        <v>Sayra khatun </v>
      </c>
      <c r="Z107" s="21" t="str">
        <f>IFERROR(__xludf.DUMMYFUNCTION("""COMPUTED_VALUE"""),"Mother")</f>
        <v>Mother</v>
      </c>
      <c r="AA107" s="21" t="str">
        <f>IFERROR(__xludf.DUMMYFUNCTION("""COMPUTED_VALUE"""),"Non-Veg")</f>
        <v>Non-Veg</v>
      </c>
      <c r="AB107" s="21" t="str">
        <f>IFERROR(__xludf.DUMMYFUNCTION("""COMPUTED_VALUE"""),"Non-Veg")</f>
        <v>Non-Veg</v>
      </c>
      <c r="AC107" s="21" t="str">
        <f>IFERROR(__xludf.DUMMYFUNCTION("""COMPUTED_VALUE"""),"Non-Veg")</f>
        <v>Non-Veg</v>
      </c>
      <c r="AD107" s="21" t="str">
        <f>IFERROR(__xludf.DUMMYFUNCTION("""COMPUTED_VALUE"""),"Bus Drop Service not needed")</f>
        <v>Bus Drop Service not needed</v>
      </c>
      <c r="AE107" s="21">
        <f>IFERROR(__xludf.DUMMYFUNCTION("""COMPUTED_VALUE"""),0.0)</f>
        <v>0</v>
      </c>
    </row>
    <row r="108" ht="22.5" customHeight="1">
      <c r="A108" s="18">
        <f>IFERROR(__xludf.DUMMYFUNCTION("""COMPUTED_VALUE"""),46263.634716053246)</f>
        <v>46263.63472</v>
      </c>
      <c r="B108" s="21" t="str">
        <f>IFERROR(__xludf.DUMMYFUNCTION("""COMPUTED_VALUE"""),"dipanjana.bscnursing-2021@aiimskalyani.edu.in")</f>
        <v>dipanjana.bscnursing-2021@aiimskalyani.edu.in</v>
      </c>
      <c r="C108" s="21" t="str">
        <f>IFERROR(__xludf.DUMMYFUNCTION("""COMPUTED_VALUE"""),"DIPANJANA DEY")</f>
        <v>DIPANJANA DEY</v>
      </c>
      <c r="D108" s="21">
        <f>IFERROR(__xludf.DUMMYFUNCTION("""COMPUTED_VALUE"""),2.0210212E7)</f>
        <v>20210212</v>
      </c>
      <c r="E108" s="21" t="str">
        <f>IFERROR(__xludf.DUMMYFUNCTION("""COMPUTED_VALUE"""),"B.Sc (Hons) Nursing 2021")</f>
        <v>B.Sc (Hons) Nursing 2021</v>
      </c>
      <c r="F108" s="21">
        <f>IFERROR(__xludf.DUMMYFUNCTION("""COMPUTED_VALUE"""),6.290455131E9)</f>
        <v>6290455131</v>
      </c>
      <c r="G108" s="21" t="str">
        <f>IFERROR(__xludf.DUMMYFUNCTION("""COMPUTED_VALUE"""),"dipanjanad597@gmail.com")</f>
        <v>dipanjanad597@gmail.com</v>
      </c>
      <c r="H108" s="21" t="str">
        <f>IFERROR(__xludf.DUMMYFUNCTION("""COMPUTED_VALUE"""),"Yes")</f>
        <v>Yes</v>
      </c>
      <c r="I108" s="21" t="str">
        <f>IFERROR(__xludf.DUMMYFUNCTION("""COMPUTED_VALUE"""),"Listening Songs ")</f>
        <v>Listening Songs </v>
      </c>
      <c r="J108" s="21"/>
      <c r="K108" s="21" t="str">
        <f>IFERROR(__xludf.DUMMYFUNCTION("""COMPUTED_VALUE"""),"Madhyamgram")</f>
        <v>Madhyamgram</v>
      </c>
      <c r="L108" s="22" t="str">
        <f>IFERROR(__xludf.DUMMYFUNCTION("""COMPUTED_VALUE"""),"https://drive.google.com/open?id=1MX9mhWJba8vTZsXTJGPr9vDlJyHZR8hZ")</f>
        <v>https://drive.google.com/open?id=1MX9mhWJba8vTZsXTJGPr9vDlJyHZR8hZ</v>
      </c>
      <c r="M108" s="22" t="str">
        <f>IFERROR(__xludf.DUMMYFUNCTION("""COMPUTED_VALUE"""),"https://drive.google.com/open?id=1vGFtlfh3GEMhuu440tPrjxHtpLkTnhSb")</f>
        <v>https://drive.google.com/open?id=1vGFtlfh3GEMhuu440tPrjxHtpLkTnhSb</v>
      </c>
      <c r="N108" s="21" t="str">
        <f>IFERROR(__xludf.DUMMYFUNCTION("""COMPUTED_VALUE"""),"DINABANDHU DEY")</f>
        <v>DINABANDHU DEY</v>
      </c>
      <c r="O108" s="21" t="str">
        <f>IFERROR(__xludf.DUMMYFUNCTION("""COMPUTED_VALUE"""),"Ex-Senior section Engineer/Eastern Railway/HQ")</f>
        <v>Ex-Senior section Engineer/Eastern Railway/HQ</v>
      </c>
      <c r="P108" s="21" t="str">
        <f>IFERROR(__xludf.DUMMYFUNCTION("""COMPUTED_VALUE"""),"Madhyamgram")</f>
        <v>Madhyamgram</v>
      </c>
      <c r="Q108" s="21">
        <f>IFERROR(__xludf.DUMMYFUNCTION("""COMPUTED_VALUE"""),8.98135771E9)</f>
        <v>8981357710</v>
      </c>
      <c r="R108" s="21" t="str">
        <f>IFERROR(__xludf.DUMMYFUNCTION("""COMPUTED_VALUE"""),"Lt. Archita Dey")</f>
        <v>Lt. Archita Dey</v>
      </c>
      <c r="S108" s="21" t="str">
        <f>IFERROR(__xludf.DUMMYFUNCTION("""COMPUTED_VALUE"""),"House wife")</f>
        <v>House wife</v>
      </c>
      <c r="T108" s="21" t="str">
        <f>IFERROR(__xludf.DUMMYFUNCTION("""COMPUTED_VALUE"""),"Madhyamgram")</f>
        <v>Madhyamgram</v>
      </c>
      <c r="U108" s="21">
        <f>IFERROR(__xludf.DUMMYFUNCTION("""COMPUTED_VALUE"""),6.290404676E9)</f>
        <v>6290404676</v>
      </c>
      <c r="V108" s="21">
        <f>IFERROR(__xludf.DUMMYFUNCTION("""COMPUTED_VALUE"""),2.0)</f>
        <v>2</v>
      </c>
      <c r="W108" s="21" t="str">
        <f>IFERROR(__xludf.DUMMYFUNCTION("""COMPUTED_VALUE"""),"DINABANDHU DEY")</f>
        <v>DINABANDHU DEY</v>
      </c>
      <c r="X108" s="21" t="str">
        <f>IFERROR(__xludf.DUMMYFUNCTION("""COMPUTED_VALUE"""),"Father")</f>
        <v>Father</v>
      </c>
      <c r="Y108" s="21" t="str">
        <f>IFERROR(__xludf.DUMMYFUNCTION("""COMPUTED_VALUE"""),"Arup Dutta")</f>
        <v>Arup Dutta</v>
      </c>
      <c r="Z108" s="21" t="str">
        <f>IFERROR(__xludf.DUMMYFUNCTION("""COMPUTED_VALUE"""),"Maternal Uncle")</f>
        <v>Maternal Uncle</v>
      </c>
      <c r="AA108" s="21" t="str">
        <f>IFERROR(__xludf.DUMMYFUNCTION("""COMPUTED_VALUE"""),"Non-Veg")</f>
        <v>Non-Veg</v>
      </c>
      <c r="AB108" s="21" t="str">
        <f>IFERROR(__xludf.DUMMYFUNCTION("""COMPUTED_VALUE"""),"Non-Veg")</f>
        <v>Non-Veg</v>
      </c>
      <c r="AC108" s="21" t="str">
        <f>IFERROR(__xludf.DUMMYFUNCTION("""COMPUTED_VALUE"""),"Non-Veg")</f>
        <v>Non-Veg</v>
      </c>
      <c r="AD108" s="21" t="str">
        <f>IFERROR(__xludf.DUMMYFUNCTION("""COMPUTED_VALUE"""),"Drop at Kolkata Airport")</f>
        <v>Drop at Kolkata Airport</v>
      </c>
      <c r="AE108" s="21">
        <f>IFERROR(__xludf.DUMMYFUNCTION("""COMPUTED_VALUE"""),2.0)</f>
        <v>2</v>
      </c>
    </row>
    <row r="109" ht="22.5" customHeight="1">
      <c r="A109" s="18">
        <f>IFERROR(__xludf.DUMMYFUNCTION("""COMPUTED_VALUE"""),46263.572120682875)</f>
        <v>46263.57212</v>
      </c>
      <c r="B109" s="21" t="str">
        <f>IFERROR(__xludf.DUMMYFUNCTION("""COMPUTED_VALUE"""),"rajshree.mbbs-2020@aiimskalyani.edu.in")</f>
        <v>rajshree.mbbs-2020@aiimskalyani.edu.in</v>
      </c>
      <c r="C109" s="21" t="str">
        <f>IFERROR(__xludf.DUMMYFUNCTION("""COMPUTED_VALUE"""),"RAJSHREE")</f>
        <v>RAJSHREE</v>
      </c>
      <c r="D109" s="21">
        <f>IFERROR(__xludf.DUMMYFUNCTION("""COMPUTED_VALUE"""),2.02001123E8)</f>
        <v>202001123</v>
      </c>
      <c r="E109" s="21" t="str">
        <f>IFERROR(__xludf.DUMMYFUNCTION("""COMPUTED_VALUE"""),"MBBS 2020")</f>
        <v>MBBS 2020</v>
      </c>
      <c r="F109" s="21">
        <f>IFERROR(__xludf.DUMMYFUNCTION("""COMPUTED_VALUE"""),6.204953438E9)</f>
        <v>6204953438</v>
      </c>
      <c r="G109" s="21" t="str">
        <f>IFERROR(__xludf.DUMMYFUNCTION("""COMPUTED_VALUE"""),"rajshree.mbbs-2020@aiimskalyani.edu.in")</f>
        <v>rajshree.mbbs-2020@aiimskalyani.edu.in</v>
      </c>
      <c r="H109" s="21" t="str">
        <f>IFERROR(__xludf.DUMMYFUNCTION("""COMPUTED_VALUE"""),"Yes")</f>
        <v>Yes</v>
      </c>
      <c r="I109" s="21"/>
      <c r="J109" s="21"/>
      <c r="K109" s="21" t="str">
        <f>IFERROR(__xludf.DUMMYFUNCTION("""COMPUTED_VALUE"""),"Patna, Bihar")</f>
        <v>Patna, Bihar</v>
      </c>
      <c r="L109" s="22" t="str">
        <f>IFERROR(__xludf.DUMMYFUNCTION("""COMPUTED_VALUE"""),"https://drive.google.com/open?id=1AEJWkIp2CdrFco8TmKGNB1wVy_07lL4i")</f>
        <v>https://drive.google.com/open?id=1AEJWkIp2CdrFco8TmKGNB1wVy_07lL4i</v>
      </c>
      <c r="M109" s="22" t="str">
        <f>IFERROR(__xludf.DUMMYFUNCTION("""COMPUTED_VALUE"""),"https://drive.google.com/open?id=1LZgv0JIoYsZBwvvIYjddDlYni48T09th")</f>
        <v>https://drive.google.com/open?id=1LZgv0JIoYsZBwvvIYjddDlYni48T09th</v>
      </c>
      <c r="N109" s="21" t="str">
        <f>IFERROR(__xludf.DUMMYFUNCTION("""COMPUTED_VALUE"""),"Satish Kumar Verma")</f>
        <v>Satish Kumar Verma</v>
      </c>
      <c r="O109" s="21" t="str">
        <f>IFERROR(__xludf.DUMMYFUNCTION("""COMPUTED_VALUE"""),"Teacher ;Post Graduate Teacher( Physics)")</f>
        <v>Teacher ;Post Graduate Teacher( Physics)</v>
      </c>
      <c r="P109" s="21" t="str">
        <f>IFERROR(__xludf.DUMMYFUNCTION("""COMPUTED_VALUE"""),"Patna")</f>
        <v>Patna</v>
      </c>
      <c r="Q109" s="21">
        <f>IFERROR(__xludf.DUMMYFUNCTION("""COMPUTED_VALUE"""),9.006630469E9)</f>
        <v>9006630469</v>
      </c>
      <c r="R109" s="21" t="str">
        <f>IFERROR(__xludf.DUMMYFUNCTION("""COMPUTED_VALUE"""),"Ribha Kumari")</f>
        <v>Ribha Kumari</v>
      </c>
      <c r="S109" s="21" t="str">
        <f>IFERROR(__xludf.DUMMYFUNCTION("""COMPUTED_VALUE"""),"House wife")</f>
        <v>House wife</v>
      </c>
      <c r="T109" s="21" t="str">
        <f>IFERROR(__xludf.DUMMYFUNCTION("""COMPUTED_VALUE"""),"Patna ")</f>
        <v>Patna </v>
      </c>
      <c r="U109" s="21">
        <f>IFERROR(__xludf.DUMMYFUNCTION("""COMPUTED_VALUE"""),8.603283341E9)</f>
        <v>8603283341</v>
      </c>
      <c r="V109" s="21">
        <f>IFERROR(__xludf.DUMMYFUNCTION("""COMPUTED_VALUE"""),2.0)</f>
        <v>2</v>
      </c>
      <c r="W109" s="21" t="str">
        <f>IFERROR(__xludf.DUMMYFUNCTION("""COMPUTED_VALUE"""),"Satish Kumar Verma ")</f>
        <v>Satish Kumar Verma </v>
      </c>
      <c r="X109" s="21" t="str">
        <f>IFERROR(__xludf.DUMMYFUNCTION("""COMPUTED_VALUE"""),"Father")</f>
        <v>Father</v>
      </c>
      <c r="Y109" s="21" t="str">
        <f>IFERROR(__xludf.DUMMYFUNCTION("""COMPUTED_VALUE"""),"Ribha Kumari ")</f>
        <v>Ribha Kumari </v>
      </c>
      <c r="Z109" s="21" t="str">
        <f>IFERROR(__xludf.DUMMYFUNCTION("""COMPUTED_VALUE"""),"Mother")</f>
        <v>Mother</v>
      </c>
      <c r="AA109" s="21" t="str">
        <f>IFERROR(__xludf.DUMMYFUNCTION("""COMPUTED_VALUE"""),"Veg")</f>
        <v>Veg</v>
      </c>
      <c r="AB109" s="21" t="str">
        <f>IFERROR(__xludf.DUMMYFUNCTION("""COMPUTED_VALUE"""),"Non-Veg")</f>
        <v>Non-Veg</v>
      </c>
      <c r="AC109" s="21" t="str">
        <f>IFERROR(__xludf.DUMMYFUNCTION("""COMPUTED_VALUE"""),"Veg")</f>
        <v>Veg</v>
      </c>
      <c r="AD109" s="21" t="str">
        <f>IFERROR(__xludf.DUMMYFUNCTION("""COMPUTED_VALUE"""),"Bus Drop Service not needed")</f>
        <v>Bus Drop Service not needed</v>
      </c>
      <c r="AE109" s="21">
        <f>IFERROR(__xludf.DUMMYFUNCTION("""COMPUTED_VALUE"""),0.0)</f>
        <v>0</v>
      </c>
    </row>
    <row r="110" ht="22.5" customHeight="1">
      <c r="A110" s="18">
        <f>IFERROR(__xludf.DUMMYFUNCTION("""COMPUTED_VALUE"""),46263.56776225695)</f>
        <v>46263.56776</v>
      </c>
      <c r="B110" s="21" t="str">
        <f>IFERROR(__xludf.DUMMYFUNCTION("""COMPUTED_VALUE"""),"sushmita.bscnursing-2021@aiimskalyani.edu.in")</f>
        <v>sushmita.bscnursing-2021@aiimskalyani.edu.in</v>
      </c>
      <c r="C110" s="21" t="str">
        <f>IFERROR(__xludf.DUMMYFUNCTION("""COMPUTED_VALUE"""),"SUSHMITA MONDAL")</f>
        <v>SUSHMITA MONDAL</v>
      </c>
      <c r="D110" s="21">
        <f>IFERROR(__xludf.DUMMYFUNCTION("""COMPUTED_VALUE"""),2.0210255E7)</f>
        <v>20210255</v>
      </c>
      <c r="E110" s="21" t="str">
        <f>IFERROR(__xludf.DUMMYFUNCTION("""COMPUTED_VALUE"""),"B.Sc (Hons) Nursing 2021")</f>
        <v>B.Sc (Hons) Nursing 2021</v>
      </c>
      <c r="F110" s="21">
        <f>IFERROR(__xludf.DUMMYFUNCTION("""COMPUTED_VALUE"""),7.501786976E9)</f>
        <v>7501786976</v>
      </c>
      <c r="G110" s="21" t="str">
        <f>IFERROR(__xludf.DUMMYFUNCTION("""COMPUTED_VALUE"""),"sushmitadna21@gmail.com")</f>
        <v>sushmitadna21@gmail.com</v>
      </c>
      <c r="H110" s="21" t="str">
        <f>IFERROR(__xludf.DUMMYFUNCTION("""COMPUTED_VALUE"""),"Yes")</f>
        <v>Yes</v>
      </c>
      <c r="I110" s="21" t="str">
        <f>IFERROR(__xludf.DUMMYFUNCTION("""COMPUTED_VALUE"""),"My hobbies and interests include reading, cooking, gardening and learning new things.  In my free time, I like listening to music and spending quality time with my friends and family. I am always interested in developing new skills and improving both my p"&amp;"ersonal and professional knowledge. Most importantly, whatever I do, I always strive to be happy and find joy and satisfaction in my life.")</f>
        <v>My hobbies and interests include reading, cooking, gardening and learning new things.  In my free time, I like listening to music and spending quality time with my friends and family. I am always interested in developing new skills and improving both my personal and professional knowledge. Most importantly, whatever I do, I always strive to be happy and find joy and satisfaction in my life.</v>
      </c>
      <c r="J110" s="21"/>
      <c r="K110" s="21" t="str">
        <f>IFERROR(__xludf.DUMMYFUNCTION("""COMPUTED_VALUE"""),"Bagnan")</f>
        <v>Bagnan</v>
      </c>
      <c r="L110" s="22" t="str">
        <f>IFERROR(__xludf.DUMMYFUNCTION("""COMPUTED_VALUE"""),"https://drive.google.com/open?id=1VJfeqrPpNmHa7SscTL8KCgUhAQiYU0Bx")</f>
        <v>https://drive.google.com/open?id=1VJfeqrPpNmHa7SscTL8KCgUhAQiYU0Bx</v>
      </c>
      <c r="M110" s="22" t="str">
        <f>IFERROR(__xludf.DUMMYFUNCTION("""COMPUTED_VALUE"""),"https://drive.google.com/open?id=1ajWQ3Z9aqj-RCpDrIAOXZH9HlJ2IIePU")</f>
        <v>https://drive.google.com/open?id=1ajWQ3Z9aqj-RCpDrIAOXZH9HlJ2IIePU</v>
      </c>
      <c r="N110" s="21" t="str">
        <f>IFERROR(__xludf.DUMMYFUNCTION("""COMPUTED_VALUE"""),"Tapas Mondal")</f>
        <v>Tapas Mondal</v>
      </c>
      <c r="O110" s="21" t="str">
        <f>IFERROR(__xludf.DUMMYFUNCTION("""COMPUTED_VALUE"""),"Farmer")</f>
        <v>Farmer</v>
      </c>
      <c r="P110" s="21" t="str">
        <f>IFERROR(__xludf.DUMMYFUNCTION("""COMPUTED_VALUE"""),"Bagnan")</f>
        <v>Bagnan</v>
      </c>
      <c r="Q110" s="21">
        <f>IFERROR(__xludf.DUMMYFUNCTION("""COMPUTED_VALUE"""),7.384357354E9)</f>
        <v>7384357354</v>
      </c>
      <c r="R110" s="21" t="str">
        <f>IFERROR(__xludf.DUMMYFUNCTION("""COMPUTED_VALUE"""),"Namita Mondal")</f>
        <v>Namita Mondal</v>
      </c>
      <c r="S110" s="21" t="str">
        <f>IFERROR(__xludf.DUMMYFUNCTION("""COMPUTED_VALUE"""),"Housewife")</f>
        <v>Housewife</v>
      </c>
      <c r="T110" s="21" t="str">
        <f>IFERROR(__xludf.DUMMYFUNCTION("""COMPUTED_VALUE"""),"Bagnan")</f>
        <v>Bagnan</v>
      </c>
      <c r="U110" s="21">
        <f>IFERROR(__xludf.DUMMYFUNCTION("""COMPUTED_VALUE"""),8.926111922E9)</f>
        <v>8926111922</v>
      </c>
      <c r="V110" s="21">
        <f>IFERROR(__xludf.DUMMYFUNCTION("""COMPUTED_VALUE"""),2.0)</f>
        <v>2</v>
      </c>
      <c r="W110" s="21" t="str">
        <f>IFERROR(__xludf.DUMMYFUNCTION("""COMPUTED_VALUE"""),"Tapas Mondal")</f>
        <v>Tapas Mondal</v>
      </c>
      <c r="X110" s="21" t="str">
        <f>IFERROR(__xludf.DUMMYFUNCTION("""COMPUTED_VALUE"""),"Father")</f>
        <v>Father</v>
      </c>
      <c r="Y110" s="21" t="str">
        <f>IFERROR(__xludf.DUMMYFUNCTION("""COMPUTED_VALUE"""),"Namita Mondal")</f>
        <v>Namita Mondal</v>
      </c>
      <c r="Z110" s="21" t="str">
        <f>IFERROR(__xludf.DUMMYFUNCTION("""COMPUTED_VALUE"""),"Mother")</f>
        <v>Mother</v>
      </c>
      <c r="AA110" s="21" t="str">
        <f>IFERROR(__xludf.DUMMYFUNCTION("""COMPUTED_VALUE"""),"Non-Veg")</f>
        <v>Non-Veg</v>
      </c>
      <c r="AB110" s="21" t="str">
        <f>IFERROR(__xludf.DUMMYFUNCTION("""COMPUTED_VALUE"""),"Non-Veg")</f>
        <v>Non-Veg</v>
      </c>
      <c r="AC110" s="21" t="str">
        <f>IFERROR(__xludf.DUMMYFUNCTION("""COMPUTED_VALUE"""),"Non-Veg")</f>
        <v>Non-Veg</v>
      </c>
      <c r="AD110" s="21" t="str">
        <f>IFERROR(__xludf.DUMMYFUNCTION("""COMPUTED_VALUE"""),"Bus Drop Service not needed")</f>
        <v>Bus Drop Service not needed</v>
      </c>
      <c r="AE110" s="21">
        <f>IFERROR(__xludf.DUMMYFUNCTION("""COMPUTED_VALUE"""),0.0)</f>
        <v>0</v>
      </c>
    </row>
    <row r="111" ht="22.5" customHeight="1">
      <c r="A111" s="18">
        <f>IFERROR(__xludf.DUMMYFUNCTION("""COMPUTED_VALUE"""),46263.50606664352)</f>
        <v>46263.50607</v>
      </c>
      <c r="B111" s="21" t="str">
        <f>IFERROR(__xludf.DUMMYFUNCTION("""COMPUTED_VALUE"""),"basira.bscnursing-2021@aiimskalyani.edu.in")</f>
        <v>basira.bscnursing-2021@aiimskalyani.edu.in</v>
      </c>
      <c r="C111" s="21" t="str">
        <f>IFERROR(__xludf.DUMMYFUNCTION("""COMPUTED_VALUE"""),"BASIRA SULTANA ")</f>
        <v>BASIRA SULTANA </v>
      </c>
      <c r="D111" s="21">
        <f>IFERROR(__xludf.DUMMYFUNCTION("""COMPUTED_VALUE"""),2.0210207E7)</f>
        <v>20210207</v>
      </c>
      <c r="E111" s="21" t="str">
        <f>IFERROR(__xludf.DUMMYFUNCTION("""COMPUTED_VALUE"""),"B.Sc (Hons) Nursing 2021")</f>
        <v>B.Sc (Hons) Nursing 2021</v>
      </c>
      <c r="F111" s="21">
        <f>IFERROR(__xludf.DUMMYFUNCTION("""COMPUTED_VALUE"""),8.945998122E9)</f>
        <v>8945998122</v>
      </c>
      <c r="G111" s="21" t="str">
        <f>IFERROR(__xludf.DUMMYFUNCTION("""COMPUTED_VALUE"""),"sultanabasira803@gmail.com")</f>
        <v>sultanabasira803@gmail.com</v>
      </c>
      <c r="H111" s="21" t="str">
        <f>IFERROR(__xludf.DUMMYFUNCTION("""COMPUTED_VALUE"""),"Yes")</f>
        <v>Yes</v>
      </c>
      <c r="I111" s="21" t="str">
        <f>IFERROR(__xludf.DUMMYFUNCTION("""COMPUTED_VALUE"""),"Reading novels, Gardening ")</f>
        <v>Reading novels, Gardening </v>
      </c>
      <c r="J111" s="21" t="str">
        <f>IFERROR(__xludf.DUMMYFUNCTION("""COMPUTED_VALUE"""),"No")</f>
        <v>No</v>
      </c>
      <c r="K111" s="21" t="str">
        <f>IFERROR(__xludf.DUMMYFUNCTION("""COMPUTED_VALUE"""),"Bagnan, Howrah,west bengal ")</f>
        <v>Bagnan, Howrah,west bengal </v>
      </c>
      <c r="L111" s="22" t="str">
        <f>IFERROR(__xludf.DUMMYFUNCTION("""COMPUTED_VALUE"""),"https://drive.google.com/open?id=1VZYGH72dNxSBH5qzEkCmugohgZSlXur0")</f>
        <v>https://drive.google.com/open?id=1VZYGH72dNxSBH5qzEkCmugohgZSlXur0</v>
      </c>
      <c r="M111" s="22" t="str">
        <f>IFERROR(__xludf.DUMMYFUNCTION("""COMPUTED_VALUE"""),"https://drive.google.com/open?id=1qRsZT9XjUPmj65nV7EWEiTNyeeUYSqZ2")</f>
        <v>https://drive.google.com/open?id=1qRsZT9XjUPmj65nV7EWEiTNyeeUYSqZ2</v>
      </c>
      <c r="N111" s="21" t="str">
        <f>IFERROR(__xludf.DUMMYFUNCTION("""COMPUTED_VALUE"""),"SK ABUL BASAR")</f>
        <v>SK ABUL BASAR</v>
      </c>
      <c r="O111" s="21" t="str">
        <f>IFERROR(__xludf.DUMMYFUNCTION("""COMPUTED_VALUE"""),"School Teacher, HM (MSK)")</f>
        <v>School Teacher, HM (MSK)</v>
      </c>
      <c r="P111" s="21" t="str">
        <f>IFERROR(__xludf.DUMMYFUNCTION("""COMPUTED_VALUE"""),"Bagnan, Howrah, west bengal ")</f>
        <v>Bagnan, Howrah, west bengal </v>
      </c>
      <c r="Q111" s="21">
        <f>IFERROR(__xludf.DUMMYFUNCTION("""COMPUTED_VALUE"""),9.073939324E9)</f>
        <v>9073939324</v>
      </c>
      <c r="R111" s="21" t="str">
        <f>IFERROR(__xludf.DUMMYFUNCTION("""COMPUTED_VALUE"""),"SABINA IYASMIN BEGAM")</f>
        <v>SABINA IYASMIN BEGAM</v>
      </c>
      <c r="S111" s="21" t="str">
        <f>IFERROR(__xludf.DUMMYFUNCTION("""COMPUTED_VALUE"""),"House wife")</f>
        <v>House wife</v>
      </c>
      <c r="T111" s="21" t="str">
        <f>IFERROR(__xludf.DUMMYFUNCTION("""COMPUTED_VALUE"""),"Bagnan, Howrah,west bengal ")</f>
        <v>Bagnan, Howrah,west bengal </v>
      </c>
      <c r="U111" s="21">
        <f>IFERROR(__xludf.DUMMYFUNCTION("""COMPUTED_VALUE"""),8.945998122E9)</f>
        <v>8945998122</v>
      </c>
      <c r="V111" s="21">
        <f>IFERROR(__xludf.DUMMYFUNCTION("""COMPUTED_VALUE"""),2.0)</f>
        <v>2</v>
      </c>
      <c r="W111" s="21" t="str">
        <f>IFERROR(__xludf.DUMMYFUNCTION("""COMPUTED_VALUE"""),"SK ABUL BASAR ")</f>
        <v>SK ABUL BASAR </v>
      </c>
      <c r="X111" s="21" t="str">
        <f>IFERROR(__xludf.DUMMYFUNCTION("""COMPUTED_VALUE"""),"Father ")</f>
        <v>Father </v>
      </c>
      <c r="Y111" s="21" t="str">
        <f>IFERROR(__xludf.DUMMYFUNCTION("""COMPUTED_VALUE"""),"SABINA IYASMIN BEGAM ")</f>
        <v>SABINA IYASMIN BEGAM </v>
      </c>
      <c r="Z111" s="21" t="str">
        <f>IFERROR(__xludf.DUMMYFUNCTION("""COMPUTED_VALUE"""),"Mother")</f>
        <v>Mother</v>
      </c>
      <c r="AA111" s="21" t="str">
        <f>IFERROR(__xludf.DUMMYFUNCTION("""COMPUTED_VALUE"""),"Non-Veg")</f>
        <v>Non-Veg</v>
      </c>
      <c r="AB111" s="21" t="str">
        <f>IFERROR(__xludf.DUMMYFUNCTION("""COMPUTED_VALUE"""),"Non-Veg")</f>
        <v>Non-Veg</v>
      </c>
      <c r="AC111" s="21" t="str">
        <f>IFERROR(__xludf.DUMMYFUNCTION("""COMPUTED_VALUE"""),"Veg")</f>
        <v>Veg</v>
      </c>
      <c r="AD111" s="21" t="str">
        <f>IFERROR(__xludf.DUMMYFUNCTION("""COMPUTED_VALUE"""),"Bus Drop Service not needed")</f>
        <v>Bus Drop Service not needed</v>
      </c>
      <c r="AE111" s="21">
        <f>IFERROR(__xludf.DUMMYFUNCTION("""COMPUTED_VALUE"""),0.0)</f>
        <v>0</v>
      </c>
    </row>
    <row r="112" ht="22.5" customHeight="1">
      <c r="A112" s="18">
        <f>IFERROR(__xludf.DUMMYFUNCTION("""COMPUTED_VALUE"""),46263.48492479167)</f>
        <v>46263.48492</v>
      </c>
      <c r="B112" s="21" t="str">
        <f>IFERROR(__xludf.DUMMYFUNCTION("""COMPUTED_VALUE"""),"shifana.mbbs-2020@aiimskalyani.edu.in")</f>
        <v>shifana.mbbs-2020@aiimskalyani.edu.in</v>
      </c>
      <c r="C112" s="21" t="str">
        <f>IFERROR(__xludf.DUMMYFUNCTION("""COMPUTED_VALUE"""),"SHIFANA T")</f>
        <v>SHIFANA T</v>
      </c>
      <c r="D112" s="21">
        <f>IFERROR(__xludf.DUMMYFUNCTION("""COMPUTED_VALUE"""),2.0200114E8)</f>
        <v>202001140</v>
      </c>
      <c r="E112" s="21" t="str">
        <f>IFERROR(__xludf.DUMMYFUNCTION("""COMPUTED_VALUE"""),"MBBS 2020")</f>
        <v>MBBS 2020</v>
      </c>
      <c r="F112" s="21">
        <f>IFERROR(__xludf.DUMMYFUNCTION("""COMPUTED_VALUE"""),6.238885248E9)</f>
        <v>6238885248</v>
      </c>
      <c r="G112" s="21" t="str">
        <f>IFERROR(__xludf.DUMMYFUNCTION("""COMPUTED_VALUE"""),"shifana.mbbs-2020@aiimskalyani.edu.in")</f>
        <v>shifana.mbbs-2020@aiimskalyani.edu.in</v>
      </c>
      <c r="H112" s="21" t="str">
        <f>IFERROR(__xludf.DUMMYFUNCTION("""COMPUTED_VALUE"""),"Yes")</f>
        <v>Yes</v>
      </c>
      <c r="I112" s="21" t="str">
        <f>IFERROR(__xludf.DUMMYFUNCTION("""COMPUTED_VALUE"""),"Passionate about photography, videography, and creative editing, with a particular interest in capturing and preserving meaningful moments with friends and family. Created and dedicated a farewell documentary for the senior batch, which was deeply appreci"&amp;"ated and emotionally memorable for everyone. I enjoy cooking and exploring different cuisines, applying mehendi, spending time with children, and maintaining an active lifestyle through regular gym workouts. Naturally curious and enthusiastic about experi"&amp;"encing new things, exploring diverse interests, and continuously learning new skills, including activities such as skating. I value kindness, empathy, and friendly communication, and enjoy building a warm and comfortable rapport with patients.
Research &amp; "&amp;"Academic Achievement
Published a research paper in Pathology .
""Comparative Evaluation of Gram Stain and
Conventional Pap Stain in Diagnosing Bacterial 
Vaginosis and Candidiasis: A Cross-Sectional Study"".")</f>
        <v>Passionate about photography, videography, and creative editing, with a particular interest in capturing and preserving meaningful moments with friends and family. Created and dedicated a farewell documentary for the senior batch, which was deeply appreciated and emotionally memorable for everyone. I enjoy cooking and exploring different cuisines, applying mehendi, spending time with children, and maintaining an active lifestyle through regular gym workouts. Naturally curious and enthusiastic about experiencing new things, exploring diverse interests, and continuously learning new skills, including activities such as skating. I value kindness, empathy, and friendly communication, and enjoy building a warm and comfortable rapport with patients.
Research &amp; Academic Achievement
Published a research paper in Pathology .
"Comparative Evaluation of Gram Stain and
Conventional Pap Stain in Diagnosing Bacterial 
Vaginosis and Candidiasis: A Cross-Sectional Study".</v>
      </c>
      <c r="J112" s="21" t="str">
        <f>IFERROR(__xludf.DUMMYFUNCTION("""COMPUTED_VALUE"""),"Actively involved in sports and cultural activities. Secured 1st Prize in Kho-Kho and Musical Chairs, and participated in marathons, running events, badminton, cycling races, tug of war, and lemon and spoon races. Enthusiastically participated in college "&amp;"fests, drama, and dance events. ")</f>
        <v>Actively involved in sports and cultural activities. Secured 1st Prize in Kho-Kho and Musical Chairs, and participated in marathons, running events, badminton, cycling races, tug of war, and lemon and spoon races. Enthusiastically participated in college fests, drama, and dance events. </v>
      </c>
      <c r="K112" s="21" t="str">
        <f>IFERROR(__xludf.DUMMYFUNCTION("""COMPUTED_VALUE"""),"Kerala")</f>
        <v>Kerala</v>
      </c>
      <c r="L112" s="22" t="str">
        <f>IFERROR(__xludf.DUMMYFUNCTION("""COMPUTED_VALUE"""),"https://drive.google.com/open?id=1j_6KyPRejnXCr7eFpem9o5GnC1qR6c77")</f>
        <v>https://drive.google.com/open?id=1j_6KyPRejnXCr7eFpem9o5GnC1qR6c77</v>
      </c>
      <c r="M112" s="22" t="str">
        <f>IFERROR(__xludf.DUMMYFUNCTION("""COMPUTED_VALUE"""),"https://drive.google.com/open?id=1OkLu-ptgMZQw7pT7GsaSjllY8wXroPNL")</f>
        <v>https://drive.google.com/open?id=1OkLu-ptgMZQw7pT7GsaSjllY8wXroPNL</v>
      </c>
      <c r="N112" s="21" t="str">
        <f>IFERROR(__xludf.DUMMYFUNCTION("""COMPUTED_VALUE"""),"Muhammedali T")</f>
        <v>Muhammedali T</v>
      </c>
      <c r="O112" s="21" t="str">
        <f>IFERROR(__xludf.DUMMYFUNCTION("""COMPUTED_VALUE"""),"Business man ")</f>
        <v>Business man </v>
      </c>
      <c r="P112" s="21" t="str">
        <f>IFERROR(__xludf.DUMMYFUNCTION("""COMPUTED_VALUE"""),"Palakkad, Kerala ")</f>
        <v>Palakkad, Kerala </v>
      </c>
      <c r="Q112" s="21">
        <f>IFERROR(__xludf.DUMMYFUNCTION("""COMPUTED_VALUE"""),9.946362171E9)</f>
        <v>9946362171</v>
      </c>
      <c r="R112" s="21" t="str">
        <f>IFERROR(__xludf.DUMMYFUNCTION("""COMPUTED_VALUE"""),"Mariya PT")</f>
        <v>Mariya PT</v>
      </c>
      <c r="S112" s="21" t="str">
        <f>IFERROR(__xludf.DUMMYFUNCTION("""COMPUTED_VALUE"""),"Home-maker")</f>
        <v>Home-maker</v>
      </c>
      <c r="T112" s="21" t="str">
        <f>IFERROR(__xludf.DUMMYFUNCTION("""COMPUTED_VALUE"""),"Palakkad, Kerala ")</f>
        <v>Palakkad, Kerala </v>
      </c>
      <c r="U112" s="21">
        <f>IFERROR(__xludf.DUMMYFUNCTION("""COMPUTED_VALUE"""),9.747151399E9)</f>
        <v>9747151399</v>
      </c>
      <c r="V112" s="21">
        <f>IFERROR(__xludf.DUMMYFUNCTION("""COMPUTED_VALUE"""),2.0)</f>
        <v>2</v>
      </c>
      <c r="W112" s="21" t="str">
        <f>IFERROR(__xludf.DUMMYFUNCTION("""COMPUTED_VALUE"""),"Mariya PT ")</f>
        <v>Mariya PT </v>
      </c>
      <c r="X112" s="21" t="str">
        <f>IFERROR(__xludf.DUMMYFUNCTION("""COMPUTED_VALUE"""),"Mother ")</f>
        <v>Mother </v>
      </c>
      <c r="Y112" s="21" t="str">
        <f>IFERROR(__xludf.DUMMYFUNCTION("""COMPUTED_VALUE"""),"Abdul Vahid T")</f>
        <v>Abdul Vahid T</v>
      </c>
      <c r="Z112" s="21" t="str">
        <f>IFERROR(__xludf.DUMMYFUNCTION("""COMPUTED_VALUE"""),"Brother ")</f>
        <v>Brother </v>
      </c>
      <c r="AA112" s="21" t="str">
        <f>IFERROR(__xludf.DUMMYFUNCTION("""COMPUTED_VALUE"""),"Non-Veg")</f>
        <v>Non-Veg</v>
      </c>
      <c r="AB112" s="21" t="str">
        <f>IFERROR(__xludf.DUMMYFUNCTION("""COMPUTED_VALUE"""),"Non-Veg")</f>
        <v>Non-Veg</v>
      </c>
      <c r="AC112" s="21" t="str">
        <f>IFERROR(__xludf.DUMMYFUNCTION("""COMPUTED_VALUE"""),"Non-Veg")</f>
        <v>Non-Veg</v>
      </c>
      <c r="AD112" s="21" t="str">
        <f>IFERROR(__xludf.DUMMYFUNCTION("""COMPUTED_VALUE"""),"Drop at Kalyani Railway Station")</f>
        <v>Drop at Kalyani Railway Station</v>
      </c>
      <c r="AE112" s="21">
        <f>IFERROR(__xludf.DUMMYFUNCTION("""COMPUTED_VALUE"""),1.0)</f>
        <v>1</v>
      </c>
    </row>
    <row r="113" ht="22.5" customHeight="1">
      <c r="A113" s="18">
        <f>IFERROR(__xludf.DUMMYFUNCTION("""COMPUTED_VALUE"""),46263.42375847222)</f>
        <v>46263.42376</v>
      </c>
      <c r="B113" s="21" t="str">
        <f>IFERROR(__xludf.DUMMYFUNCTION("""COMPUTED_VALUE"""),"grace.ophthal_pgt23@aiimskalyani.edu.in")</f>
        <v>grace.ophthal_pgt23@aiimskalyani.edu.in</v>
      </c>
      <c r="C113" s="21" t="str">
        <f>IFERROR(__xludf.DUMMYFUNCTION("""COMPUTED_VALUE"""),"GRACE LHINGHOITHEM HAOKIP ")</f>
        <v>GRACE LHINGHOITHEM HAOKIP </v>
      </c>
      <c r="D113" s="21">
        <f>IFERROR(__xludf.DUMMYFUNCTION("""COMPUTED_VALUE"""),2023033.0)</f>
        <v>2023033</v>
      </c>
      <c r="E113" s="21" t="str">
        <f>IFERROR(__xludf.DUMMYFUNCTION("""COMPUTED_VALUE"""),"MD/MS/MDS 2023")</f>
        <v>MD/MS/MDS 2023</v>
      </c>
      <c r="F113" s="21">
        <f>IFERROR(__xludf.DUMMYFUNCTION("""COMPUTED_VALUE"""),9.831529419E9)</f>
        <v>9831529419</v>
      </c>
      <c r="G113" s="21" t="str">
        <f>IFERROR(__xludf.DUMMYFUNCTION("""COMPUTED_VALUE"""),"gracehaokip8@gmail.com")</f>
        <v>gracehaokip8@gmail.com</v>
      </c>
      <c r="H113" s="21" t="str">
        <f>IFERROR(__xludf.DUMMYFUNCTION("""COMPUTED_VALUE"""),"Yes")</f>
        <v>Yes</v>
      </c>
      <c r="I113" s="21"/>
      <c r="J113" s="21"/>
      <c r="K113" s="21" t="str">
        <f>IFERROR(__xludf.DUMMYFUNCTION("""COMPUTED_VALUE"""),"CHURACHANDPUR , MANIPUR ")</f>
        <v>CHURACHANDPUR , MANIPUR </v>
      </c>
      <c r="L113" s="22" t="str">
        <f>IFERROR(__xludf.DUMMYFUNCTION("""COMPUTED_VALUE"""),"https://drive.google.com/open?id=1tJzycF8wTukxcHtvCxx2YjnVGm2tWdib")</f>
        <v>https://drive.google.com/open?id=1tJzycF8wTukxcHtvCxx2YjnVGm2tWdib</v>
      </c>
      <c r="M113" s="22" t="str">
        <f>IFERROR(__xludf.DUMMYFUNCTION("""COMPUTED_VALUE"""),"https://drive.google.com/open?id=1s9Ebe8xltDlsotZ3crK3wUEUpXtRXJoA")</f>
        <v>https://drive.google.com/open?id=1s9Ebe8xltDlsotZ3crK3wUEUpXtRXJoA</v>
      </c>
      <c r="N113" s="21" t="str">
        <f>IFERROR(__xludf.DUMMYFUNCTION("""COMPUTED_VALUE"""),"(L) T ALUN HAOKIP")</f>
        <v>(L) T ALUN HAOKIP</v>
      </c>
      <c r="O113" s="21" t="str">
        <f>IFERROR(__xludf.DUMMYFUNCTION("""COMPUTED_VALUE"""),"None")</f>
        <v>None</v>
      </c>
      <c r="P113" s="21" t="str">
        <f>IFERROR(__xludf.DUMMYFUNCTION("""COMPUTED_VALUE"""),"None")</f>
        <v>None</v>
      </c>
      <c r="Q113" s="21">
        <f>IFERROR(__xludf.DUMMYFUNCTION("""COMPUTED_VALUE"""),8.014502465E9)</f>
        <v>8014502465</v>
      </c>
      <c r="R113" s="21" t="str">
        <f>IFERROR(__xludf.DUMMYFUNCTION("""COMPUTED_VALUE"""),"LALAM HAOKIP")</f>
        <v>LALAM HAOKIP</v>
      </c>
      <c r="S113" s="21" t="str">
        <f>IFERROR(__xludf.DUMMYFUNCTION("""COMPUTED_VALUE"""),"HOMEMAKER ")</f>
        <v>HOMEMAKER </v>
      </c>
      <c r="T113" s="21" t="str">
        <f>IFERROR(__xludf.DUMMYFUNCTION("""COMPUTED_VALUE"""),"CHURACHANDPUR,MANIPUR")</f>
        <v>CHURACHANDPUR,MANIPUR</v>
      </c>
      <c r="U113" s="21">
        <f>IFERROR(__xludf.DUMMYFUNCTION("""COMPUTED_VALUE"""),8.014502465E9)</f>
        <v>8014502465</v>
      </c>
      <c r="V113" s="21">
        <f>IFERROR(__xludf.DUMMYFUNCTION("""COMPUTED_VALUE"""),2.0)</f>
        <v>2</v>
      </c>
      <c r="W113" s="21" t="str">
        <f>IFERROR(__xludf.DUMMYFUNCTION("""COMPUTED_VALUE"""),"LALAM HAOKIP")</f>
        <v>LALAM HAOKIP</v>
      </c>
      <c r="X113" s="21" t="str">
        <f>IFERROR(__xludf.DUMMYFUNCTION("""COMPUTED_VALUE"""),"MOTHER")</f>
        <v>MOTHER</v>
      </c>
      <c r="Y113" s="21" t="str">
        <f>IFERROR(__xludf.DUMMYFUNCTION("""COMPUTED_VALUE"""),"NENGZALAM ")</f>
        <v>NENGZALAM </v>
      </c>
      <c r="Z113" s="21" t="str">
        <f>IFERROR(__xludf.DUMMYFUNCTION("""COMPUTED_VALUE"""),"GRANDMOTHER")</f>
        <v>GRANDMOTHER</v>
      </c>
      <c r="AA113" s="21" t="str">
        <f>IFERROR(__xludf.DUMMYFUNCTION("""COMPUTED_VALUE"""),"Non-Veg")</f>
        <v>Non-Veg</v>
      </c>
      <c r="AB113" s="21" t="str">
        <f>IFERROR(__xludf.DUMMYFUNCTION("""COMPUTED_VALUE"""),"Non-Veg")</f>
        <v>Non-Veg</v>
      </c>
      <c r="AC113" s="21" t="str">
        <f>IFERROR(__xludf.DUMMYFUNCTION("""COMPUTED_VALUE"""),"Non-Veg")</f>
        <v>Non-Veg</v>
      </c>
      <c r="AD113" s="21" t="str">
        <f>IFERROR(__xludf.DUMMYFUNCTION("""COMPUTED_VALUE"""),"Bus Drop Service not needed")</f>
        <v>Bus Drop Service not needed</v>
      </c>
      <c r="AE113" s="21">
        <f>IFERROR(__xludf.DUMMYFUNCTION("""COMPUTED_VALUE"""),0.0)</f>
        <v>0</v>
      </c>
    </row>
    <row r="114" ht="22.5" customHeight="1">
      <c r="A114" s="18">
        <f>IFERROR(__xludf.DUMMYFUNCTION("""COMPUTED_VALUE"""),46263.411194016204)</f>
        <v>46263.41119</v>
      </c>
      <c r="B114" s="21" t="str">
        <f>IFERROR(__xludf.DUMMYFUNCTION("""COMPUTED_VALUE"""),"avtans.mbbs-2020@aiimskalyani.edu.in")</f>
        <v>avtans.mbbs-2020@aiimskalyani.edu.in</v>
      </c>
      <c r="C114" s="21" t="str">
        <f>IFERROR(__xludf.DUMMYFUNCTION("""COMPUTED_VALUE"""),"Avtans Khajuria")</f>
        <v>Avtans Khajuria</v>
      </c>
      <c r="D114" s="21">
        <f>IFERROR(__xludf.DUMMYFUNCTION("""COMPUTED_VALUE"""),2.020018E7)</f>
        <v>20200180</v>
      </c>
      <c r="E114" s="21" t="str">
        <f>IFERROR(__xludf.DUMMYFUNCTION("""COMPUTED_VALUE"""),"MBBS 2020")</f>
        <v>MBBS 2020</v>
      </c>
      <c r="F114" s="21">
        <f>IFERROR(__xludf.DUMMYFUNCTION("""COMPUTED_VALUE"""),9.622113289E9)</f>
        <v>9622113289</v>
      </c>
      <c r="G114" s="21" t="str">
        <f>IFERROR(__xludf.DUMMYFUNCTION("""COMPUTED_VALUE"""),"avtans.mbbs-2020@aiimskalyani.edu.in")</f>
        <v>avtans.mbbs-2020@aiimskalyani.edu.in</v>
      </c>
      <c r="H114" s="21" t="str">
        <f>IFERROR(__xludf.DUMMYFUNCTION("""COMPUTED_VALUE"""),"Yes")</f>
        <v>Yes</v>
      </c>
      <c r="I114" s="21" t="str">
        <f>IFERROR(__xludf.DUMMYFUNCTION("""COMPUTED_VALUE"""),"Playing volleyball and Travelling ")</f>
        <v>Playing volleyball and Travelling </v>
      </c>
      <c r="J114" s="21"/>
      <c r="K114" s="21" t="str">
        <f>IFERROR(__xludf.DUMMYFUNCTION("""COMPUTED_VALUE"""),"Kathua J and K")</f>
        <v>Kathua J and K</v>
      </c>
      <c r="L114" s="22" t="str">
        <f>IFERROR(__xludf.DUMMYFUNCTION("""COMPUTED_VALUE"""),"https://drive.google.com/open?id=19LVDSS8uhFIpMrRJFs2VDpOruOFW8x7D")</f>
        <v>https://drive.google.com/open?id=19LVDSS8uhFIpMrRJFs2VDpOruOFW8x7D</v>
      </c>
      <c r="M114" s="22" t="str">
        <f>IFERROR(__xludf.DUMMYFUNCTION("""COMPUTED_VALUE"""),"https://drive.google.com/open?id=1WUfTc0UTv4bn9f4QhA9YscJZ_gz2Dfu7")</f>
        <v>https://drive.google.com/open?id=1WUfTc0UTv4bn9f4QhA9YscJZ_gz2Dfu7</v>
      </c>
      <c r="N114" s="21" t="str">
        <f>IFERROR(__xludf.DUMMYFUNCTION("""COMPUTED_VALUE"""),"Pawan Kumar")</f>
        <v>Pawan Kumar</v>
      </c>
      <c r="O114" s="21" t="str">
        <f>IFERROR(__xludf.DUMMYFUNCTION("""COMPUTED_VALUE"""),"Government Lecturer")</f>
        <v>Government Lecturer</v>
      </c>
      <c r="P114" s="21" t="str">
        <f>IFERROR(__xludf.DUMMYFUNCTION("""COMPUTED_VALUE"""),"Kathua J and K")</f>
        <v>Kathua J and K</v>
      </c>
      <c r="Q114" s="21">
        <f>IFERROR(__xludf.DUMMYFUNCTION("""COMPUTED_VALUE"""),7.889551033E9)</f>
        <v>7889551033</v>
      </c>
      <c r="R114" s="21" t="str">
        <f>IFERROR(__xludf.DUMMYFUNCTION("""COMPUTED_VALUE"""),"Sudha Bala")</f>
        <v>Sudha Bala</v>
      </c>
      <c r="S114" s="21" t="str">
        <f>IFERROR(__xludf.DUMMYFUNCTION("""COMPUTED_VALUE"""),"Government Teacher ")</f>
        <v>Government Teacher </v>
      </c>
      <c r="T114" s="21" t="str">
        <f>IFERROR(__xludf.DUMMYFUNCTION("""COMPUTED_VALUE"""),"Kathua J and K")</f>
        <v>Kathua J and K</v>
      </c>
      <c r="U114" s="21">
        <f>IFERROR(__xludf.DUMMYFUNCTION("""COMPUTED_VALUE"""),7.889872015E9)</f>
        <v>7889872015</v>
      </c>
      <c r="V114" s="21">
        <f>IFERROR(__xludf.DUMMYFUNCTION("""COMPUTED_VALUE"""),0.0)</f>
        <v>0</v>
      </c>
      <c r="W114" s="21"/>
      <c r="X114" s="21"/>
      <c r="Y114" s="21"/>
      <c r="Z114" s="21"/>
      <c r="AA114" s="21" t="str">
        <f>IFERROR(__xludf.DUMMYFUNCTION("""COMPUTED_VALUE"""),"Veg")</f>
        <v>Veg</v>
      </c>
      <c r="AB114" s="21"/>
      <c r="AC114" s="21"/>
      <c r="AD114" s="21" t="str">
        <f>IFERROR(__xludf.DUMMYFUNCTION("""COMPUTED_VALUE"""),"Drop at Kolkata Airport")</f>
        <v>Drop at Kolkata Airport</v>
      </c>
      <c r="AE114" s="21">
        <f>IFERROR(__xludf.DUMMYFUNCTION("""COMPUTED_VALUE"""),1.0)</f>
        <v>1</v>
      </c>
    </row>
    <row r="115" ht="22.5" customHeight="1">
      <c r="A115" s="18">
        <f>IFERROR(__xludf.DUMMYFUNCTION("""COMPUTED_VALUE"""),46262.8362059375)</f>
        <v>46262.83621</v>
      </c>
      <c r="B115" s="21" t="str">
        <f>IFERROR(__xludf.DUMMYFUNCTION("""COMPUTED_VALUE"""),"mansi.singh2021@gmail.com")</f>
        <v>mansi.singh2021@gmail.com</v>
      </c>
      <c r="C115" s="21" t="str">
        <f>IFERROR(__xludf.DUMMYFUNCTION("""COMPUTED_VALUE"""),"DR MANSHI KUMARI")</f>
        <v>DR MANSHI KUMARI</v>
      </c>
      <c r="D115" s="21">
        <f>IFERROR(__xludf.DUMMYFUNCTION("""COMPUTED_VALUE"""),2023037.0)</f>
        <v>2023037</v>
      </c>
      <c r="E115" s="21" t="str">
        <f>IFERROR(__xludf.DUMMYFUNCTION("""COMPUTED_VALUE"""),"MD/MS/MDS 2023")</f>
        <v>MD/MS/MDS 2023</v>
      </c>
      <c r="F115" s="21">
        <f>IFERROR(__xludf.DUMMYFUNCTION("""COMPUTED_VALUE"""),8.20720767E9)</f>
        <v>8207207670</v>
      </c>
      <c r="G115" s="21" t="str">
        <f>IFERROR(__xludf.DUMMYFUNCTION("""COMPUTED_VALUE"""),"mansi.singh2021@gmail.com")</f>
        <v>mansi.singh2021@gmail.com</v>
      </c>
      <c r="H115" s="21" t="str">
        <f>IFERROR(__xludf.DUMMYFUNCTION("""COMPUTED_VALUE"""),"Yes")</f>
        <v>Yes</v>
      </c>
      <c r="I115" s="21"/>
      <c r="J115" s="21"/>
      <c r="K115" s="21" t="str">
        <f>IFERROR(__xludf.DUMMYFUNCTION("""COMPUTED_VALUE"""),"VARANASI,UTTAR PRADESH ")</f>
        <v>VARANASI,UTTAR PRADESH </v>
      </c>
      <c r="L115" s="22" t="str">
        <f>IFERROR(__xludf.DUMMYFUNCTION("""COMPUTED_VALUE"""),"https://drive.google.com/open?id=1nKfebNHsjLdXOG-kfFUb6nUXdGBLIZ90")</f>
        <v>https://drive.google.com/open?id=1nKfebNHsjLdXOG-kfFUb6nUXdGBLIZ90</v>
      </c>
      <c r="M115" s="22" t="str">
        <f>IFERROR(__xludf.DUMMYFUNCTION("""COMPUTED_VALUE"""),"https://drive.google.com/open?id=18sG2dhPmRPBY_1avWO-Ok0VgU7YGhMMr")</f>
        <v>https://drive.google.com/open?id=18sG2dhPmRPBY_1avWO-Ok0VgU7YGhMMr</v>
      </c>
      <c r="N115" s="21" t="str">
        <f>IFERROR(__xludf.DUMMYFUNCTION("""COMPUTED_VALUE"""),"MR. RAJ KUMAR SINGH")</f>
        <v>MR. RAJ KUMAR SINGH</v>
      </c>
      <c r="O115" s="21" t="str">
        <f>IFERROR(__xludf.DUMMYFUNCTION("""COMPUTED_VALUE"""),"CIVIL ENGINEER")</f>
        <v>CIVIL ENGINEER</v>
      </c>
      <c r="P115" s="21" t="str">
        <f>IFERROR(__xludf.DUMMYFUNCTION("""COMPUTED_VALUE"""),"AURANGABAD,BIHAR")</f>
        <v>AURANGABAD,BIHAR</v>
      </c>
      <c r="Q115" s="21">
        <f>IFERROR(__xludf.DUMMYFUNCTION("""COMPUTED_VALUE"""),9.801120313E9)</f>
        <v>9801120313</v>
      </c>
      <c r="R115" s="21" t="str">
        <f>IFERROR(__xludf.DUMMYFUNCTION("""COMPUTED_VALUE"""),"GEETA SINGH")</f>
        <v>GEETA SINGH</v>
      </c>
      <c r="S115" s="21" t="str">
        <f>IFERROR(__xludf.DUMMYFUNCTION("""COMPUTED_VALUE"""),"HOUSE WIFE")</f>
        <v>HOUSE WIFE</v>
      </c>
      <c r="T115" s="21" t="str">
        <f>IFERROR(__xludf.DUMMYFUNCTION("""COMPUTED_VALUE"""),"AURANGABAD,BIHAR")</f>
        <v>AURANGABAD,BIHAR</v>
      </c>
      <c r="U115" s="21">
        <f>IFERROR(__xludf.DUMMYFUNCTION("""COMPUTED_VALUE"""),9.199013095E9)</f>
        <v>9199013095</v>
      </c>
      <c r="V115" s="21">
        <f>IFERROR(__xludf.DUMMYFUNCTION("""COMPUTED_VALUE"""),2.0)</f>
        <v>2</v>
      </c>
      <c r="W115" s="21" t="str">
        <f>IFERROR(__xludf.DUMMYFUNCTION("""COMPUTED_VALUE"""),"MR.RAJ KUMAR SINGH ")</f>
        <v>MR.RAJ KUMAR SINGH </v>
      </c>
      <c r="X115" s="21" t="str">
        <f>IFERROR(__xludf.DUMMYFUNCTION("""COMPUTED_VALUE"""),"FATHER ")</f>
        <v>FATHER </v>
      </c>
      <c r="Y115" s="21" t="str">
        <f>IFERROR(__xludf.DUMMYFUNCTION("""COMPUTED_VALUE"""),"DR RISHI SINGH ")</f>
        <v>DR RISHI SINGH </v>
      </c>
      <c r="Z115" s="21" t="str">
        <f>IFERROR(__xludf.DUMMYFUNCTION("""COMPUTED_VALUE"""),"HUSBAND ")</f>
        <v>HUSBAND </v>
      </c>
      <c r="AA115" s="21" t="str">
        <f>IFERROR(__xludf.DUMMYFUNCTION("""COMPUTED_VALUE"""),"Veg")</f>
        <v>Veg</v>
      </c>
      <c r="AB115" s="21" t="str">
        <f>IFERROR(__xludf.DUMMYFUNCTION("""COMPUTED_VALUE"""),"Veg")</f>
        <v>Veg</v>
      </c>
      <c r="AC115" s="21" t="str">
        <f>IFERROR(__xludf.DUMMYFUNCTION("""COMPUTED_VALUE"""),"Non-Veg")</f>
        <v>Non-Veg</v>
      </c>
      <c r="AD115" s="21" t="str">
        <f>IFERROR(__xludf.DUMMYFUNCTION("""COMPUTED_VALUE"""),"Bus Drop Service not needed")</f>
        <v>Bus Drop Service not needed</v>
      </c>
      <c r="AE115" s="21">
        <f>IFERROR(__xludf.DUMMYFUNCTION("""COMPUTED_VALUE"""),0.0)</f>
        <v>0</v>
      </c>
    </row>
    <row r="116" ht="22.5" customHeight="1">
      <c r="A116" s="18">
        <f>IFERROR(__xludf.DUMMYFUNCTION("""COMPUTED_VALUE"""),46262.6891402662)</f>
        <v>46262.68914</v>
      </c>
      <c r="B116" s="21" t="str">
        <f>IFERROR(__xludf.DUMMYFUNCTION("""COMPUTED_VALUE"""),"naman.mbbs-2020@aiimskalyani.edu.in")</f>
        <v>naman.mbbs-2020@aiimskalyani.edu.in</v>
      </c>
      <c r="C116" s="21" t="str">
        <f>IFERROR(__xludf.DUMMYFUNCTION("""COMPUTED_VALUE"""),"NAMAN CHUGH")</f>
        <v>NAMAN CHUGH</v>
      </c>
      <c r="D116" s="21" t="str">
        <f>IFERROR(__xludf.DUMMYFUNCTION("""COMPUTED_VALUE"""),"65/202001115")</f>
        <v>65/202001115</v>
      </c>
      <c r="E116" s="21" t="str">
        <f>IFERROR(__xludf.DUMMYFUNCTION("""COMPUTED_VALUE"""),"MBBS 2020")</f>
        <v>MBBS 2020</v>
      </c>
      <c r="F116" s="21">
        <f>IFERROR(__xludf.DUMMYFUNCTION("""COMPUTED_VALUE"""),7.015830025E9)</f>
        <v>7015830025</v>
      </c>
      <c r="G116" s="21" t="str">
        <f>IFERROR(__xludf.DUMMYFUNCTION("""COMPUTED_VALUE"""),"naman.mbbs-2020@aiimskalyani.edu.in")</f>
        <v>naman.mbbs-2020@aiimskalyani.edu.in</v>
      </c>
      <c r="H116" s="21" t="str">
        <f>IFERROR(__xludf.DUMMYFUNCTION("""COMPUTED_VALUE"""),"Yes")</f>
        <v>Yes</v>
      </c>
      <c r="I116" s="21" t="str">
        <f>IFERROR(__xludf.DUMMYFUNCTION("""COMPUTED_VALUE"""),"Playing Table tennis, cricket, drums.
Participating in quizzes ")</f>
        <v>Playing Table tennis, cricket, drums.
Participating in quizzes </v>
      </c>
      <c r="J116" s="21" t="str">
        <f>IFERROR(__xludf.DUMMYFUNCTION("""COMPUTED_VALUE"""),"1st position in interhouse Table tennis and cricket")</f>
        <v>1st position in interhouse Table tennis and cricket</v>
      </c>
      <c r="K116" s="21" t="str">
        <f>IFERROR(__xludf.DUMMYFUNCTION("""COMPUTED_VALUE"""),"Gohana")</f>
        <v>Gohana</v>
      </c>
      <c r="L116" s="22" t="str">
        <f>IFERROR(__xludf.DUMMYFUNCTION("""COMPUTED_VALUE"""),"https://drive.google.com/open?id=1xwTvH0UHuOuHTemjNyYAvkgpCvGtFFUq")</f>
        <v>https://drive.google.com/open?id=1xwTvH0UHuOuHTemjNyYAvkgpCvGtFFUq</v>
      </c>
      <c r="M116" s="22" t="str">
        <f>IFERROR(__xludf.DUMMYFUNCTION("""COMPUTED_VALUE"""),"https://drive.google.com/open?id=1H_khFxRF9EcRpryKoyQHwFotoxkr_7f7")</f>
        <v>https://drive.google.com/open?id=1H_khFxRF9EcRpryKoyQHwFotoxkr_7f7</v>
      </c>
      <c r="N116" s="21" t="str">
        <f>IFERROR(__xludf.DUMMYFUNCTION("""COMPUTED_VALUE"""),"Madan Chugh")</f>
        <v>Madan Chugh</v>
      </c>
      <c r="O116" s="21" t="str">
        <f>IFERROR(__xludf.DUMMYFUNCTION("""COMPUTED_VALUE"""),"Businessman")</f>
        <v>Businessman</v>
      </c>
      <c r="P116" s="21" t="str">
        <f>IFERROR(__xludf.DUMMYFUNCTION("""COMPUTED_VALUE"""),"Gohana")</f>
        <v>Gohana</v>
      </c>
      <c r="Q116" s="21">
        <f>IFERROR(__xludf.DUMMYFUNCTION("""COMPUTED_VALUE"""),9.416314424E9)</f>
        <v>9416314424</v>
      </c>
      <c r="R116" s="21" t="str">
        <f>IFERROR(__xludf.DUMMYFUNCTION("""COMPUTED_VALUE"""),"Geeta Chugh")</f>
        <v>Geeta Chugh</v>
      </c>
      <c r="S116" s="21" t="str">
        <f>IFERROR(__xludf.DUMMYFUNCTION("""COMPUTED_VALUE"""),"Teacher")</f>
        <v>Teacher</v>
      </c>
      <c r="T116" s="21" t="str">
        <f>IFERROR(__xludf.DUMMYFUNCTION("""COMPUTED_VALUE"""),"Gohana")</f>
        <v>Gohana</v>
      </c>
      <c r="U116" s="21">
        <f>IFERROR(__xludf.DUMMYFUNCTION("""COMPUTED_VALUE"""),9.812467167E9)</f>
        <v>9812467167</v>
      </c>
      <c r="V116" s="21">
        <f>IFERROR(__xludf.DUMMYFUNCTION("""COMPUTED_VALUE"""),2.0)</f>
        <v>2</v>
      </c>
      <c r="W116" s="21" t="str">
        <f>IFERROR(__xludf.DUMMYFUNCTION("""COMPUTED_VALUE"""),"Madan Chugh ")</f>
        <v>Madan Chugh </v>
      </c>
      <c r="X116" s="21" t="str">
        <f>IFERROR(__xludf.DUMMYFUNCTION("""COMPUTED_VALUE"""),"Father")</f>
        <v>Father</v>
      </c>
      <c r="Y116" s="21" t="str">
        <f>IFERROR(__xludf.DUMMYFUNCTION("""COMPUTED_VALUE"""),"Geeta Chugh")</f>
        <v>Geeta Chugh</v>
      </c>
      <c r="Z116" s="21" t="str">
        <f>IFERROR(__xludf.DUMMYFUNCTION("""COMPUTED_VALUE"""),"Mother")</f>
        <v>Mother</v>
      </c>
      <c r="AA116" s="21" t="str">
        <f>IFERROR(__xludf.DUMMYFUNCTION("""COMPUTED_VALUE"""),"Non-Veg")</f>
        <v>Non-Veg</v>
      </c>
      <c r="AB116" s="21" t="str">
        <f>IFERROR(__xludf.DUMMYFUNCTION("""COMPUTED_VALUE"""),"Veg")</f>
        <v>Veg</v>
      </c>
      <c r="AC116" s="21" t="str">
        <f>IFERROR(__xludf.DUMMYFUNCTION("""COMPUTED_VALUE"""),"Veg")</f>
        <v>Veg</v>
      </c>
      <c r="AD116" s="21" t="str">
        <f>IFERROR(__xludf.DUMMYFUNCTION("""COMPUTED_VALUE"""),"Bus Drop Service not needed")</f>
        <v>Bus Drop Service not needed</v>
      </c>
      <c r="AE116" s="21">
        <f>IFERROR(__xludf.DUMMYFUNCTION("""COMPUTED_VALUE"""),0.0)</f>
        <v>0</v>
      </c>
    </row>
    <row r="117" ht="22.5" customHeight="1">
      <c r="A117" s="18">
        <f>IFERROR(__xludf.DUMMYFUNCTION("""COMPUTED_VALUE"""),46262.67725165509)</f>
        <v>46262.67725</v>
      </c>
      <c r="B117" s="21" t="str">
        <f>IFERROR(__xludf.DUMMYFUNCTION("""COMPUTED_VALUE"""),"prabesh.mbbs-2020@aiimskalyani.edu.in")</f>
        <v>prabesh.mbbs-2020@aiimskalyani.edu.in</v>
      </c>
      <c r="C117" s="21" t="str">
        <f>IFERROR(__xludf.DUMMYFUNCTION("""COMPUTED_VALUE"""),"PRABESH KUMAR SAHU ")</f>
        <v>PRABESH KUMAR SAHU </v>
      </c>
      <c r="D117" s="21" t="str">
        <f>IFERROR(__xludf.DUMMYFUNCTION("""COMPUTED_VALUE"""),"68/202001118")</f>
        <v>68/202001118</v>
      </c>
      <c r="E117" s="21" t="str">
        <f>IFERROR(__xludf.DUMMYFUNCTION("""COMPUTED_VALUE"""),"MBBS 2020")</f>
        <v>MBBS 2020</v>
      </c>
      <c r="F117" s="21">
        <f>IFERROR(__xludf.DUMMYFUNCTION("""COMPUTED_VALUE"""),7.752071706E9)</f>
        <v>7752071706</v>
      </c>
      <c r="G117" s="21" t="str">
        <f>IFERROR(__xludf.DUMMYFUNCTION("""COMPUTED_VALUE"""),"prabeshk99@gmail.com")</f>
        <v>prabeshk99@gmail.com</v>
      </c>
      <c r="H117" s="21" t="str">
        <f>IFERROR(__xludf.DUMMYFUNCTION("""COMPUTED_VALUE"""),"Yes")</f>
        <v>Yes</v>
      </c>
      <c r="I117" s="21" t="str">
        <f>IFERROR(__xludf.DUMMYFUNCTION("""COMPUTED_VALUE"""),"Bike riding, Music")</f>
        <v>Bike riding, Music</v>
      </c>
      <c r="J117" s="21" t="str">
        <f>IFERROR(__xludf.DUMMYFUNCTION("""COMPUTED_VALUE"""),"ICMR STS 2022")</f>
        <v>ICMR STS 2022</v>
      </c>
      <c r="K117" s="21" t="str">
        <f>IFERROR(__xludf.DUMMYFUNCTION("""COMPUTED_VALUE"""),"Bahalda, Mayurbhanj, Odisha")</f>
        <v>Bahalda, Mayurbhanj, Odisha</v>
      </c>
      <c r="L117" s="22" t="str">
        <f>IFERROR(__xludf.DUMMYFUNCTION("""COMPUTED_VALUE"""),"https://drive.google.com/open?id=1hhVYne8osDPO8Bx14dmu7ItoD8rDQomg")</f>
        <v>https://drive.google.com/open?id=1hhVYne8osDPO8Bx14dmu7ItoD8rDQomg</v>
      </c>
      <c r="M117" s="22" t="str">
        <f>IFERROR(__xludf.DUMMYFUNCTION("""COMPUTED_VALUE"""),"https://drive.google.com/open?id=1OSErYJ1q5eyzKWBvZ-27mXecsNEeej7i")</f>
        <v>https://drive.google.com/open?id=1OSErYJ1q5eyzKWBvZ-27mXecsNEeej7i</v>
      </c>
      <c r="N117" s="21" t="str">
        <f>IFERROR(__xludf.DUMMYFUNCTION("""COMPUTED_VALUE"""),"Mr Ananda Bihari Sahu")</f>
        <v>Mr Ananda Bihari Sahu</v>
      </c>
      <c r="O117" s="21" t="str">
        <f>IFERROR(__xludf.DUMMYFUNCTION("""COMPUTED_VALUE"""),"Business ")</f>
        <v>Business </v>
      </c>
      <c r="P117" s="21" t="str">
        <f>IFERROR(__xludf.DUMMYFUNCTION("""COMPUTED_VALUE"""),"Bahalda, Mayurbhanj, Odisha ")</f>
        <v>Bahalda, Mayurbhanj, Odisha </v>
      </c>
      <c r="Q117" s="21">
        <f>IFERROR(__xludf.DUMMYFUNCTION("""COMPUTED_VALUE"""),9.777507049E9)</f>
        <v>9777507049</v>
      </c>
      <c r="R117" s="21" t="str">
        <f>IFERROR(__xludf.DUMMYFUNCTION("""COMPUTED_VALUE"""),"Mrs Mamata Sahu")</f>
        <v>Mrs Mamata Sahu</v>
      </c>
      <c r="S117" s="21" t="str">
        <f>IFERROR(__xludf.DUMMYFUNCTION("""COMPUTED_VALUE"""),"Homemaker ")</f>
        <v>Homemaker </v>
      </c>
      <c r="T117" s="21" t="str">
        <f>IFERROR(__xludf.DUMMYFUNCTION("""COMPUTED_VALUE"""),"Bahalda, Mayurbhanj, Odisha ")</f>
        <v>Bahalda, Mayurbhanj, Odisha </v>
      </c>
      <c r="U117" s="21">
        <f>IFERROR(__xludf.DUMMYFUNCTION("""COMPUTED_VALUE"""),7.978063537E9)</f>
        <v>7978063537</v>
      </c>
      <c r="V117" s="21">
        <f>IFERROR(__xludf.DUMMYFUNCTION("""COMPUTED_VALUE"""),2.0)</f>
        <v>2</v>
      </c>
      <c r="W117" s="21" t="str">
        <f>IFERROR(__xludf.DUMMYFUNCTION("""COMPUTED_VALUE"""),"Mr Ananda Bihari Sahu ")</f>
        <v>Mr Ananda Bihari Sahu </v>
      </c>
      <c r="X117" s="21" t="str">
        <f>IFERROR(__xludf.DUMMYFUNCTION("""COMPUTED_VALUE"""),"Father")</f>
        <v>Father</v>
      </c>
      <c r="Y117" s="21" t="str">
        <f>IFERROR(__xludf.DUMMYFUNCTION("""COMPUTED_VALUE"""),"Mrs Mamata Sahu ")</f>
        <v>Mrs Mamata Sahu </v>
      </c>
      <c r="Z117" s="21" t="str">
        <f>IFERROR(__xludf.DUMMYFUNCTION("""COMPUTED_VALUE"""),"Mother")</f>
        <v>Mother</v>
      </c>
      <c r="AA117" s="21" t="str">
        <f>IFERROR(__xludf.DUMMYFUNCTION("""COMPUTED_VALUE"""),"Non-Veg")</f>
        <v>Non-Veg</v>
      </c>
      <c r="AB117" s="21" t="str">
        <f>IFERROR(__xludf.DUMMYFUNCTION("""COMPUTED_VALUE"""),"Veg")</f>
        <v>Veg</v>
      </c>
      <c r="AC117" s="21" t="str">
        <f>IFERROR(__xludf.DUMMYFUNCTION("""COMPUTED_VALUE"""),"Veg")</f>
        <v>Veg</v>
      </c>
      <c r="AD117" s="21" t="str">
        <f>IFERROR(__xludf.DUMMYFUNCTION("""COMPUTED_VALUE"""),"Drop at Kalyani Railway Station")</f>
        <v>Drop at Kalyani Railway Station</v>
      </c>
      <c r="AE117" s="21">
        <f>IFERROR(__xludf.DUMMYFUNCTION("""COMPUTED_VALUE"""),3.0)</f>
        <v>3</v>
      </c>
    </row>
    <row r="118" ht="22.5" customHeight="1">
      <c r="A118" s="18">
        <f>IFERROR(__xludf.DUMMYFUNCTION("""COMPUTED_VALUE"""),46262.61860927084)</f>
        <v>46262.61861</v>
      </c>
      <c r="B118" s="21" t="str">
        <f>IFERROR(__xludf.DUMMYFUNCTION("""COMPUTED_VALUE"""),"aprajitapal01@gmail.com")</f>
        <v>aprajitapal01@gmail.com</v>
      </c>
      <c r="C118" s="21" t="str">
        <f>IFERROR(__xludf.DUMMYFUNCTION("""COMPUTED_VALUE"""),"Aprajita Pal ")</f>
        <v>Aprajita Pal </v>
      </c>
      <c r="D118" s="21">
        <f>IFERROR(__xludf.DUMMYFUNCTION("""COMPUTED_VALUE"""),2.0230401E7)</f>
        <v>20230401</v>
      </c>
      <c r="E118" s="21" t="str">
        <f>IFERROR(__xludf.DUMMYFUNCTION("""COMPUTED_VALUE"""),"M.Sc. Nursing 2023")</f>
        <v>M.Sc. Nursing 2023</v>
      </c>
      <c r="F118" s="21">
        <f>IFERROR(__xludf.DUMMYFUNCTION("""COMPUTED_VALUE"""),8.294678844E9)</f>
        <v>8294678844</v>
      </c>
      <c r="G118" s="21" t="str">
        <f>IFERROR(__xludf.DUMMYFUNCTION("""COMPUTED_VALUE"""),"aprajitapal01@gmail.com")</f>
        <v>aprajitapal01@gmail.com</v>
      </c>
      <c r="H118" s="21" t="str">
        <f>IFERROR(__xludf.DUMMYFUNCTION("""COMPUTED_VALUE"""),"Yes")</f>
        <v>Yes</v>
      </c>
      <c r="I118" s="21" t="str">
        <f>IFERROR(__xludf.DUMMYFUNCTION("""COMPUTED_VALUE"""),"Reading and gardening ")</f>
        <v>Reading and gardening </v>
      </c>
      <c r="J118" s="21"/>
      <c r="K118" s="21" t="str">
        <f>IFERROR(__xludf.DUMMYFUNCTION("""COMPUTED_VALUE"""),"Bhagalpur")</f>
        <v>Bhagalpur</v>
      </c>
      <c r="L118" s="22" t="str">
        <f>IFERROR(__xludf.DUMMYFUNCTION("""COMPUTED_VALUE"""),"https://drive.google.com/open?id=1r_tAll3oKhxHO6BWB4Hy0FpJ9xy06lPP")</f>
        <v>https://drive.google.com/open?id=1r_tAll3oKhxHO6BWB4Hy0FpJ9xy06lPP</v>
      </c>
      <c r="M118" s="22" t="str">
        <f>IFERROR(__xludf.DUMMYFUNCTION("""COMPUTED_VALUE"""),"https://drive.google.com/open?id=1GHxARDGpeigN3bmOaGRUMWlmc6f6V254")</f>
        <v>https://drive.google.com/open?id=1GHxARDGpeigN3bmOaGRUMWlmc6f6V254</v>
      </c>
      <c r="N118" s="21" t="str">
        <f>IFERROR(__xludf.DUMMYFUNCTION("""COMPUTED_VALUE"""),"Subodh Kumar Pal ")</f>
        <v>Subodh Kumar Pal </v>
      </c>
      <c r="O118" s="21" t="str">
        <f>IFERROR(__xludf.DUMMYFUNCTION("""COMPUTED_VALUE"""),"Retired Govt Teacher")</f>
        <v>Retired Govt Teacher</v>
      </c>
      <c r="P118" s="21" t="str">
        <f>IFERROR(__xludf.DUMMYFUNCTION("""COMPUTED_VALUE"""),"Bhagalpur ")</f>
        <v>Bhagalpur </v>
      </c>
      <c r="Q118" s="21">
        <f>IFERROR(__xludf.DUMMYFUNCTION("""COMPUTED_VALUE"""),9.931406986E9)</f>
        <v>9931406986</v>
      </c>
      <c r="R118" s="21" t="str">
        <f>IFERROR(__xludf.DUMMYFUNCTION("""COMPUTED_VALUE"""),"Pushpa Rajpali ")</f>
        <v>Pushpa Rajpali </v>
      </c>
      <c r="S118" s="21" t="str">
        <f>IFERROR(__xludf.DUMMYFUNCTION("""COMPUTED_VALUE"""),"Homemaker ")</f>
        <v>Homemaker </v>
      </c>
      <c r="T118" s="21" t="str">
        <f>IFERROR(__xludf.DUMMYFUNCTION("""COMPUTED_VALUE"""),"Bhagalpur ")</f>
        <v>Bhagalpur </v>
      </c>
      <c r="U118" s="21">
        <f>IFERROR(__xludf.DUMMYFUNCTION("""COMPUTED_VALUE"""),8.102463085E9)</f>
        <v>8102463085</v>
      </c>
      <c r="V118" s="21">
        <f>IFERROR(__xludf.DUMMYFUNCTION("""COMPUTED_VALUE"""),2.0)</f>
        <v>2</v>
      </c>
      <c r="W118" s="21" t="str">
        <f>IFERROR(__xludf.DUMMYFUNCTION("""COMPUTED_VALUE"""),"Subodh Kumar Pal ")</f>
        <v>Subodh Kumar Pal </v>
      </c>
      <c r="X118" s="21" t="str">
        <f>IFERROR(__xludf.DUMMYFUNCTION("""COMPUTED_VALUE"""),"Father ")</f>
        <v>Father </v>
      </c>
      <c r="Y118" s="21" t="str">
        <f>IFERROR(__xludf.DUMMYFUNCTION("""COMPUTED_VALUE"""),"Pushpa Rajpali ")</f>
        <v>Pushpa Rajpali </v>
      </c>
      <c r="Z118" s="21" t="str">
        <f>IFERROR(__xludf.DUMMYFUNCTION("""COMPUTED_VALUE"""),"Mother ")</f>
        <v>Mother </v>
      </c>
      <c r="AA118" s="21" t="str">
        <f>IFERROR(__xludf.DUMMYFUNCTION("""COMPUTED_VALUE"""),"Non-Veg")</f>
        <v>Non-Veg</v>
      </c>
      <c r="AB118" s="21" t="str">
        <f>IFERROR(__xludf.DUMMYFUNCTION("""COMPUTED_VALUE"""),"Veg")</f>
        <v>Veg</v>
      </c>
      <c r="AC118" s="21" t="str">
        <f>IFERROR(__xludf.DUMMYFUNCTION("""COMPUTED_VALUE"""),"Veg")</f>
        <v>Veg</v>
      </c>
      <c r="AD118" s="21" t="str">
        <f>IFERROR(__xludf.DUMMYFUNCTION("""COMPUTED_VALUE"""),"Drop at Kalyani Railway Station")</f>
        <v>Drop at Kalyani Railway Station</v>
      </c>
      <c r="AE118" s="21">
        <f>IFERROR(__xludf.DUMMYFUNCTION("""COMPUTED_VALUE"""),2.0)</f>
        <v>2</v>
      </c>
    </row>
    <row r="119" ht="22.5" customHeight="1">
      <c r="A119" s="18">
        <f>IFERROR(__xludf.DUMMYFUNCTION("""COMPUTED_VALUE"""),46262.49781893518)</f>
        <v>46262.49782</v>
      </c>
      <c r="B119" s="21" t="str">
        <f>IFERROR(__xludf.DUMMYFUNCTION("""COMPUTED_VALUE"""),"manisha.mbbs-2020@aiimskalyani.edu.in")</f>
        <v>manisha.mbbs-2020@aiimskalyani.edu.in</v>
      </c>
      <c r="C119" s="21" t="str">
        <f>IFERROR(__xludf.DUMMYFUNCTION("""COMPUTED_VALUE"""),"MANISHA KANWAR")</f>
        <v>MANISHA KANWAR</v>
      </c>
      <c r="D119" s="21">
        <f>IFERROR(__xludf.DUMMYFUNCTION("""COMPUTED_VALUE"""),2.02001172E8)</f>
        <v>202001172</v>
      </c>
      <c r="E119" s="21" t="str">
        <f>IFERROR(__xludf.DUMMYFUNCTION("""COMPUTED_VALUE"""),"MBBS 2020")</f>
        <v>MBBS 2020</v>
      </c>
      <c r="F119" s="21">
        <f>IFERROR(__xludf.DUMMYFUNCTION("""COMPUTED_VALUE"""),8.1001437E9)</f>
        <v>8100143700</v>
      </c>
      <c r="G119" s="21" t="str">
        <f>IFERROR(__xludf.DUMMYFUNCTION("""COMPUTED_VALUE"""),"manisha.mbbs-2020@aiimskalyani.edu.in")</f>
        <v>manisha.mbbs-2020@aiimskalyani.edu.in</v>
      </c>
      <c r="H119" s="21" t="str">
        <f>IFERROR(__xludf.DUMMYFUNCTION("""COMPUTED_VALUE"""),"Yes")</f>
        <v>Yes</v>
      </c>
      <c r="I119" s="21"/>
      <c r="J119" s="21"/>
      <c r="K119" s="21" t="str">
        <f>IFERROR(__xludf.DUMMYFUNCTION("""COMPUTED_VALUE"""),"Nagaur Rajasthan ")</f>
        <v>Nagaur Rajasthan </v>
      </c>
      <c r="L119" s="22" t="str">
        <f>IFERROR(__xludf.DUMMYFUNCTION("""COMPUTED_VALUE"""),"https://drive.google.com/open?id=1rAVplwsISXN9YIFzRlgWKf7L2pj15DSl")</f>
        <v>https://drive.google.com/open?id=1rAVplwsISXN9YIFzRlgWKf7L2pj15DSl</v>
      </c>
      <c r="M119" s="22" t="str">
        <f>IFERROR(__xludf.DUMMYFUNCTION("""COMPUTED_VALUE"""),"https://drive.google.com/open?id=1KSVGFNkqmgnIfvuHe2oNtxoHgQth5juD")</f>
        <v>https://drive.google.com/open?id=1KSVGFNkqmgnIfvuHe2oNtxoHgQth5juD</v>
      </c>
      <c r="N119" s="21" t="str">
        <f>IFERROR(__xludf.DUMMYFUNCTION("""COMPUTED_VALUE"""),"Mool Singh")</f>
        <v>Mool Singh</v>
      </c>
      <c r="O119" s="21" t="str">
        <f>IFERROR(__xludf.DUMMYFUNCTION("""COMPUTED_VALUE"""),"Businessman ")</f>
        <v>Businessman </v>
      </c>
      <c r="P119" s="21" t="str">
        <f>IFERROR(__xludf.DUMMYFUNCTION("""COMPUTED_VALUE"""),"Nagaur Rajasthan")</f>
        <v>Nagaur Rajasthan</v>
      </c>
      <c r="Q119" s="21">
        <f>IFERROR(__xludf.DUMMYFUNCTION("""COMPUTED_VALUE"""),8.1001437E9)</f>
        <v>8100143700</v>
      </c>
      <c r="R119" s="21" t="str">
        <f>IFERROR(__xludf.DUMMYFUNCTION("""COMPUTED_VALUE"""),"Kiran Kanwar")</f>
        <v>Kiran Kanwar</v>
      </c>
      <c r="S119" s="21" t="str">
        <f>IFERROR(__xludf.DUMMYFUNCTION("""COMPUTED_VALUE"""),"Homemaker")</f>
        <v>Homemaker</v>
      </c>
      <c r="T119" s="21" t="str">
        <f>IFERROR(__xludf.DUMMYFUNCTION("""COMPUTED_VALUE"""),"Nagaur Rajasthan ")</f>
        <v>Nagaur Rajasthan </v>
      </c>
      <c r="U119" s="21">
        <f>IFERROR(__xludf.DUMMYFUNCTION("""COMPUTED_VALUE"""),7.976150128E9)</f>
        <v>7976150128</v>
      </c>
      <c r="V119" s="21">
        <f>IFERROR(__xludf.DUMMYFUNCTION("""COMPUTED_VALUE"""),2.0)</f>
        <v>2</v>
      </c>
      <c r="W119" s="21" t="str">
        <f>IFERROR(__xludf.DUMMYFUNCTION("""COMPUTED_VALUE"""),"Mool Singh")</f>
        <v>Mool Singh</v>
      </c>
      <c r="X119" s="21" t="str">
        <f>IFERROR(__xludf.DUMMYFUNCTION("""COMPUTED_VALUE"""),"Father")</f>
        <v>Father</v>
      </c>
      <c r="Y119" s="21" t="str">
        <f>IFERROR(__xludf.DUMMYFUNCTION("""COMPUTED_VALUE"""),"Kiran Kanwar")</f>
        <v>Kiran Kanwar</v>
      </c>
      <c r="Z119" s="21" t="str">
        <f>IFERROR(__xludf.DUMMYFUNCTION("""COMPUTED_VALUE"""),"Mother")</f>
        <v>Mother</v>
      </c>
      <c r="AA119" s="21" t="str">
        <f>IFERROR(__xludf.DUMMYFUNCTION("""COMPUTED_VALUE"""),"Veg")</f>
        <v>Veg</v>
      </c>
      <c r="AB119" s="21" t="str">
        <f>IFERROR(__xludf.DUMMYFUNCTION("""COMPUTED_VALUE"""),"Veg")</f>
        <v>Veg</v>
      </c>
      <c r="AC119" s="21" t="str">
        <f>IFERROR(__xludf.DUMMYFUNCTION("""COMPUTED_VALUE"""),"Veg")</f>
        <v>Veg</v>
      </c>
      <c r="AD119" s="21" t="str">
        <f>IFERROR(__xludf.DUMMYFUNCTION("""COMPUTED_VALUE"""),"Bus Drop Service not needed")</f>
        <v>Bus Drop Service not needed</v>
      </c>
      <c r="AE119" s="21">
        <f>IFERROR(__xludf.DUMMYFUNCTION("""COMPUTED_VALUE"""),0.0)</f>
        <v>0</v>
      </c>
    </row>
    <row r="120" ht="22.5" customHeight="1">
      <c r="A120" s="18">
        <f>IFERROR(__xludf.DUMMYFUNCTION("""COMPUTED_VALUE"""),46262.4928334375)</f>
        <v>46262.49283</v>
      </c>
      <c r="B120" s="21" t="str">
        <f>IFERROR(__xludf.DUMMYFUNCTION("""COMPUTED_VALUE"""),"ananyap.mbbs-2020@aiimskalyani.edu.in")</f>
        <v>ananyap.mbbs-2020@aiimskalyani.edu.in</v>
      </c>
      <c r="C120" s="21" t="str">
        <f>IFERROR(__xludf.DUMMYFUNCTION("""COMPUTED_VALUE"""),"ANANYA PANDEY ")</f>
        <v>ANANYA PANDEY </v>
      </c>
      <c r="D120" s="21">
        <f>IFERROR(__xludf.DUMMYFUNCTION("""COMPUTED_VALUE"""),2.0200165E7)</f>
        <v>20200165</v>
      </c>
      <c r="E120" s="21" t="str">
        <f>IFERROR(__xludf.DUMMYFUNCTION("""COMPUTED_VALUE"""),"MBBS 2020")</f>
        <v>MBBS 2020</v>
      </c>
      <c r="F120" s="21">
        <f>IFERROR(__xludf.DUMMYFUNCTION("""COMPUTED_VALUE"""),8.855042775E9)</f>
        <v>8855042775</v>
      </c>
      <c r="G120" s="21" t="str">
        <f>IFERROR(__xludf.DUMMYFUNCTION("""COMPUTED_VALUE"""),"quantum101p@gmail.com")</f>
        <v>quantum101p@gmail.com</v>
      </c>
      <c r="H120" s="21" t="str">
        <f>IFERROR(__xludf.DUMMYFUNCTION("""COMPUTED_VALUE"""),"Yes")</f>
        <v>Yes</v>
      </c>
      <c r="I120" s="21"/>
      <c r="J120" s="21"/>
      <c r="K120" s="21" t="str">
        <f>IFERROR(__xludf.DUMMYFUNCTION("""COMPUTED_VALUE"""),"Ahilyanagar,Maharashtra ")</f>
        <v>Ahilyanagar,Maharashtra </v>
      </c>
      <c r="L120" s="22" t="str">
        <f>IFERROR(__xludf.DUMMYFUNCTION("""COMPUTED_VALUE"""),"https://drive.google.com/open?id=1HfIVNeMB_ECzHMzWa-6GJ_qgAMlIU_n0")</f>
        <v>https://drive.google.com/open?id=1HfIVNeMB_ECzHMzWa-6GJ_qgAMlIU_n0</v>
      </c>
      <c r="M120" s="22" t="str">
        <f>IFERROR(__xludf.DUMMYFUNCTION("""COMPUTED_VALUE"""),"https://drive.google.com/open?id=1PFDlujHx6D2q1D7mezqt7rCMaq5Nffsv")</f>
        <v>https://drive.google.com/open?id=1PFDlujHx6D2q1D7mezqt7rCMaq5Nffsv</v>
      </c>
      <c r="N120" s="21" t="str">
        <f>IFERROR(__xludf.DUMMYFUNCTION("""COMPUTED_VALUE"""),"PROVASH CHANDRA PANDEY ")</f>
        <v>PROVASH CHANDRA PANDEY </v>
      </c>
      <c r="O120" s="21" t="str">
        <f>IFERROR(__xludf.DUMMYFUNCTION("""COMPUTED_VALUE"""),"Station Manager, Akolner, Maharashtra ")</f>
        <v>Station Manager, Akolner, Maharashtra </v>
      </c>
      <c r="P120" s="21" t="str">
        <f>IFERROR(__xludf.DUMMYFUNCTION("""COMPUTED_VALUE"""),"Ahilyanagar, Maharashtra ")</f>
        <v>Ahilyanagar, Maharashtra </v>
      </c>
      <c r="Q120" s="21">
        <f>IFERROR(__xludf.DUMMYFUNCTION("""COMPUTED_VALUE"""),7.397872775E9)</f>
        <v>7397872775</v>
      </c>
      <c r="R120" s="21" t="str">
        <f>IFERROR(__xludf.DUMMYFUNCTION("""COMPUTED_VALUE"""),"BITHIKA PANDEY ")</f>
        <v>BITHIKA PANDEY </v>
      </c>
      <c r="S120" s="21" t="str">
        <f>IFERROR(__xludf.DUMMYFUNCTION("""COMPUTED_VALUE"""),"Pharmacy buiseness ")</f>
        <v>Pharmacy buiseness </v>
      </c>
      <c r="T120" s="21" t="str">
        <f>IFERROR(__xludf.DUMMYFUNCTION("""COMPUTED_VALUE"""),"Ahilyanagar, Maharashtra ")</f>
        <v>Ahilyanagar, Maharashtra </v>
      </c>
      <c r="U120" s="21">
        <f>IFERROR(__xludf.DUMMYFUNCTION("""COMPUTED_VALUE"""),8.983503476E9)</f>
        <v>8983503476</v>
      </c>
      <c r="V120" s="21">
        <f>IFERROR(__xludf.DUMMYFUNCTION("""COMPUTED_VALUE"""),2.0)</f>
        <v>2</v>
      </c>
      <c r="W120" s="21" t="str">
        <f>IFERROR(__xludf.DUMMYFUNCTION("""COMPUTED_VALUE"""),"Bithika Pandey")</f>
        <v>Bithika Pandey</v>
      </c>
      <c r="X120" s="21" t="str">
        <f>IFERROR(__xludf.DUMMYFUNCTION("""COMPUTED_VALUE"""),"Mother")</f>
        <v>Mother</v>
      </c>
      <c r="Y120" s="21" t="str">
        <f>IFERROR(__xludf.DUMMYFUNCTION("""COMPUTED_VALUE"""),"Aditi Pandey")</f>
        <v>Aditi Pandey</v>
      </c>
      <c r="Z120" s="21" t="str">
        <f>IFERROR(__xludf.DUMMYFUNCTION("""COMPUTED_VALUE"""),"Sister")</f>
        <v>Sister</v>
      </c>
      <c r="AA120" s="21" t="str">
        <f>IFERROR(__xludf.DUMMYFUNCTION("""COMPUTED_VALUE"""),"Veg")</f>
        <v>Veg</v>
      </c>
      <c r="AB120" s="21" t="str">
        <f>IFERROR(__xludf.DUMMYFUNCTION("""COMPUTED_VALUE"""),"Non-Veg")</f>
        <v>Non-Veg</v>
      </c>
      <c r="AC120" s="21" t="str">
        <f>IFERROR(__xludf.DUMMYFUNCTION("""COMPUTED_VALUE"""),"Non-Veg")</f>
        <v>Non-Veg</v>
      </c>
      <c r="AD120" s="21" t="str">
        <f>IFERROR(__xludf.DUMMYFUNCTION("""COMPUTED_VALUE"""),"Drop at Kolkata Airport")</f>
        <v>Drop at Kolkata Airport</v>
      </c>
      <c r="AE120" s="21">
        <f>IFERROR(__xludf.DUMMYFUNCTION("""COMPUTED_VALUE"""),3.0)</f>
        <v>3</v>
      </c>
    </row>
    <row r="121" ht="22.5" customHeight="1">
      <c r="A121" s="18">
        <f>IFERROR(__xludf.DUMMYFUNCTION("""COMPUTED_VALUE"""),46262.489652268516)</f>
        <v>46262.48965</v>
      </c>
      <c r="B121" s="21" t="str">
        <f>IFERROR(__xludf.DUMMYFUNCTION("""COMPUTED_VALUE"""),"nilesh.mbbs-2020@aiimskalyani.edu.in")</f>
        <v>nilesh.mbbs-2020@aiimskalyani.edu.in</v>
      </c>
      <c r="C121" s="21" t="str">
        <f>IFERROR(__xludf.DUMMYFUNCTION("""COMPUTED_VALUE"""),"NILESH BHARTI")</f>
        <v>NILESH BHARTI</v>
      </c>
      <c r="D121" s="21">
        <f>IFERROR(__xludf.DUMMYFUNCTION("""COMPUTED_VALUE"""),2.02001116E8)</f>
        <v>202001116</v>
      </c>
      <c r="E121" s="21" t="str">
        <f>IFERROR(__xludf.DUMMYFUNCTION("""COMPUTED_VALUE"""),"MBBS 2020")</f>
        <v>MBBS 2020</v>
      </c>
      <c r="F121" s="21">
        <f>IFERROR(__xludf.DUMMYFUNCTION("""COMPUTED_VALUE"""),7.292903856E9)</f>
        <v>7292903856</v>
      </c>
      <c r="G121" s="21" t="str">
        <f>IFERROR(__xludf.DUMMYFUNCTION("""COMPUTED_VALUE"""),"nilesh.mbbs-2020@aiimskalyani.edu.in")</f>
        <v>nilesh.mbbs-2020@aiimskalyani.edu.in</v>
      </c>
      <c r="H121" s="21" t="str">
        <f>IFERROR(__xludf.DUMMYFUNCTION("""COMPUTED_VALUE"""),"Yes")</f>
        <v>Yes</v>
      </c>
      <c r="I121" s="21"/>
      <c r="J121" s="21"/>
      <c r="K121" s="21" t="str">
        <f>IFERROR(__xludf.DUMMYFUNCTION("""COMPUTED_VALUE"""),"Samastipur, Bihar")</f>
        <v>Samastipur, Bihar</v>
      </c>
      <c r="L121" s="22" t="str">
        <f>IFERROR(__xludf.DUMMYFUNCTION("""COMPUTED_VALUE"""),"https://drive.google.com/open?id=1KztgL8OEke4hZZMua6o0pKtkGrhe4WAN")</f>
        <v>https://drive.google.com/open?id=1KztgL8OEke4hZZMua6o0pKtkGrhe4WAN</v>
      </c>
      <c r="M121" s="22" t="str">
        <f>IFERROR(__xludf.DUMMYFUNCTION("""COMPUTED_VALUE"""),"https://drive.google.com/open?id=16QJxFRyFat2-vQbJCjTv_aoucODfuX6d")</f>
        <v>https://drive.google.com/open?id=16QJxFRyFat2-vQbJCjTv_aoucODfuX6d</v>
      </c>
      <c r="N121" s="21" t="str">
        <f>IFERROR(__xludf.DUMMYFUNCTION("""COMPUTED_VALUE"""),"Ashok Kumar Choudhary")</f>
        <v>Ashok Kumar Choudhary</v>
      </c>
      <c r="O121" s="21" t="str">
        <f>IFERROR(__xludf.DUMMYFUNCTION("""COMPUTED_VALUE"""),"Grocery Shop")</f>
        <v>Grocery Shop</v>
      </c>
      <c r="P121" s="21" t="str">
        <f>IFERROR(__xludf.DUMMYFUNCTION("""COMPUTED_VALUE"""),"Samastipur, Bihar")</f>
        <v>Samastipur, Bihar</v>
      </c>
      <c r="Q121" s="21">
        <f>IFERROR(__xludf.DUMMYFUNCTION("""COMPUTED_VALUE"""),8.210741328E9)</f>
        <v>8210741328</v>
      </c>
      <c r="R121" s="21" t="str">
        <f>IFERROR(__xludf.DUMMYFUNCTION("""COMPUTED_VALUE"""),"Sudha Rani")</f>
        <v>Sudha Rani</v>
      </c>
      <c r="S121" s="21" t="str">
        <f>IFERROR(__xludf.DUMMYFUNCTION("""COMPUTED_VALUE"""),"House wife")</f>
        <v>House wife</v>
      </c>
      <c r="T121" s="21" t="str">
        <f>IFERROR(__xludf.DUMMYFUNCTION("""COMPUTED_VALUE"""),"Samastipur, Bihar")</f>
        <v>Samastipur, Bihar</v>
      </c>
      <c r="U121" s="21">
        <f>IFERROR(__xludf.DUMMYFUNCTION("""COMPUTED_VALUE"""),9.934034117E9)</f>
        <v>9934034117</v>
      </c>
      <c r="V121" s="21">
        <f>IFERROR(__xludf.DUMMYFUNCTION("""COMPUTED_VALUE"""),2.0)</f>
        <v>2</v>
      </c>
      <c r="W121" s="21" t="str">
        <f>IFERROR(__xludf.DUMMYFUNCTION("""COMPUTED_VALUE"""),"Ashok Kumar Choudhary ")</f>
        <v>Ashok Kumar Choudhary </v>
      </c>
      <c r="X121" s="21" t="str">
        <f>IFERROR(__xludf.DUMMYFUNCTION("""COMPUTED_VALUE"""),"Father")</f>
        <v>Father</v>
      </c>
      <c r="Y121" s="21" t="str">
        <f>IFERROR(__xludf.DUMMYFUNCTION("""COMPUTED_VALUE"""),"Sudha Rani")</f>
        <v>Sudha Rani</v>
      </c>
      <c r="Z121" s="21" t="str">
        <f>IFERROR(__xludf.DUMMYFUNCTION("""COMPUTED_VALUE"""),"Mother")</f>
        <v>Mother</v>
      </c>
      <c r="AA121" s="21" t="str">
        <f>IFERROR(__xludf.DUMMYFUNCTION("""COMPUTED_VALUE"""),"Non-Veg")</f>
        <v>Non-Veg</v>
      </c>
      <c r="AB121" s="21" t="str">
        <f>IFERROR(__xludf.DUMMYFUNCTION("""COMPUTED_VALUE"""),"Veg")</f>
        <v>Veg</v>
      </c>
      <c r="AC121" s="21" t="str">
        <f>IFERROR(__xludf.DUMMYFUNCTION("""COMPUTED_VALUE"""),"Veg")</f>
        <v>Veg</v>
      </c>
      <c r="AD121" s="21" t="str">
        <f>IFERROR(__xludf.DUMMYFUNCTION("""COMPUTED_VALUE"""),"Bus Drop Service not needed")</f>
        <v>Bus Drop Service not needed</v>
      </c>
      <c r="AE121" s="21">
        <f>IFERROR(__xludf.DUMMYFUNCTION("""COMPUTED_VALUE"""),0.0)</f>
        <v>0</v>
      </c>
    </row>
    <row r="122" ht="22.5" customHeight="1">
      <c r="A122" s="18">
        <f>IFERROR(__xludf.DUMMYFUNCTION("""COMPUTED_VALUE"""),46262.38976675926)</f>
        <v>46262.38977</v>
      </c>
      <c r="B122" s="21" t="str">
        <f>IFERROR(__xludf.DUMMYFUNCTION("""COMPUTED_VALUE"""),"akshay.mbbs-2020@aiimskalyani.edu.in")</f>
        <v>akshay.mbbs-2020@aiimskalyani.edu.in</v>
      </c>
      <c r="C122" s="21" t="str">
        <f>IFERROR(__xludf.DUMMYFUNCTION("""COMPUTED_VALUE"""),"AKSHAY SHARMA ")</f>
        <v>AKSHAY SHARMA </v>
      </c>
      <c r="D122" s="21">
        <f>IFERROR(__xludf.DUMMYFUNCTION("""COMPUTED_VALUE"""),2.0200157E7)</f>
        <v>20200157</v>
      </c>
      <c r="E122" s="21" t="str">
        <f>IFERROR(__xludf.DUMMYFUNCTION("""COMPUTED_VALUE"""),"MBBS 2020")</f>
        <v>MBBS 2020</v>
      </c>
      <c r="F122" s="21">
        <f>IFERROR(__xludf.DUMMYFUNCTION("""COMPUTED_VALUE"""),8.016283467E9)</f>
        <v>8016283467</v>
      </c>
      <c r="G122" s="21" t="str">
        <f>IFERROR(__xludf.DUMMYFUNCTION("""COMPUTED_VALUE"""),"xaysharma6365@gmail.com")</f>
        <v>xaysharma6365@gmail.com</v>
      </c>
      <c r="H122" s="21" t="str">
        <f>IFERROR(__xludf.DUMMYFUNCTION("""COMPUTED_VALUE"""),"Yes")</f>
        <v>Yes</v>
      </c>
      <c r="I122" s="21" t="str">
        <f>IFERROR(__xludf.DUMMYFUNCTION("""COMPUTED_VALUE"""),"Sports ")</f>
        <v>Sports </v>
      </c>
      <c r="J122" s="21" t="str">
        <f>IFERROR(__xludf.DUMMYFUNCTION("""COMPUTED_VALUE"""),"Cricket ")</f>
        <v>Cricket </v>
      </c>
      <c r="K122" s="21" t="str">
        <f>IFERROR(__xludf.DUMMYFUNCTION("""COMPUTED_VALUE"""),"Sikar")</f>
        <v>Sikar</v>
      </c>
      <c r="L122" s="22" t="str">
        <f>IFERROR(__xludf.DUMMYFUNCTION("""COMPUTED_VALUE"""),"https://drive.google.com/open?id=1ItmdZQFTymSYMMTI1_Y7PkbVoZ62MP4z")</f>
        <v>https://drive.google.com/open?id=1ItmdZQFTymSYMMTI1_Y7PkbVoZ62MP4z</v>
      </c>
      <c r="M122" s="22" t="str">
        <f>IFERROR(__xludf.DUMMYFUNCTION("""COMPUTED_VALUE"""),"https://drive.google.com/open?id=1E0Vszup2lQLfdpgMIBj2WugQ756uMslC")</f>
        <v>https://drive.google.com/open?id=1E0Vszup2lQLfdpgMIBj2WugQ756uMslC</v>
      </c>
      <c r="N122" s="21" t="str">
        <f>IFERROR(__xludf.DUMMYFUNCTION("""COMPUTED_VALUE"""),"Anil Kumar Sharma ")</f>
        <v>Anil Kumar Sharma </v>
      </c>
      <c r="O122" s="21" t="str">
        <f>IFERROR(__xludf.DUMMYFUNCTION("""COMPUTED_VALUE"""),"Farmer ")</f>
        <v>Farmer </v>
      </c>
      <c r="P122" s="21" t="str">
        <f>IFERROR(__xludf.DUMMYFUNCTION("""COMPUTED_VALUE"""),"Sikar ")</f>
        <v>Sikar </v>
      </c>
      <c r="Q122" s="21">
        <f>IFERROR(__xludf.DUMMYFUNCTION("""COMPUTED_VALUE"""),8.016283467E9)</f>
        <v>8016283467</v>
      </c>
      <c r="R122" s="21" t="str">
        <f>IFERROR(__xludf.DUMMYFUNCTION("""COMPUTED_VALUE"""),"Kiran Sharma ")</f>
        <v>Kiran Sharma </v>
      </c>
      <c r="S122" s="21" t="str">
        <f>IFERROR(__xludf.DUMMYFUNCTION("""COMPUTED_VALUE"""),"House maker")</f>
        <v>House maker</v>
      </c>
      <c r="T122" s="21" t="str">
        <f>IFERROR(__xludf.DUMMYFUNCTION("""COMPUTED_VALUE"""),"Sikar ")</f>
        <v>Sikar </v>
      </c>
      <c r="U122" s="21">
        <f>IFERROR(__xludf.DUMMYFUNCTION("""COMPUTED_VALUE"""),8.016283467E9)</f>
        <v>8016283467</v>
      </c>
      <c r="V122" s="21">
        <f>IFERROR(__xludf.DUMMYFUNCTION("""COMPUTED_VALUE"""),2.0)</f>
        <v>2</v>
      </c>
      <c r="W122" s="21" t="str">
        <f>IFERROR(__xludf.DUMMYFUNCTION("""COMPUTED_VALUE"""),"Kiran Sharma ")</f>
        <v>Kiran Sharma </v>
      </c>
      <c r="X122" s="21" t="str">
        <f>IFERROR(__xludf.DUMMYFUNCTION("""COMPUTED_VALUE"""),"Mother ")</f>
        <v>Mother </v>
      </c>
      <c r="Y122" s="21" t="str">
        <f>IFERROR(__xludf.DUMMYFUNCTION("""COMPUTED_VALUE"""),"Anil kumar sharma ")</f>
        <v>Anil kumar sharma </v>
      </c>
      <c r="Z122" s="21" t="str">
        <f>IFERROR(__xludf.DUMMYFUNCTION("""COMPUTED_VALUE"""),"Father ")</f>
        <v>Father </v>
      </c>
      <c r="AA122" s="21" t="str">
        <f>IFERROR(__xludf.DUMMYFUNCTION("""COMPUTED_VALUE"""),"Veg")</f>
        <v>Veg</v>
      </c>
      <c r="AB122" s="21" t="str">
        <f>IFERROR(__xludf.DUMMYFUNCTION("""COMPUTED_VALUE"""),"Veg")</f>
        <v>Veg</v>
      </c>
      <c r="AC122" s="21" t="str">
        <f>IFERROR(__xludf.DUMMYFUNCTION("""COMPUTED_VALUE"""),"Veg")</f>
        <v>Veg</v>
      </c>
      <c r="AD122" s="21" t="str">
        <f>IFERROR(__xludf.DUMMYFUNCTION("""COMPUTED_VALUE"""),"Bus Drop Service not needed")</f>
        <v>Bus Drop Service not needed</v>
      </c>
      <c r="AE122" s="21">
        <f>IFERROR(__xludf.DUMMYFUNCTION("""COMPUTED_VALUE"""),0.0)</f>
        <v>0</v>
      </c>
    </row>
    <row r="123" ht="22.5" customHeight="1">
      <c r="A123" s="18">
        <f>IFERROR(__xludf.DUMMYFUNCTION("""COMPUTED_VALUE"""),46261.98511408565)</f>
        <v>46261.98511</v>
      </c>
      <c r="B123" s="21" t="str">
        <f>IFERROR(__xludf.DUMMYFUNCTION("""COMPUTED_VALUE"""),"bidisha.bscnursing-2021@aiimskalyani.edu.in")</f>
        <v>bidisha.bscnursing-2021@aiimskalyani.edu.in</v>
      </c>
      <c r="C123" s="21" t="str">
        <f>IFERROR(__xludf.DUMMYFUNCTION("""COMPUTED_VALUE"""),"BIDISHA CHUNARI ")</f>
        <v>BIDISHA CHUNARI </v>
      </c>
      <c r="D123" s="21">
        <f>IFERROR(__xludf.DUMMYFUNCTION("""COMPUTED_VALUE"""),2.0210208E7)</f>
        <v>20210208</v>
      </c>
      <c r="E123" s="21" t="str">
        <f>IFERROR(__xludf.DUMMYFUNCTION("""COMPUTED_VALUE"""),"B.Sc (Hons) Nursing 2021")</f>
        <v>B.Sc (Hons) Nursing 2021</v>
      </c>
      <c r="F123" s="21">
        <f>IFERROR(__xludf.DUMMYFUNCTION("""COMPUTED_VALUE"""),6.295520563E9)</f>
        <v>6295520563</v>
      </c>
      <c r="G123" s="21" t="str">
        <f>IFERROR(__xludf.DUMMYFUNCTION("""COMPUTED_VALUE"""),"bidishachunari46@gmail.com")</f>
        <v>bidishachunari46@gmail.com</v>
      </c>
      <c r="H123" s="21" t="str">
        <f>IFERROR(__xludf.DUMMYFUNCTION("""COMPUTED_VALUE"""),"Yes")</f>
        <v>Yes</v>
      </c>
      <c r="I123" s="21" t="str">
        <f>IFERROR(__xludf.DUMMYFUNCTION("""COMPUTED_VALUE"""),"Singing and dancing ")</f>
        <v>Singing and dancing </v>
      </c>
      <c r="J123" s="21"/>
      <c r="K123" s="21" t="str">
        <f>IFERROR(__xludf.DUMMYFUNCTION("""COMPUTED_VALUE"""),"Krishnanagar ")</f>
        <v>Krishnanagar </v>
      </c>
      <c r="L123" s="22" t="str">
        <f>IFERROR(__xludf.DUMMYFUNCTION("""COMPUTED_VALUE"""),"https://drive.google.com/open?id=1bwx5q9n2bwNAABsvPhSADC1hY7hWzzHG")</f>
        <v>https://drive.google.com/open?id=1bwx5q9n2bwNAABsvPhSADC1hY7hWzzHG</v>
      </c>
      <c r="M123" s="22" t="str">
        <f>IFERROR(__xludf.DUMMYFUNCTION("""COMPUTED_VALUE"""),"https://drive.google.com/open?id=1wrF__61hq-wpg3zhkDMrs0OSYRla9JTh")</f>
        <v>https://drive.google.com/open?id=1wrF__61hq-wpg3zhkDMrs0OSYRla9JTh</v>
      </c>
      <c r="N123" s="21" t="str">
        <f>IFERROR(__xludf.DUMMYFUNCTION("""COMPUTED_VALUE"""),"Botan Chunari")</f>
        <v>Botan Chunari</v>
      </c>
      <c r="O123" s="21" t="str">
        <f>IFERROR(__xludf.DUMMYFUNCTION("""COMPUTED_VALUE"""),"Retired Service man ")</f>
        <v>Retired Service man </v>
      </c>
      <c r="P123" s="21" t="str">
        <f>IFERROR(__xludf.DUMMYFUNCTION("""COMPUTED_VALUE"""),"Krishnanagar ")</f>
        <v>Krishnanagar </v>
      </c>
      <c r="Q123" s="21">
        <f>IFERROR(__xludf.DUMMYFUNCTION("""COMPUTED_VALUE"""),8.348678398E9)</f>
        <v>8348678398</v>
      </c>
      <c r="R123" s="21" t="str">
        <f>IFERROR(__xludf.DUMMYFUNCTION("""COMPUTED_VALUE"""),"Pintu Chunari ")</f>
        <v>Pintu Chunari </v>
      </c>
      <c r="S123" s="21" t="str">
        <f>IFERROR(__xludf.DUMMYFUNCTION("""COMPUTED_VALUE"""),"Homemaker ")</f>
        <v>Homemaker </v>
      </c>
      <c r="T123" s="21" t="str">
        <f>IFERROR(__xludf.DUMMYFUNCTION("""COMPUTED_VALUE"""),"Krishnanagar ")</f>
        <v>Krishnanagar </v>
      </c>
      <c r="U123" s="21">
        <f>IFERROR(__xludf.DUMMYFUNCTION("""COMPUTED_VALUE"""),9.475821651E9)</f>
        <v>9475821651</v>
      </c>
      <c r="V123" s="21">
        <f>IFERROR(__xludf.DUMMYFUNCTION("""COMPUTED_VALUE"""),2.0)</f>
        <v>2</v>
      </c>
      <c r="W123" s="21" t="str">
        <f>IFERROR(__xludf.DUMMYFUNCTION("""COMPUTED_VALUE"""),"Botan Chunari ")</f>
        <v>Botan Chunari </v>
      </c>
      <c r="X123" s="21" t="str">
        <f>IFERROR(__xludf.DUMMYFUNCTION("""COMPUTED_VALUE"""),"Father ")</f>
        <v>Father </v>
      </c>
      <c r="Y123" s="21" t="str">
        <f>IFERROR(__xludf.DUMMYFUNCTION("""COMPUTED_VALUE"""),"Pintu Chunari ")</f>
        <v>Pintu Chunari </v>
      </c>
      <c r="Z123" s="21" t="str">
        <f>IFERROR(__xludf.DUMMYFUNCTION("""COMPUTED_VALUE"""),"Mother ")</f>
        <v>Mother </v>
      </c>
      <c r="AA123" s="21" t="str">
        <f>IFERROR(__xludf.DUMMYFUNCTION("""COMPUTED_VALUE"""),"Non-Veg")</f>
        <v>Non-Veg</v>
      </c>
      <c r="AB123" s="21" t="str">
        <f>IFERROR(__xludf.DUMMYFUNCTION("""COMPUTED_VALUE"""),"Non-Veg")</f>
        <v>Non-Veg</v>
      </c>
      <c r="AC123" s="21" t="str">
        <f>IFERROR(__xludf.DUMMYFUNCTION("""COMPUTED_VALUE"""),"Non-Veg")</f>
        <v>Non-Veg</v>
      </c>
      <c r="AD123" s="21" t="str">
        <f>IFERROR(__xludf.DUMMYFUNCTION("""COMPUTED_VALUE"""),"Drop at Kalyani Railway Station")</f>
        <v>Drop at Kalyani Railway Station</v>
      </c>
      <c r="AE123" s="21">
        <f>IFERROR(__xludf.DUMMYFUNCTION("""COMPUTED_VALUE"""),3.0)</f>
        <v>3</v>
      </c>
    </row>
    <row r="124" ht="22.5" customHeight="1">
      <c r="A124" s="18">
        <f>IFERROR(__xludf.DUMMYFUNCTION("""COMPUTED_VALUE"""),46261.843299479166)</f>
        <v>46261.8433</v>
      </c>
      <c r="B124" s="21" t="str">
        <f>IFERROR(__xludf.DUMMYFUNCTION("""COMPUTED_VALUE"""),"abil.mbbs-2020@aiimskalyani.edu.in")</f>
        <v>abil.mbbs-2020@aiimskalyani.edu.in</v>
      </c>
      <c r="C124" s="21" t="str">
        <f>IFERROR(__xludf.DUMMYFUNCTION("""COMPUTED_VALUE"""),"ABIL KUMAR")</f>
        <v>ABIL KUMAR</v>
      </c>
      <c r="D124" s="21">
        <f>IFERROR(__xludf.DUMMYFUNCTION("""COMPUTED_VALUE"""),2.0200152E7)</f>
        <v>20200152</v>
      </c>
      <c r="E124" s="21" t="str">
        <f>IFERROR(__xludf.DUMMYFUNCTION("""COMPUTED_VALUE"""),"MBBS 2020")</f>
        <v>MBBS 2020</v>
      </c>
      <c r="F124" s="21">
        <f>IFERROR(__xludf.DUMMYFUNCTION("""COMPUTED_VALUE"""),9.671886427E9)</f>
        <v>9671886427</v>
      </c>
      <c r="G124" s="21" t="str">
        <f>IFERROR(__xludf.DUMMYFUNCTION("""COMPUTED_VALUE"""),"abhisaini00011@gmail.com")</f>
        <v>abhisaini00011@gmail.com</v>
      </c>
      <c r="H124" s="21" t="str">
        <f>IFERROR(__xludf.DUMMYFUNCTION("""COMPUTED_VALUE"""),"Yes")</f>
        <v>Yes</v>
      </c>
      <c r="I124" s="21"/>
      <c r="J124" s="21"/>
      <c r="K124" s="21" t="str">
        <f>IFERROR(__xludf.DUMMYFUNCTION("""COMPUTED_VALUE"""),"Yamunanagar (haryana)")</f>
        <v>Yamunanagar (haryana)</v>
      </c>
      <c r="L124" s="22" t="str">
        <f>IFERROR(__xludf.DUMMYFUNCTION("""COMPUTED_VALUE"""),"https://drive.google.com/open?id=1zwdEFcV9P321Q6Jkzx-Cv1wnMXEHxajP")</f>
        <v>https://drive.google.com/open?id=1zwdEFcV9P321Q6Jkzx-Cv1wnMXEHxajP</v>
      </c>
      <c r="M124" s="22" t="str">
        <f>IFERROR(__xludf.DUMMYFUNCTION("""COMPUTED_VALUE"""),"https://drive.google.com/open?id=1IFG8feelFIXlMM6oKKg5CWGBzzIZIh4e")</f>
        <v>https://drive.google.com/open?id=1IFG8feelFIXlMM6oKKg5CWGBzzIZIh4e</v>
      </c>
      <c r="N124" s="21" t="str">
        <f>IFERROR(__xludf.DUMMYFUNCTION("""COMPUTED_VALUE"""),"Jaikishan saini")</f>
        <v>Jaikishan saini</v>
      </c>
      <c r="O124" s="21" t="str">
        <f>IFERROR(__xludf.DUMMYFUNCTION("""COMPUTED_VALUE"""),"Engineer")</f>
        <v>Engineer</v>
      </c>
      <c r="P124" s="21" t="str">
        <f>IFERROR(__xludf.DUMMYFUNCTION("""COMPUTED_VALUE"""),"Yamunanagar ( Haryana)")</f>
        <v>Yamunanagar ( Haryana)</v>
      </c>
      <c r="Q124" s="21">
        <f>IFERROR(__xludf.DUMMYFUNCTION("""COMPUTED_VALUE"""),8.05981759E9)</f>
        <v>8059817590</v>
      </c>
      <c r="R124" s="21" t="str">
        <f>IFERROR(__xludf.DUMMYFUNCTION("""COMPUTED_VALUE"""),"Raj dulari ")</f>
        <v>Raj dulari </v>
      </c>
      <c r="S124" s="21" t="str">
        <f>IFERROR(__xludf.DUMMYFUNCTION("""COMPUTED_VALUE"""),"Homemaker ")</f>
        <v>Homemaker </v>
      </c>
      <c r="T124" s="21" t="str">
        <f>IFERROR(__xludf.DUMMYFUNCTION("""COMPUTED_VALUE"""),"Yamunanagar (Haryana)")</f>
        <v>Yamunanagar (Haryana)</v>
      </c>
      <c r="U124" s="21">
        <f>IFERROR(__xludf.DUMMYFUNCTION("""COMPUTED_VALUE"""),8.16801149E9)</f>
        <v>8168011490</v>
      </c>
      <c r="V124" s="21">
        <f>IFERROR(__xludf.DUMMYFUNCTION("""COMPUTED_VALUE"""),0.0)</f>
        <v>0</v>
      </c>
      <c r="W124" s="21"/>
      <c r="X124" s="21"/>
      <c r="Y124" s="21"/>
      <c r="Z124" s="21"/>
      <c r="AA124" s="21" t="str">
        <f>IFERROR(__xludf.DUMMYFUNCTION("""COMPUTED_VALUE"""),"Veg")</f>
        <v>Veg</v>
      </c>
      <c r="AB124" s="21"/>
      <c r="AC124" s="21"/>
      <c r="AD124" s="21" t="str">
        <f>IFERROR(__xludf.DUMMYFUNCTION("""COMPUTED_VALUE"""),"Bus Drop Service not needed")</f>
        <v>Bus Drop Service not needed</v>
      </c>
      <c r="AE124" s="21">
        <f>IFERROR(__xludf.DUMMYFUNCTION("""COMPUTED_VALUE"""),0.0)</f>
        <v>0</v>
      </c>
    </row>
    <row r="125" ht="22.5" customHeight="1">
      <c r="A125" s="18">
        <f>IFERROR(__xludf.DUMMYFUNCTION("""COMPUTED_VALUE"""),46261.75005681713)</f>
        <v>46261.75006</v>
      </c>
      <c r="B125" s="21" t="str">
        <f>IFERROR(__xludf.DUMMYFUNCTION("""COMPUTED_VALUE"""),"ashok.mbbs-2020@aiimskalyani.edu.in")</f>
        <v>ashok.mbbs-2020@aiimskalyani.edu.in</v>
      </c>
      <c r="C125" s="21" t="str">
        <f>IFERROR(__xludf.DUMMYFUNCTION("""COMPUTED_VALUE"""),"ASHOK KUMAR ")</f>
        <v>ASHOK KUMAR </v>
      </c>
      <c r="D125" s="21">
        <f>IFERROR(__xludf.DUMMYFUNCTION("""COMPUTED_VALUE"""),2.0200177E7)</f>
        <v>20200177</v>
      </c>
      <c r="E125" s="21" t="str">
        <f>IFERROR(__xludf.DUMMYFUNCTION("""COMPUTED_VALUE"""),"MBBS 2020")</f>
        <v>MBBS 2020</v>
      </c>
      <c r="F125" s="21">
        <f>IFERROR(__xludf.DUMMYFUNCTION("""COMPUTED_VALUE"""),9.610132738E9)</f>
        <v>9610132738</v>
      </c>
      <c r="G125" s="21" t="str">
        <f>IFERROR(__xludf.DUMMYFUNCTION("""COMPUTED_VALUE"""),"ashok.mbbs-2020@aiimskalyani.edu.in")</f>
        <v>ashok.mbbs-2020@aiimskalyani.edu.in</v>
      </c>
      <c r="H125" s="21" t="str">
        <f>IFERROR(__xludf.DUMMYFUNCTION("""COMPUTED_VALUE"""),"Yes")</f>
        <v>Yes</v>
      </c>
      <c r="I125" s="21" t="str">
        <f>IFERROR(__xludf.DUMMYFUNCTION("""COMPUTED_VALUE"""),"Playing cricket")</f>
        <v>Playing cricket</v>
      </c>
      <c r="J125" s="21" t="str">
        <f>IFERROR(__xludf.DUMMYFUNCTION("""COMPUTED_VALUE"""),"Cricket")</f>
        <v>Cricket</v>
      </c>
      <c r="K125" s="21" t="str">
        <f>IFERROR(__xludf.DUMMYFUNCTION("""COMPUTED_VALUE"""),"Gudamalani, Barmer, Rajasthan ")</f>
        <v>Gudamalani, Barmer, Rajasthan </v>
      </c>
      <c r="L125" s="22" t="str">
        <f>IFERROR(__xludf.DUMMYFUNCTION("""COMPUTED_VALUE"""),"https://drive.google.com/open?id=1DCVm9ykzqDErz0EjbdSm9jvVk0ZLCDza")</f>
        <v>https://drive.google.com/open?id=1DCVm9ykzqDErz0EjbdSm9jvVk0ZLCDza</v>
      </c>
      <c r="M125" s="22" t="str">
        <f>IFERROR(__xludf.DUMMYFUNCTION("""COMPUTED_VALUE"""),"https://drive.google.com/open?id=1TUTEY9I_2s5assnVLiXCGzIDtFy0AZ6k")</f>
        <v>https://drive.google.com/open?id=1TUTEY9I_2s5assnVLiXCGzIDtFy0AZ6k</v>
      </c>
      <c r="N125" s="21" t="str">
        <f>IFERROR(__xludf.DUMMYFUNCTION("""COMPUTED_VALUE"""),"BAGA RAM")</f>
        <v>BAGA RAM</v>
      </c>
      <c r="O125" s="21" t="str">
        <f>IFERROR(__xludf.DUMMYFUNCTION("""COMPUTED_VALUE"""),"Farmer ")</f>
        <v>Farmer </v>
      </c>
      <c r="P125" s="21" t="str">
        <f>IFERROR(__xludf.DUMMYFUNCTION("""COMPUTED_VALUE"""),"Gudamalani")</f>
        <v>Gudamalani</v>
      </c>
      <c r="Q125" s="21">
        <f>IFERROR(__xludf.DUMMYFUNCTION("""COMPUTED_VALUE"""),9.610132738E9)</f>
        <v>9610132738</v>
      </c>
      <c r="R125" s="21" t="str">
        <f>IFERROR(__xludf.DUMMYFUNCTION("""COMPUTED_VALUE"""),"LEELU DEVI")</f>
        <v>LEELU DEVI</v>
      </c>
      <c r="S125" s="21" t="str">
        <f>IFERROR(__xludf.DUMMYFUNCTION("""COMPUTED_VALUE"""),"Housewife")</f>
        <v>Housewife</v>
      </c>
      <c r="T125" s="21" t="str">
        <f>IFERROR(__xludf.DUMMYFUNCTION("""COMPUTED_VALUE"""),"Gudamalani ")</f>
        <v>Gudamalani </v>
      </c>
      <c r="U125" s="21">
        <f>IFERROR(__xludf.DUMMYFUNCTION("""COMPUTED_VALUE"""),9.549454347E9)</f>
        <v>9549454347</v>
      </c>
      <c r="V125" s="21">
        <f>IFERROR(__xludf.DUMMYFUNCTION("""COMPUTED_VALUE"""),1.0)</f>
        <v>1</v>
      </c>
      <c r="W125" s="21" t="str">
        <f>IFERROR(__xludf.DUMMYFUNCTION("""COMPUTED_VALUE"""),"ISHWAR")</f>
        <v>ISHWAR</v>
      </c>
      <c r="X125" s="21" t="str">
        <f>IFERROR(__xludf.DUMMYFUNCTION("""COMPUTED_VALUE"""),"Brother")</f>
        <v>Brother</v>
      </c>
      <c r="Y125" s="21"/>
      <c r="Z125" s="21"/>
      <c r="AA125" s="21" t="str">
        <f>IFERROR(__xludf.DUMMYFUNCTION("""COMPUTED_VALUE"""),"Veg")</f>
        <v>Veg</v>
      </c>
      <c r="AB125" s="21" t="str">
        <f>IFERROR(__xludf.DUMMYFUNCTION("""COMPUTED_VALUE"""),"Veg")</f>
        <v>Veg</v>
      </c>
      <c r="AC125" s="21" t="str">
        <f>IFERROR(__xludf.DUMMYFUNCTION("""COMPUTED_VALUE"""),"Veg")</f>
        <v>Veg</v>
      </c>
      <c r="AD125" s="21" t="str">
        <f>IFERROR(__xludf.DUMMYFUNCTION("""COMPUTED_VALUE"""),"Bus Drop Service not needed")</f>
        <v>Bus Drop Service not needed</v>
      </c>
      <c r="AE125" s="21">
        <f>IFERROR(__xludf.DUMMYFUNCTION("""COMPUTED_VALUE"""),0.0)</f>
        <v>0</v>
      </c>
    </row>
    <row r="126" ht="22.5" customHeight="1">
      <c r="A126" s="18">
        <f>IFERROR(__xludf.DUMMYFUNCTION("""COMPUTED_VALUE"""),46261.73178465277)</f>
        <v>46261.73178</v>
      </c>
      <c r="B126" s="21" t="str">
        <f>IFERROR(__xludf.DUMMYFUNCTION("""COMPUTED_VALUE"""),"kshetrimayum.micro_pgt23@aiimskalyani.edu.in")</f>
        <v>kshetrimayum.micro_pgt23@aiimskalyani.edu.in</v>
      </c>
      <c r="C126" s="21" t="str">
        <f>IFERROR(__xludf.DUMMYFUNCTION("""COMPUTED_VALUE"""),"KSHETRIMAYUM AMMY")</f>
        <v>KSHETRIMAYUM AMMY</v>
      </c>
      <c r="D126" s="21">
        <f>IFERROR(__xludf.DUMMYFUNCTION("""COMPUTED_VALUE"""),2023036.0)</f>
        <v>2023036</v>
      </c>
      <c r="E126" s="21" t="str">
        <f>IFERROR(__xludf.DUMMYFUNCTION("""COMPUTED_VALUE"""),"MD/MS/MDS 2023")</f>
        <v>MD/MS/MDS 2023</v>
      </c>
      <c r="F126" s="21">
        <f>IFERROR(__xludf.DUMMYFUNCTION("""COMPUTED_VALUE"""),8.979219518E9)</f>
        <v>8979219518</v>
      </c>
      <c r="G126" s="21" t="str">
        <f>IFERROR(__xludf.DUMMYFUNCTION("""COMPUTED_VALUE"""),"kshetrimayum.micro_pgt23@aiimskalyani.edu.in")</f>
        <v>kshetrimayum.micro_pgt23@aiimskalyani.edu.in</v>
      </c>
      <c r="H126" s="21" t="str">
        <f>IFERROR(__xludf.DUMMYFUNCTION("""COMPUTED_VALUE"""),"Yes")</f>
        <v>Yes</v>
      </c>
      <c r="I126" s="21"/>
      <c r="J126" s="21"/>
      <c r="K126" s="21" t="str">
        <f>IFERROR(__xludf.DUMMYFUNCTION("""COMPUTED_VALUE"""),"Manipur")</f>
        <v>Manipur</v>
      </c>
      <c r="L126" s="22" t="str">
        <f>IFERROR(__xludf.DUMMYFUNCTION("""COMPUTED_VALUE"""),"https://drive.google.com/open?id=1oTJeS8X8zWGi3Pgc67CPklkSSF98dFZT")</f>
        <v>https://drive.google.com/open?id=1oTJeS8X8zWGi3Pgc67CPklkSSF98dFZT</v>
      </c>
      <c r="M126" s="22" t="str">
        <f>IFERROR(__xludf.DUMMYFUNCTION("""COMPUTED_VALUE"""),"https://drive.google.com/open?id=1l5rZmmtfg3Bm95Nn38SAfiFNS5hhXCD7")</f>
        <v>https://drive.google.com/open?id=1l5rZmmtfg3Bm95Nn38SAfiFNS5hhXCD7</v>
      </c>
      <c r="N126" s="21" t="str">
        <f>IFERROR(__xludf.DUMMYFUNCTION("""COMPUTED_VALUE"""),"Kshetrimayum Topeswor Singh")</f>
        <v>Kshetrimayum Topeswor Singh</v>
      </c>
      <c r="O126" s="21" t="str">
        <f>IFERROR(__xludf.DUMMYFUNCTION("""COMPUTED_VALUE"""),"Business")</f>
        <v>Business</v>
      </c>
      <c r="P126" s="21" t="str">
        <f>IFERROR(__xludf.DUMMYFUNCTION("""COMPUTED_VALUE"""),"Imphal")</f>
        <v>Imphal</v>
      </c>
      <c r="Q126" s="21">
        <f>IFERROR(__xludf.DUMMYFUNCTION("""COMPUTED_VALUE"""),9.436026654E9)</f>
        <v>9436026654</v>
      </c>
      <c r="R126" s="21" t="str">
        <f>IFERROR(__xludf.DUMMYFUNCTION("""COMPUTED_VALUE"""),"Kshetrimayum (O) Meiteileima Devi")</f>
        <v>Kshetrimayum (O) Meiteileima Devi</v>
      </c>
      <c r="S126" s="21" t="str">
        <f>IFERROR(__xludf.DUMMYFUNCTION("""COMPUTED_VALUE"""),"Senior accountant")</f>
        <v>Senior accountant</v>
      </c>
      <c r="T126" s="21" t="str">
        <f>IFERROR(__xludf.DUMMYFUNCTION("""COMPUTED_VALUE"""),"Imphal ")</f>
        <v>Imphal </v>
      </c>
      <c r="U126" s="21">
        <f>IFERROR(__xludf.DUMMYFUNCTION("""COMPUTED_VALUE"""),9.436026559E9)</f>
        <v>9436026559</v>
      </c>
      <c r="V126" s="21">
        <f>IFERROR(__xludf.DUMMYFUNCTION("""COMPUTED_VALUE"""),0.0)</f>
        <v>0</v>
      </c>
      <c r="W126" s="21"/>
      <c r="X126" s="21"/>
      <c r="Y126" s="21"/>
      <c r="Z126" s="21"/>
      <c r="AA126" s="21" t="str">
        <f>IFERROR(__xludf.DUMMYFUNCTION("""COMPUTED_VALUE"""),"Non-Veg")</f>
        <v>Non-Veg</v>
      </c>
      <c r="AB126" s="21"/>
      <c r="AC126" s="21"/>
      <c r="AD126" s="21" t="str">
        <f>IFERROR(__xludf.DUMMYFUNCTION("""COMPUTED_VALUE"""),"Bus Drop Service not needed")</f>
        <v>Bus Drop Service not needed</v>
      </c>
      <c r="AE126" s="21">
        <f>IFERROR(__xludf.DUMMYFUNCTION("""COMPUTED_VALUE"""),0.0)</f>
        <v>0</v>
      </c>
    </row>
    <row r="127" ht="22.5" customHeight="1">
      <c r="A127" s="18">
        <f>IFERROR(__xludf.DUMMYFUNCTION("""COMPUTED_VALUE"""),46261.72505703704)</f>
        <v>46261.72506</v>
      </c>
      <c r="B127" s="21" t="str">
        <f>IFERROR(__xludf.DUMMYFUNCTION("""COMPUTED_VALUE"""),"abhishek.comjnmh@gmail.com")</f>
        <v>abhishek.comjnmh@gmail.com</v>
      </c>
      <c r="C127" s="21" t="str">
        <f>IFERROR(__xludf.DUMMYFUNCTION("""COMPUTED_VALUE"""),"Abhishek Kumar Giri")</f>
        <v>Abhishek Kumar Giri</v>
      </c>
      <c r="D127" s="21">
        <f>IFERROR(__xludf.DUMMYFUNCTION("""COMPUTED_VALUE"""),2.0230316E7)</f>
        <v>20230316</v>
      </c>
      <c r="E127" s="21" t="str">
        <f>IFERROR(__xludf.DUMMYFUNCTION("""COMPUTED_VALUE"""),"MD/MS/MDS 2023")</f>
        <v>MD/MS/MDS 2023</v>
      </c>
      <c r="F127" s="21">
        <f>IFERROR(__xludf.DUMMYFUNCTION("""COMPUTED_VALUE"""),7.686943337E9)</f>
        <v>7686943337</v>
      </c>
      <c r="G127" s="21" t="str">
        <f>IFERROR(__xludf.DUMMYFUNCTION("""COMPUTED_VALUE"""),"ABHISHEK.COMJNMH@GMAIL.COM")</f>
        <v>ABHISHEK.COMJNMH@GMAIL.COM</v>
      </c>
      <c r="H127" s="21" t="str">
        <f>IFERROR(__xludf.DUMMYFUNCTION("""COMPUTED_VALUE"""),"Yes")</f>
        <v>Yes</v>
      </c>
      <c r="I127" s="21"/>
      <c r="J127" s="21"/>
      <c r="K127" s="21" t="str">
        <f>IFERROR(__xludf.DUMMYFUNCTION("""COMPUTED_VALUE"""),"Kolkata")</f>
        <v>Kolkata</v>
      </c>
      <c r="L127" s="22" t="str">
        <f>IFERROR(__xludf.DUMMYFUNCTION("""COMPUTED_VALUE"""),"https://drive.google.com/open?id=1CQbRk21X5nqkp45p_2xoY_EvlMSNqf-n")</f>
        <v>https://drive.google.com/open?id=1CQbRk21X5nqkp45p_2xoY_EvlMSNqf-n</v>
      </c>
      <c r="M127" s="22" t="str">
        <f>IFERROR(__xludf.DUMMYFUNCTION("""COMPUTED_VALUE"""),"https://drive.google.com/open?id=1f5C8dZdGLRKVJM6yCk1O-96zo49IXahL")</f>
        <v>https://drive.google.com/open?id=1f5C8dZdGLRKVJM6yCk1O-96zo49IXahL</v>
      </c>
      <c r="N127" s="21" t="str">
        <f>IFERROR(__xludf.DUMMYFUNCTION("""COMPUTED_VALUE"""),"HRIDYA SHANKER GIRI")</f>
        <v>HRIDYA SHANKER GIRI</v>
      </c>
      <c r="O127" s="21" t="str">
        <f>IFERROR(__xludf.DUMMYFUNCTION("""COMPUTED_VALUE"""),"Advocate")</f>
        <v>Advocate</v>
      </c>
      <c r="P127" s="21" t="str">
        <f>IFERROR(__xludf.DUMMYFUNCTION("""COMPUTED_VALUE"""),"Kolkata")</f>
        <v>Kolkata</v>
      </c>
      <c r="Q127" s="21">
        <f>IFERROR(__xludf.DUMMYFUNCTION("""COMPUTED_VALUE"""),9.430010033E9)</f>
        <v>9430010033</v>
      </c>
      <c r="R127" s="21" t="str">
        <f>IFERROR(__xludf.DUMMYFUNCTION("""COMPUTED_VALUE"""),"Rani Giri")</f>
        <v>Rani Giri</v>
      </c>
      <c r="S127" s="21" t="str">
        <f>IFERROR(__xludf.DUMMYFUNCTION("""COMPUTED_VALUE"""),"House wife")</f>
        <v>House wife</v>
      </c>
      <c r="T127" s="21" t="str">
        <f>IFERROR(__xludf.DUMMYFUNCTION("""COMPUTED_VALUE"""),"Kalyani")</f>
        <v>Kalyani</v>
      </c>
      <c r="U127" s="21">
        <f>IFERROR(__xludf.DUMMYFUNCTION("""COMPUTED_VALUE"""),7.258843968E9)</f>
        <v>7258843968</v>
      </c>
      <c r="V127" s="21">
        <f>IFERROR(__xludf.DUMMYFUNCTION("""COMPUTED_VALUE"""),2.0)</f>
        <v>2</v>
      </c>
      <c r="W127" s="21" t="str">
        <f>IFERROR(__xludf.DUMMYFUNCTION("""COMPUTED_VALUE"""),"HRIDYA SHANKER GIRI")</f>
        <v>HRIDYA SHANKER GIRI</v>
      </c>
      <c r="X127" s="21" t="str">
        <f>IFERROR(__xludf.DUMMYFUNCTION("""COMPUTED_VALUE"""),"Father")</f>
        <v>Father</v>
      </c>
      <c r="Y127" s="21" t="str">
        <f>IFERROR(__xludf.DUMMYFUNCTION("""COMPUTED_VALUE"""),"Rani Giri")</f>
        <v>Rani Giri</v>
      </c>
      <c r="Z127" s="21" t="str">
        <f>IFERROR(__xludf.DUMMYFUNCTION("""COMPUTED_VALUE"""),"Mother")</f>
        <v>Mother</v>
      </c>
      <c r="AA127" s="21" t="str">
        <f>IFERROR(__xludf.DUMMYFUNCTION("""COMPUTED_VALUE"""),"Non-Veg")</f>
        <v>Non-Veg</v>
      </c>
      <c r="AB127" s="21" t="str">
        <f>IFERROR(__xludf.DUMMYFUNCTION("""COMPUTED_VALUE"""),"Non-Veg")</f>
        <v>Non-Veg</v>
      </c>
      <c r="AC127" s="21" t="str">
        <f>IFERROR(__xludf.DUMMYFUNCTION("""COMPUTED_VALUE"""),"Non-Veg")</f>
        <v>Non-Veg</v>
      </c>
      <c r="AD127" s="21" t="str">
        <f>IFERROR(__xludf.DUMMYFUNCTION("""COMPUTED_VALUE"""),"Bus Drop Service not needed")</f>
        <v>Bus Drop Service not needed</v>
      </c>
      <c r="AE127" s="21">
        <f>IFERROR(__xludf.DUMMYFUNCTION("""COMPUTED_VALUE"""),0.0)</f>
        <v>0</v>
      </c>
    </row>
    <row r="128" ht="22.5" customHeight="1">
      <c r="A128" s="18">
        <f>IFERROR(__xludf.DUMMYFUNCTION("""COMPUTED_VALUE"""),46261.69396665509)</f>
        <v>46261.69397</v>
      </c>
      <c r="B128" s="21" t="str">
        <f>IFERROR(__xludf.DUMMYFUNCTION("""COMPUTED_VALUE"""),"jagruti.mbbs-2020@aiimskalyani.edu.in")</f>
        <v>jagruti.mbbs-2020@aiimskalyani.edu.in</v>
      </c>
      <c r="C128" s="21" t="str">
        <f>IFERROR(__xludf.DUMMYFUNCTION("""COMPUTED_VALUE"""),"JAGRUTI BISWAL ")</f>
        <v>JAGRUTI BISWAL </v>
      </c>
      <c r="D128" s="21" t="str">
        <f>IFERROR(__xludf.DUMMYFUNCTION("""COMPUTED_VALUE"""),"53/202001103")</f>
        <v>53/202001103</v>
      </c>
      <c r="E128" s="21" t="str">
        <f>IFERROR(__xludf.DUMMYFUNCTION("""COMPUTED_VALUE"""),"MBBS 2020")</f>
        <v>MBBS 2020</v>
      </c>
      <c r="F128" s="21">
        <f>IFERROR(__xludf.DUMMYFUNCTION("""COMPUTED_VALUE"""),7.848081502E9)</f>
        <v>7848081502</v>
      </c>
      <c r="G128" s="21" t="str">
        <f>IFERROR(__xludf.DUMMYFUNCTION("""COMPUTED_VALUE"""),"jagruti.mbbs-2020@aiimskalyani.edu.in")</f>
        <v>jagruti.mbbs-2020@aiimskalyani.edu.in</v>
      </c>
      <c r="H128" s="21" t="str">
        <f>IFERROR(__xludf.DUMMYFUNCTION("""COMPUTED_VALUE"""),"Yes")</f>
        <v>Yes</v>
      </c>
      <c r="I128" s="21" t="str">
        <f>IFERROR(__xludf.DUMMYFUNCTION("""COMPUTED_VALUE"""),"Art and poster ")</f>
        <v>Art and poster </v>
      </c>
      <c r="J128" s="21"/>
      <c r="K128" s="21" t="str">
        <f>IFERROR(__xludf.DUMMYFUNCTION("""COMPUTED_VALUE"""),"Khamar , Dist- Angul , Odisha ")</f>
        <v>Khamar , Dist- Angul , Odisha </v>
      </c>
      <c r="L128" s="22" t="str">
        <f>IFERROR(__xludf.DUMMYFUNCTION("""COMPUTED_VALUE"""),"https://drive.google.com/open?id=17ExJneL3SUtqC9Qf7axOqaajenbgeByB")</f>
        <v>https://drive.google.com/open?id=17ExJneL3SUtqC9Qf7axOqaajenbgeByB</v>
      </c>
      <c r="M128" s="22" t="str">
        <f>IFERROR(__xludf.DUMMYFUNCTION("""COMPUTED_VALUE"""),"https://drive.google.com/open?id=10CRwIMWLrQ1rlIWdSN3Q5Rc9IDxk7hD_")</f>
        <v>https://drive.google.com/open?id=10CRwIMWLrQ1rlIWdSN3Q5Rc9IDxk7hD_</v>
      </c>
      <c r="N128" s="21" t="str">
        <f>IFERROR(__xludf.DUMMYFUNCTION("""COMPUTED_VALUE"""),"Jayadeb Biswal")</f>
        <v>Jayadeb Biswal</v>
      </c>
      <c r="O128" s="21" t="str">
        <f>IFERROR(__xludf.DUMMYFUNCTION("""COMPUTED_VALUE"""),"Lecture in Physics ")</f>
        <v>Lecture in Physics </v>
      </c>
      <c r="P128" s="21" t="str">
        <f>IFERROR(__xludf.DUMMYFUNCTION("""COMPUTED_VALUE"""),"Khamar ,Dist -Angul ,Odisha ")</f>
        <v>Khamar ,Dist -Angul ,Odisha </v>
      </c>
      <c r="Q128" s="21">
        <f>IFERROR(__xludf.DUMMYFUNCTION("""COMPUTED_VALUE"""),6.370124355E9)</f>
        <v>6370124355</v>
      </c>
      <c r="R128" s="21" t="str">
        <f>IFERROR(__xludf.DUMMYFUNCTION("""COMPUTED_VALUE"""),"Geetanjali Pradhan")</f>
        <v>Geetanjali Pradhan</v>
      </c>
      <c r="S128" s="21" t="str">
        <f>IFERROR(__xludf.DUMMYFUNCTION("""COMPUTED_VALUE"""),"Teacher ")</f>
        <v>Teacher </v>
      </c>
      <c r="T128" s="21" t="str">
        <f>IFERROR(__xludf.DUMMYFUNCTION("""COMPUTED_VALUE"""),"Khamar ,Dist -Angul ,Odisha")</f>
        <v>Khamar ,Dist -Angul ,Odisha</v>
      </c>
      <c r="U128" s="21">
        <f>IFERROR(__xludf.DUMMYFUNCTION("""COMPUTED_VALUE"""),6.372837323E9)</f>
        <v>6372837323</v>
      </c>
      <c r="V128" s="21">
        <f>IFERROR(__xludf.DUMMYFUNCTION("""COMPUTED_VALUE"""),2.0)</f>
        <v>2</v>
      </c>
      <c r="W128" s="21" t="str">
        <f>IFERROR(__xludf.DUMMYFUNCTION("""COMPUTED_VALUE"""),"Jayadeb Biswal ")</f>
        <v>Jayadeb Biswal </v>
      </c>
      <c r="X128" s="21" t="str">
        <f>IFERROR(__xludf.DUMMYFUNCTION("""COMPUTED_VALUE"""),"Father")</f>
        <v>Father</v>
      </c>
      <c r="Y128" s="21" t="str">
        <f>IFERROR(__xludf.DUMMYFUNCTION("""COMPUTED_VALUE"""),"Geetanjali Pradhan ")</f>
        <v>Geetanjali Pradhan </v>
      </c>
      <c r="Z128" s="21" t="str">
        <f>IFERROR(__xludf.DUMMYFUNCTION("""COMPUTED_VALUE"""),"Mother")</f>
        <v>Mother</v>
      </c>
      <c r="AA128" s="21" t="str">
        <f>IFERROR(__xludf.DUMMYFUNCTION("""COMPUTED_VALUE"""),"Veg")</f>
        <v>Veg</v>
      </c>
      <c r="AB128" s="21" t="str">
        <f>IFERROR(__xludf.DUMMYFUNCTION("""COMPUTED_VALUE"""),"Veg")</f>
        <v>Veg</v>
      </c>
      <c r="AC128" s="21" t="str">
        <f>IFERROR(__xludf.DUMMYFUNCTION("""COMPUTED_VALUE"""),"Veg")</f>
        <v>Veg</v>
      </c>
      <c r="AD128" s="21" t="str">
        <f>IFERROR(__xludf.DUMMYFUNCTION("""COMPUTED_VALUE"""),"Bus Drop Service not needed")</f>
        <v>Bus Drop Service not needed</v>
      </c>
      <c r="AE128" s="21"/>
    </row>
    <row r="129" ht="22.5" customHeight="1">
      <c r="A129" s="18">
        <f>IFERROR(__xludf.DUMMYFUNCTION("""COMPUTED_VALUE"""),46261.65007753472)</f>
        <v>46261.65008</v>
      </c>
      <c r="B129" s="21" t="str">
        <f>IFERROR(__xludf.DUMMYFUNCTION("""COMPUTED_VALUE"""),"nabanita.bscnursing-2021@aiimskalyani.edu.in")</f>
        <v>nabanita.bscnursing-2021@aiimskalyani.edu.in</v>
      </c>
      <c r="C129" s="21" t="str">
        <f>IFERROR(__xludf.DUMMYFUNCTION("""COMPUTED_VALUE"""),"NABANITA DE")</f>
        <v>NABANITA DE</v>
      </c>
      <c r="D129" s="21">
        <f>IFERROR(__xludf.DUMMYFUNCTION("""COMPUTED_VALUE"""),2.0210259E7)</f>
        <v>20210259</v>
      </c>
      <c r="E129" s="21" t="str">
        <f>IFERROR(__xludf.DUMMYFUNCTION("""COMPUTED_VALUE"""),"B.Sc (Hons) Nursing 2021")</f>
        <v>B.Sc (Hons) Nursing 2021</v>
      </c>
      <c r="F129" s="21">
        <f>IFERROR(__xludf.DUMMYFUNCTION("""COMPUTED_VALUE"""),9.16311452E9)</f>
        <v>9163114520</v>
      </c>
      <c r="G129" s="21" t="str">
        <f>IFERROR(__xludf.DUMMYFUNCTION("""COMPUTED_VALUE"""),"denabanita2020@gmail.com")</f>
        <v>denabanita2020@gmail.com</v>
      </c>
      <c r="H129" s="21" t="str">
        <f>IFERROR(__xludf.DUMMYFUNCTION("""COMPUTED_VALUE"""),"Yes")</f>
        <v>Yes</v>
      </c>
      <c r="I129" s="21" t="str">
        <f>IFERROR(__xludf.DUMMYFUNCTION("""COMPUTED_VALUE"""),"Singing")</f>
        <v>Singing</v>
      </c>
      <c r="J129" s="21" t="str">
        <f>IFERROR(__xludf.DUMMYFUNCTION("""COMPUTED_VALUE"""),"Chess")</f>
        <v>Chess</v>
      </c>
      <c r="K129" s="21" t="str">
        <f>IFERROR(__xludf.DUMMYFUNCTION("""COMPUTED_VALUE"""),"DumDum west bengal ")</f>
        <v>DumDum west bengal </v>
      </c>
      <c r="L129" s="22" t="str">
        <f>IFERROR(__xludf.DUMMYFUNCTION("""COMPUTED_VALUE"""),"https://drive.google.com/open?id=1PfkJCRRfe6_PizYazTm6-jWa8yEryYt8")</f>
        <v>https://drive.google.com/open?id=1PfkJCRRfe6_PizYazTm6-jWa8yEryYt8</v>
      </c>
      <c r="M129" s="22" t="str">
        <f>IFERROR(__xludf.DUMMYFUNCTION("""COMPUTED_VALUE"""),"https://drive.google.com/open?id=1z0m__2Kf-p6DA6y2VeswitaQCVWSvvAf")</f>
        <v>https://drive.google.com/open?id=1z0m__2Kf-p6DA6y2VeswitaQCVWSvvAf</v>
      </c>
      <c r="N129" s="21" t="str">
        <f>IFERROR(__xludf.DUMMYFUNCTION("""COMPUTED_VALUE"""),"Nirapada De ")</f>
        <v>Nirapada De </v>
      </c>
      <c r="O129" s="21" t="str">
        <f>IFERROR(__xludf.DUMMYFUNCTION("""COMPUTED_VALUE"""),"Retired Teacher")</f>
        <v>Retired Teacher</v>
      </c>
      <c r="P129" s="21" t="str">
        <f>IFERROR(__xludf.DUMMYFUNCTION("""COMPUTED_VALUE"""),"DumDum west bengal ")</f>
        <v>DumDum west bengal </v>
      </c>
      <c r="Q129" s="21">
        <f>IFERROR(__xludf.DUMMYFUNCTION("""COMPUTED_VALUE"""),9.143568373E9)</f>
        <v>9143568373</v>
      </c>
      <c r="R129" s="21" t="str">
        <f>IFERROR(__xludf.DUMMYFUNCTION("""COMPUTED_VALUE"""),"Sulekha De")</f>
        <v>Sulekha De</v>
      </c>
      <c r="S129" s="21" t="str">
        <f>IFERROR(__xludf.DUMMYFUNCTION("""COMPUTED_VALUE"""),"Teacher")</f>
        <v>Teacher</v>
      </c>
      <c r="T129" s="21" t="str">
        <f>IFERROR(__xludf.DUMMYFUNCTION("""COMPUTED_VALUE"""),"DumDum west bengal ")</f>
        <v>DumDum west bengal </v>
      </c>
      <c r="U129" s="21">
        <f>IFERROR(__xludf.DUMMYFUNCTION("""COMPUTED_VALUE"""),9.836581215E9)</f>
        <v>9836581215</v>
      </c>
      <c r="V129" s="21">
        <f>IFERROR(__xludf.DUMMYFUNCTION("""COMPUTED_VALUE"""),2.0)</f>
        <v>2</v>
      </c>
      <c r="W129" s="21" t="str">
        <f>IFERROR(__xludf.DUMMYFUNCTION("""COMPUTED_VALUE"""),"Nirapada De ")</f>
        <v>Nirapada De </v>
      </c>
      <c r="X129" s="21" t="str">
        <f>IFERROR(__xludf.DUMMYFUNCTION("""COMPUTED_VALUE"""),"Father ")</f>
        <v>Father </v>
      </c>
      <c r="Y129" s="21" t="str">
        <f>IFERROR(__xludf.DUMMYFUNCTION("""COMPUTED_VALUE"""),"Sulekha De ")</f>
        <v>Sulekha De </v>
      </c>
      <c r="Z129" s="21" t="str">
        <f>IFERROR(__xludf.DUMMYFUNCTION("""COMPUTED_VALUE"""),"Mother")</f>
        <v>Mother</v>
      </c>
      <c r="AA129" s="21" t="str">
        <f>IFERROR(__xludf.DUMMYFUNCTION("""COMPUTED_VALUE"""),"Non-Veg")</f>
        <v>Non-Veg</v>
      </c>
      <c r="AB129" s="21" t="str">
        <f>IFERROR(__xludf.DUMMYFUNCTION("""COMPUTED_VALUE"""),"Non-Veg")</f>
        <v>Non-Veg</v>
      </c>
      <c r="AC129" s="21" t="str">
        <f>IFERROR(__xludf.DUMMYFUNCTION("""COMPUTED_VALUE"""),"Non-Veg")</f>
        <v>Non-Veg</v>
      </c>
      <c r="AD129" s="21" t="str">
        <f>IFERROR(__xludf.DUMMYFUNCTION("""COMPUTED_VALUE"""),"Drop at Kolkata Airport")</f>
        <v>Drop at Kolkata Airport</v>
      </c>
      <c r="AE129" s="21">
        <f>IFERROR(__xludf.DUMMYFUNCTION("""COMPUTED_VALUE"""),3.0)</f>
        <v>3</v>
      </c>
    </row>
    <row r="130" ht="22.5" customHeight="1">
      <c r="A130" s="18">
        <f>IFERROR(__xludf.DUMMYFUNCTION("""COMPUTED_VALUE"""),46261.53005865741)</f>
        <v>46261.53006</v>
      </c>
      <c r="B130" s="21" t="str">
        <f>IFERROR(__xludf.DUMMYFUNCTION("""COMPUTED_VALUE"""),"mukherjeeadrita8@gmail.com")</f>
        <v>mukherjeeadrita8@gmail.com</v>
      </c>
      <c r="C130" s="21" t="str">
        <f>IFERROR(__xludf.DUMMYFUNCTION("""COMPUTED_VALUE"""),"ADRITA MUKHERJEE ")</f>
        <v>ADRITA MUKHERJEE </v>
      </c>
      <c r="D130" s="21">
        <f>IFERROR(__xludf.DUMMYFUNCTION("""COMPUTED_VALUE"""),2.0210202E7)</f>
        <v>20210202</v>
      </c>
      <c r="E130" s="21" t="str">
        <f>IFERROR(__xludf.DUMMYFUNCTION("""COMPUTED_VALUE"""),"B.Sc (Hons) Nursing 2021")</f>
        <v>B.Sc (Hons) Nursing 2021</v>
      </c>
      <c r="F130" s="21">
        <f>IFERROR(__xludf.DUMMYFUNCTION("""COMPUTED_VALUE"""),9.382419184E9)</f>
        <v>9382419184</v>
      </c>
      <c r="G130" s="21" t="str">
        <f>IFERROR(__xludf.DUMMYFUNCTION("""COMPUTED_VALUE"""),"mukherjeeadrita8@gmail.com")</f>
        <v>mukherjeeadrita8@gmail.com</v>
      </c>
      <c r="H130" s="21" t="str">
        <f>IFERROR(__xludf.DUMMYFUNCTION("""COMPUTED_VALUE"""),"Yes")</f>
        <v>Yes</v>
      </c>
      <c r="I130" s="21" t="str">
        <f>IFERROR(__xludf.DUMMYFUNCTION("""COMPUTED_VALUE"""),"Drawing ")</f>
        <v>Drawing </v>
      </c>
      <c r="J130" s="21" t="str">
        <f>IFERROR(__xludf.DUMMYFUNCTION("""COMPUTED_VALUE"""),"NIL")</f>
        <v>NIL</v>
      </c>
      <c r="K130" s="21" t="str">
        <f>IFERROR(__xludf.DUMMYFUNCTION("""COMPUTED_VALUE"""),"MIDNAPORE ")</f>
        <v>MIDNAPORE </v>
      </c>
      <c r="L130" s="22" t="str">
        <f>IFERROR(__xludf.DUMMYFUNCTION("""COMPUTED_VALUE"""),"https://drive.google.com/open?id=1oMT5M4kV0RkssJ0_QzythLc9C0HuyymA")</f>
        <v>https://drive.google.com/open?id=1oMT5M4kV0RkssJ0_QzythLc9C0HuyymA</v>
      </c>
      <c r="M130" s="22" t="str">
        <f>IFERROR(__xludf.DUMMYFUNCTION("""COMPUTED_VALUE"""),"https://drive.google.com/open?id=1g5LOAHxF_ScybXMcwE2e_uMicFRl2JzV")</f>
        <v>https://drive.google.com/open?id=1g5LOAHxF_ScybXMcwE2e_uMicFRl2JzV</v>
      </c>
      <c r="N130" s="21" t="str">
        <f>IFERROR(__xludf.DUMMYFUNCTION("""COMPUTED_VALUE"""),"ANIRBAN MUKHERJEE ")</f>
        <v>ANIRBAN MUKHERJEE </v>
      </c>
      <c r="O130" s="21" t="str">
        <f>IFERROR(__xludf.DUMMYFUNCTION("""COMPUTED_VALUE"""),"SENIOR Technician Incharge signal department Railway employee kgp junction ")</f>
        <v>SENIOR Technician Incharge signal department Railway employee kgp junction </v>
      </c>
      <c r="P130" s="21" t="str">
        <f>IFERROR(__xludf.DUMMYFUNCTION("""COMPUTED_VALUE"""),"MIDNAPORE ")</f>
        <v>MIDNAPORE </v>
      </c>
      <c r="Q130" s="21">
        <f>IFERROR(__xludf.DUMMYFUNCTION("""COMPUTED_VALUE"""),7.595081828E9)</f>
        <v>7595081828</v>
      </c>
      <c r="R130" s="21" t="str">
        <f>IFERROR(__xludf.DUMMYFUNCTION("""COMPUTED_VALUE"""),"MAHUA MUKHERJEE ")</f>
        <v>MAHUA MUKHERJEE </v>
      </c>
      <c r="S130" s="21" t="str">
        <f>IFERROR(__xludf.DUMMYFUNCTION("""COMPUTED_VALUE"""),"Housewife ")</f>
        <v>Housewife </v>
      </c>
      <c r="T130" s="21" t="str">
        <f>IFERROR(__xludf.DUMMYFUNCTION("""COMPUTED_VALUE"""),"MIDNAPORE ")</f>
        <v>MIDNAPORE </v>
      </c>
      <c r="U130" s="21">
        <f>IFERROR(__xludf.DUMMYFUNCTION("""COMPUTED_VALUE"""),9.434139015E9)</f>
        <v>9434139015</v>
      </c>
      <c r="V130" s="21">
        <f>IFERROR(__xludf.DUMMYFUNCTION("""COMPUTED_VALUE"""),2.0)</f>
        <v>2</v>
      </c>
      <c r="W130" s="21" t="str">
        <f>IFERROR(__xludf.DUMMYFUNCTION("""COMPUTED_VALUE"""),"ANIRBAN MUKHERJEE ")</f>
        <v>ANIRBAN MUKHERJEE </v>
      </c>
      <c r="X130" s="21" t="str">
        <f>IFERROR(__xludf.DUMMYFUNCTION("""COMPUTED_VALUE"""),"Father ")</f>
        <v>Father </v>
      </c>
      <c r="Y130" s="21" t="str">
        <f>IFERROR(__xludf.DUMMYFUNCTION("""COMPUTED_VALUE"""),"MAHUA MUKHERJEE ")</f>
        <v>MAHUA MUKHERJEE </v>
      </c>
      <c r="Z130" s="21" t="str">
        <f>IFERROR(__xludf.DUMMYFUNCTION("""COMPUTED_VALUE"""),"Mother")</f>
        <v>Mother</v>
      </c>
      <c r="AA130" s="21" t="str">
        <f>IFERROR(__xludf.DUMMYFUNCTION("""COMPUTED_VALUE"""),"Non-Veg")</f>
        <v>Non-Veg</v>
      </c>
      <c r="AB130" s="21" t="str">
        <f>IFERROR(__xludf.DUMMYFUNCTION("""COMPUTED_VALUE"""),"Veg")</f>
        <v>Veg</v>
      </c>
      <c r="AC130" s="21" t="str">
        <f>IFERROR(__xludf.DUMMYFUNCTION("""COMPUTED_VALUE"""),"Non-Veg")</f>
        <v>Non-Veg</v>
      </c>
      <c r="AD130" s="21" t="str">
        <f>IFERROR(__xludf.DUMMYFUNCTION("""COMPUTED_VALUE"""),"Bus Drop Service not needed")</f>
        <v>Bus Drop Service not needed</v>
      </c>
      <c r="AE130" s="21">
        <f>IFERROR(__xludf.DUMMYFUNCTION("""COMPUTED_VALUE"""),0.0)</f>
        <v>0</v>
      </c>
    </row>
    <row r="131" ht="22.5" customHeight="1">
      <c r="A131" s="18">
        <f>IFERROR(__xludf.DUMMYFUNCTION("""COMPUTED_VALUE"""),46261.47949528936)</f>
        <v>46261.4795</v>
      </c>
      <c r="B131" s="21" t="str">
        <f>IFERROR(__xludf.DUMMYFUNCTION("""COMPUTED_VALUE"""),"krishnendu.mbbs-2020@aiimskalyani.edu.in")</f>
        <v>krishnendu.mbbs-2020@aiimskalyani.edu.in</v>
      </c>
      <c r="C131" s="21" t="str">
        <f>IFERROR(__xludf.DUMMYFUNCTION("""COMPUTED_VALUE"""),"Krishnendu Mondal ")</f>
        <v>Krishnendu Mondal </v>
      </c>
      <c r="D131" s="21">
        <f>IFERROR(__xludf.DUMMYFUNCTION("""COMPUTED_VALUE"""),2.02001109E8)</f>
        <v>202001109</v>
      </c>
      <c r="E131" s="21" t="str">
        <f>IFERROR(__xludf.DUMMYFUNCTION("""COMPUTED_VALUE"""),"MBBS 2020")</f>
        <v>MBBS 2020</v>
      </c>
      <c r="F131" s="21">
        <f>IFERROR(__xludf.DUMMYFUNCTION("""COMPUTED_VALUE"""),6.294794461E9)</f>
        <v>6294794461</v>
      </c>
      <c r="G131" s="21" t="str">
        <f>IFERROR(__xludf.DUMMYFUNCTION("""COMPUTED_VALUE"""),"mondalkrish958@gmail.com")</f>
        <v>mondalkrish958@gmail.com</v>
      </c>
      <c r="H131" s="21" t="str">
        <f>IFERROR(__xludf.DUMMYFUNCTION("""COMPUTED_VALUE"""),"Yes")</f>
        <v>Yes</v>
      </c>
      <c r="I131" s="21" t="str">
        <f>IFERROR(__xludf.DUMMYFUNCTION("""COMPUTED_VALUE"""),"My favourite hobby is photography. I enjoy capturing beautiful moments, interesting places, and everyday scenes through my camera. Photography allows me to observe the world more carefully and express my creativity. It gives me a sense of relaxation and s"&amp;"atisfaction, especially when I capture a picture exactly the way I imagined it.")</f>
        <v>My favourite hobby is photography. I enjoy capturing beautiful moments, interesting places, and everyday scenes through my camera. Photography allows me to observe the world more carefully and express my creativity. It gives me a sense of relaxation and satisfaction, especially when I capture a picture exactly the way I imagined it.</v>
      </c>
      <c r="J131" s="21"/>
      <c r="K131" s="21" t="str">
        <f>IFERROR(__xludf.DUMMYFUNCTION("""COMPUTED_VALUE"""),"Bardhaman ")</f>
        <v>Bardhaman </v>
      </c>
      <c r="L131" s="22" t="str">
        <f>IFERROR(__xludf.DUMMYFUNCTION("""COMPUTED_VALUE"""),"https://drive.google.com/open?id=1GIGpB-tlDRzkPCSVeWaPPwsNnFMrCLdR")</f>
        <v>https://drive.google.com/open?id=1GIGpB-tlDRzkPCSVeWaPPwsNnFMrCLdR</v>
      </c>
      <c r="M131" s="22" t="str">
        <f>IFERROR(__xludf.DUMMYFUNCTION("""COMPUTED_VALUE"""),"https://drive.google.com/open?id=1EGPEv54gplcZHH1Y3Nr8DfNpueu5PTVN")</f>
        <v>https://drive.google.com/open?id=1EGPEv54gplcZHH1Y3Nr8DfNpueu5PTVN</v>
      </c>
      <c r="N131" s="21" t="str">
        <f>IFERROR(__xludf.DUMMYFUNCTION("""COMPUTED_VALUE"""),"Raghupati Mondal")</f>
        <v>Raghupati Mondal</v>
      </c>
      <c r="O131" s="21" t="str">
        <f>IFERROR(__xludf.DUMMYFUNCTION("""COMPUTED_VALUE"""),"Teacher")</f>
        <v>Teacher</v>
      </c>
      <c r="P131" s="21" t="str">
        <f>IFERROR(__xludf.DUMMYFUNCTION("""COMPUTED_VALUE"""),"Bardhaman")</f>
        <v>Bardhaman</v>
      </c>
      <c r="Q131" s="21">
        <f>IFERROR(__xludf.DUMMYFUNCTION("""COMPUTED_VALUE"""),9.732084464E9)</f>
        <v>9732084464</v>
      </c>
      <c r="R131" s="21" t="str">
        <f>IFERROR(__xludf.DUMMYFUNCTION("""COMPUTED_VALUE"""),"Susmita Mondal")</f>
        <v>Susmita Mondal</v>
      </c>
      <c r="S131" s="21" t="str">
        <f>IFERROR(__xludf.DUMMYFUNCTION("""COMPUTED_VALUE"""),"Home Maker")</f>
        <v>Home Maker</v>
      </c>
      <c r="T131" s="21" t="str">
        <f>IFERROR(__xludf.DUMMYFUNCTION("""COMPUTED_VALUE"""),"Bardhaman")</f>
        <v>Bardhaman</v>
      </c>
      <c r="U131" s="21">
        <f>IFERROR(__xludf.DUMMYFUNCTION("""COMPUTED_VALUE"""),8.001666664E9)</f>
        <v>8001666664</v>
      </c>
      <c r="V131" s="21">
        <f>IFERROR(__xludf.DUMMYFUNCTION("""COMPUTED_VALUE"""),2.0)</f>
        <v>2</v>
      </c>
      <c r="W131" s="21" t="str">
        <f>IFERROR(__xludf.DUMMYFUNCTION("""COMPUTED_VALUE"""),"Raghupati Mondal")</f>
        <v>Raghupati Mondal</v>
      </c>
      <c r="X131" s="21" t="str">
        <f>IFERROR(__xludf.DUMMYFUNCTION("""COMPUTED_VALUE"""),"Father")</f>
        <v>Father</v>
      </c>
      <c r="Y131" s="21" t="str">
        <f>IFERROR(__xludf.DUMMYFUNCTION("""COMPUTED_VALUE"""),"Susmita Mondal")</f>
        <v>Susmita Mondal</v>
      </c>
      <c r="Z131" s="21" t="str">
        <f>IFERROR(__xludf.DUMMYFUNCTION("""COMPUTED_VALUE"""),"Mother")</f>
        <v>Mother</v>
      </c>
      <c r="AA131" s="21" t="str">
        <f>IFERROR(__xludf.DUMMYFUNCTION("""COMPUTED_VALUE"""),"Non-Veg")</f>
        <v>Non-Veg</v>
      </c>
      <c r="AB131" s="21" t="str">
        <f>IFERROR(__xludf.DUMMYFUNCTION("""COMPUTED_VALUE"""),"Non-Veg")</f>
        <v>Non-Veg</v>
      </c>
      <c r="AC131" s="21" t="str">
        <f>IFERROR(__xludf.DUMMYFUNCTION("""COMPUTED_VALUE"""),"Non-Veg")</f>
        <v>Non-Veg</v>
      </c>
      <c r="AD131" s="21" t="str">
        <f>IFERROR(__xludf.DUMMYFUNCTION("""COMPUTED_VALUE"""),"Bus Drop Service not needed")</f>
        <v>Bus Drop Service not needed</v>
      </c>
      <c r="AE131" s="21">
        <f>IFERROR(__xludf.DUMMYFUNCTION("""COMPUTED_VALUE"""),0.0)</f>
        <v>0</v>
      </c>
    </row>
    <row r="132" ht="22.5" customHeight="1">
      <c r="A132" s="18">
        <f>IFERROR(__xludf.DUMMYFUNCTION("""COMPUTED_VALUE"""),46261.46549931713)</f>
        <v>46261.4655</v>
      </c>
      <c r="B132" s="21" t="str">
        <f>IFERROR(__xludf.DUMMYFUNCTION("""COMPUTED_VALUE"""),"kritirani09@gmail.com")</f>
        <v>kritirani09@gmail.com</v>
      </c>
      <c r="C132" s="21" t="str">
        <f>IFERROR(__xludf.DUMMYFUNCTION("""COMPUTED_VALUE"""),"KRITI RANI")</f>
        <v>KRITI RANI</v>
      </c>
      <c r="D132" s="21">
        <f>IFERROR(__xludf.DUMMYFUNCTION("""COMPUTED_VALUE"""),2.0210218E7)</f>
        <v>20210218</v>
      </c>
      <c r="E132" s="21" t="str">
        <f>IFERROR(__xludf.DUMMYFUNCTION("""COMPUTED_VALUE"""),"B.Sc (Hons) Nursing 2021")</f>
        <v>B.Sc (Hons) Nursing 2021</v>
      </c>
      <c r="F132" s="21">
        <f>IFERROR(__xludf.DUMMYFUNCTION("""COMPUTED_VALUE"""),8.017475967E9)</f>
        <v>8017475967</v>
      </c>
      <c r="G132" s="21" t="str">
        <f>IFERROR(__xludf.DUMMYFUNCTION("""COMPUTED_VALUE"""),"kritirani09@gmail.com")</f>
        <v>kritirani09@gmail.com</v>
      </c>
      <c r="H132" s="21" t="str">
        <f>IFERROR(__xludf.DUMMYFUNCTION("""COMPUTED_VALUE"""),"Yes")</f>
        <v>Yes</v>
      </c>
      <c r="I132" s="21" t="str">
        <f>IFERROR(__xludf.DUMMYFUNCTION("""COMPUTED_VALUE"""),"Reading, singing")</f>
        <v>Reading, singing</v>
      </c>
      <c r="J132" s="21"/>
      <c r="K132" s="21" t="str">
        <f>IFERROR(__xludf.DUMMYFUNCTION("""COMPUTED_VALUE"""),"Patna, Kolkata ")</f>
        <v>Patna, Kolkata </v>
      </c>
      <c r="L132" s="22" t="str">
        <f>IFERROR(__xludf.DUMMYFUNCTION("""COMPUTED_VALUE"""),"https://drive.google.com/open?id=1EQsc_fYLaTRd_kbeacLyeEIpYs-q_N7E")</f>
        <v>https://drive.google.com/open?id=1EQsc_fYLaTRd_kbeacLyeEIpYs-q_N7E</v>
      </c>
      <c r="M132" s="22" t="str">
        <f>IFERROR(__xludf.DUMMYFUNCTION("""COMPUTED_VALUE"""),"https://drive.google.com/open?id=1t7sh8VESGNONWELAVzkctbPURibtLjDj")</f>
        <v>https://drive.google.com/open?id=1t7sh8VESGNONWELAVzkctbPURibtLjDj</v>
      </c>
      <c r="N132" s="21" t="str">
        <f>IFERROR(__xludf.DUMMYFUNCTION("""COMPUTED_VALUE"""),"Om Prakash Sinha ")</f>
        <v>Om Prakash Sinha </v>
      </c>
      <c r="O132" s="21" t="str">
        <f>IFERROR(__xludf.DUMMYFUNCTION("""COMPUTED_VALUE"""),"Senior Audit Officer ")</f>
        <v>Senior Audit Officer </v>
      </c>
      <c r="P132" s="21" t="str">
        <f>IFERROR(__xludf.DUMMYFUNCTION("""COMPUTED_VALUE"""),"Kolkata ")</f>
        <v>Kolkata </v>
      </c>
      <c r="Q132" s="21">
        <f>IFERROR(__xludf.DUMMYFUNCTION("""COMPUTED_VALUE"""),9.339610211E9)</f>
        <v>9339610211</v>
      </c>
      <c r="R132" s="21" t="str">
        <f>IFERROR(__xludf.DUMMYFUNCTION("""COMPUTED_VALUE"""),"Sujeeti Devi")</f>
        <v>Sujeeti Devi</v>
      </c>
      <c r="S132" s="21" t="str">
        <f>IFERROR(__xludf.DUMMYFUNCTION("""COMPUTED_VALUE"""),"Homemaker ")</f>
        <v>Homemaker </v>
      </c>
      <c r="T132" s="21" t="str">
        <f>IFERROR(__xludf.DUMMYFUNCTION("""COMPUTED_VALUE"""),"Kolkata")</f>
        <v>Kolkata</v>
      </c>
      <c r="U132" s="21">
        <f>IFERROR(__xludf.DUMMYFUNCTION("""COMPUTED_VALUE"""),9.339980074E9)</f>
        <v>9339980074</v>
      </c>
      <c r="V132" s="21">
        <f>IFERROR(__xludf.DUMMYFUNCTION("""COMPUTED_VALUE"""),2.0)</f>
        <v>2</v>
      </c>
      <c r="W132" s="21" t="str">
        <f>IFERROR(__xludf.DUMMYFUNCTION("""COMPUTED_VALUE"""),"Sujeeti Devi ")</f>
        <v>Sujeeti Devi </v>
      </c>
      <c r="X132" s="21" t="str">
        <f>IFERROR(__xludf.DUMMYFUNCTION("""COMPUTED_VALUE"""),"Mother")</f>
        <v>Mother</v>
      </c>
      <c r="Y132" s="21" t="str">
        <f>IFERROR(__xludf.DUMMYFUNCTION("""COMPUTED_VALUE"""),"Om Prakash Sinha ")</f>
        <v>Om Prakash Sinha </v>
      </c>
      <c r="Z132" s="21" t="str">
        <f>IFERROR(__xludf.DUMMYFUNCTION("""COMPUTED_VALUE"""),"Father")</f>
        <v>Father</v>
      </c>
      <c r="AA132" s="21" t="str">
        <f>IFERROR(__xludf.DUMMYFUNCTION("""COMPUTED_VALUE"""),"Veg")</f>
        <v>Veg</v>
      </c>
      <c r="AB132" s="21" t="str">
        <f>IFERROR(__xludf.DUMMYFUNCTION("""COMPUTED_VALUE"""),"Veg")</f>
        <v>Veg</v>
      </c>
      <c r="AC132" s="21" t="str">
        <f>IFERROR(__xludf.DUMMYFUNCTION("""COMPUTED_VALUE"""),"Non-Veg")</f>
        <v>Non-Veg</v>
      </c>
      <c r="AD132" s="21" t="str">
        <f>IFERROR(__xludf.DUMMYFUNCTION("""COMPUTED_VALUE"""),"Bus Drop Service not needed")</f>
        <v>Bus Drop Service not needed</v>
      </c>
      <c r="AE132" s="21">
        <f>IFERROR(__xludf.DUMMYFUNCTION("""COMPUTED_VALUE"""),0.0)</f>
        <v>0</v>
      </c>
    </row>
    <row r="133" ht="22.5" customHeight="1">
      <c r="A133" s="18">
        <f>IFERROR(__xludf.DUMMYFUNCTION("""COMPUTED_VALUE"""),46260.85055664352)</f>
        <v>46260.85056</v>
      </c>
      <c r="B133" s="21" t="str">
        <f>IFERROR(__xludf.DUMMYFUNCTION("""COMPUTED_VALUE"""),"puspitatitli@gmail.com")</f>
        <v>puspitatitli@gmail.com</v>
      </c>
      <c r="C133" s="21" t="str">
        <f>IFERROR(__xludf.DUMMYFUNCTION("""COMPUTED_VALUE"""),"PUSPITA BISWAS")</f>
        <v>PUSPITA BISWAS</v>
      </c>
      <c r="D133" s="21">
        <f>IFERROR(__xludf.DUMMYFUNCTION("""COMPUTED_VALUE"""),2.0210242E7)</f>
        <v>20210242</v>
      </c>
      <c r="E133" s="21" t="str">
        <f>IFERROR(__xludf.DUMMYFUNCTION("""COMPUTED_VALUE"""),"B.Sc (Hons) Nursing 2021")</f>
        <v>B.Sc (Hons) Nursing 2021</v>
      </c>
      <c r="F133" s="21">
        <f>IFERROR(__xludf.DUMMYFUNCTION("""COMPUTED_VALUE"""),7.001892495E9)</f>
        <v>7001892495</v>
      </c>
      <c r="G133" s="21" t="str">
        <f>IFERROR(__xludf.DUMMYFUNCTION("""COMPUTED_VALUE"""),"puspitatitli@gmail.com")</f>
        <v>puspitatitli@gmail.com</v>
      </c>
      <c r="H133" s="21" t="str">
        <f>IFERROR(__xludf.DUMMYFUNCTION("""COMPUTED_VALUE"""),"Yes")</f>
        <v>Yes</v>
      </c>
      <c r="I133" s="21" t="str">
        <f>IFERROR(__xludf.DUMMYFUNCTION("""COMPUTED_VALUE"""),"Listening to music and singing")</f>
        <v>Listening to music and singing</v>
      </c>
      <c r="J133" s="21" t="str">
        <f>IFERROR(__xludf.DUMMYFUNCTION("""COMPUTED_VALUE"""),"2nd position in Inter College Quiz Competition in LIMBUS, 2024 
2nd position in Quiz competition in annual interhouse competition, 2024
")</f>
        <v>2nd position in Inter College Quiz Competition in LIMBUS, 2024 
2nd position in Quiz competition in annual interhouse competition, 2024
</v>
      </c>
      <c r="K133" s="21" t="str">
        <f>IFERROR(__xludf.DUMMYFUNCTION("""COMPUTED_VALUE"""),"Adra, Purulia, West Bengal")</f>
        <v>Adra, Purulia, West Bengal</v>
      </c>
      <c r="L133" s="22" t="str">
        <f>IFERROR(__xludf.DUMMYFUNCTION("""COMPUTED_VALUE"""),"https://drive.google.com/open?id=12BNG6P5xXWi32CK6CXgPf4UawJfUZFmi")</f>
        <v>https://drive.google.com/open?id=12BNG6P5xXWi32CK6CXgPf4UawJfUZFmi</v>
      </c>
      <c r="M133" s="22" t="str">
        <f>IFERROR(__xludf.DUMMYFUNCTION("""COMPUTED_VALUE"""),"https://drive.google.com/open?id=1YVDOVy1dIyuZ3_6xtT8zIma4Kr9-z6Ab")</f>
        <v>https://drive.google.com/open?id=1YVDOVy1dIyuZ3_6xtT8zIma4Kr9-z6Ab</v>
      </c>
      <c r="N133" s="21" t="str">
        <f>IFERROR(__xludf.DUMMYFUNCTION("""COMPUTED_VALUE"""),"PINAKI BISWAS")</f>
        <v>PINAKI BISWAS</v>
      </c>
      <c r="O133" s="21" t="str">
        <f>IFERROR(__xludf.DUMMYFUNCTION("""COMPUTED_VALUE"""),"Assistant Divisional Electrical Engineer (ADEE), South Eastern Railway. ")</f>
        <v>Assistant Divisional Electrical Engineer (ADEE), South Eastern Railway. </v>
      </c>
      <c r="P133" s="21" t="str">
        <f>IFERROR(__xludf.DUMMYFUNCTION("""COMPUTED_VALUE"""),"Jamshedpur, Jharkhand")</f>
        <v>Jamshedpur, Jharkhand</v>
      </c>
      <c r="Q133" s="21">
        <f>IFERROR(__xludf.DUMMYFUNCTION("""COMPUTED_VALUE"""),8.967152595E9)</f>
        <v>8967152595</v>
      </c>
      <c r="R133" s="21" t="str">
        <f>IFERROR(__xludf.DUMMYFUNCTION("""COMPUTED_VALUE"""),"KAKALI BISWAS")</f>
        <v>KAKALI BISWAS</v>
      </c>
      <c r="S133" s="21" t="str">
        <f>IFERROR(__xludf.DUMMYFUNCTION("""COMPUTED_VALUE"""),"Homemaker")</f>
        <v>Homemaker</v>
      </c>
      <c r="T133" s="21" t="str">
        <f>IFERROR(__xludf.DUMMYFUNCTION("""COMPUTED_VALUE"""),"Jamshedpur, Jharkhand")</f>
        <v>Jamshedpur, Jharkhand</v>
      </c>
      <c r="U133" s="21">
        <f>IFERROR(__xludf.DUMMYFUNCTION("""COMPUTED_VALUE"""),7.001663505E9)</f>
        <v>7001663505</v>
      </c>
      <c r="V133" s="21">
        <f>IFERROR(__xludf.DUMMYFUNCTION("""COMPUTED_VALUE"""),2.0)</f>
        <v>2</v>
      </c>
      <c r="W133" s="21" t="str">
        <f>IFERROR(__xludf.DUMMYFUNCTION("""COMPUTED_VALUE"""),"KAKALI BISWAS")</f>
        <v>KAKALI BISWAS</v>
      </c>
      <c r="X133" s="21" t="str">
        <f>IFERROR(__xludf.DUMMYFUNCTION("""COMPUTED_VALUE"""),"Mother")</f>
        <v>Mother</v>
      </c>
      <c r="Y133" s="21" t="str">
        <f>IFERROR(__xludf.DUMMYFUNCTION("""COMPUTED_VALUE"""),"PINAKI BISWAS")</f>
        <v>PINAKI BISWAS</v>
      </c>
      <c r="Z133" s="21" t="str">
        <f>IFERROR(__xludf.DUMMYFUNCTION("""COMPUTED_VALUE"""),"Father")</f>
        <v>Father</v>
      </c>
      <c r="AA133" s="21" t="str">
        <f>IFERROR(__xludf.DUMMYFUNCTION("""COMPUTED_VALUE"""),"Non-Veg")</f>
        <v>Non-Veg</v>
      </c>
      <c r="AB133" s="21" t="str">
        <f>IFERROR(__xludf.DUMMYFUNCTION("""COMPUTED_VALUE"""),"Non-Veg")</f>
        <v>Non-Veg</v>
      </c>
      <c r="AC133" s="21" t="str">
        <f>IFERROR(__xludf.DUMMYFUNCTION("""COMPUTED_VALUE"""),"Non-Veg")</f>
        <v>Non-Veg</v>
      </c>
      <c r="AD133" s="21" t="str">
        <f>IFERROR(__xludf.DUMMYFUNCTION("""COMPUTED_VALUE"""),"Drop at Kalyani Railway Station")</f>
        <v>Drop at Kalyani Railway Station</v>
      </c>
      <c r="AE133" s="21">
        <f>IFERROR(__xludf.DUMMYFUNCTION("""COMPUTED_VALUE"""),3.0)</f>
        <v>3</v>
      </c>
    </row>
    <row r="134" ht="22.5" customHeight="1">
      <c r="A134" s="18">
        <f>IFERROR(__xludf.DUMMYFUNCTION("""COMPUTED_VALUE"""),46260.83502195602)</f>
        <v>46260.83502</v>
      </c>
      <c r="B134" s="21" t="str">
        <f>IFERROR(__xludf.DUMMYFUNCTION("""COMPUTED_VALUE"""),"paromitaghoshal10@gmail.com")</f>
        <v>paromitaghoshal10@gmail.com</v>
      </c>
      <c r="C134" s="21" t="str">
        <f>IFERROR(__xludf.DUMMYFUNCTION("""COMPUTED_VALUE"""),"PAROMITA GHOSHAL ")</f>
        <v>PAROMITA GHOSHAL </v>
      </c>
      <c r="D134" s="21">
        <f>IFERROR(__xludf.DUMMYFUNCTION("""COMPUTED_VALUE"""),2.0210234E7)</f>
        <v>20210234</v>
      </c>
      <c r="E134" s="21" t="str">
        <f>IFERROR(__xludf.DUMMYFUNCTION("""COMPUTED_VALUE"""),"B.Sc (Hons) Nursing 2021")</f>
        <v>B.Sc (Hons) Nursing 2021</v>
      </c>
      <c r="F134" s="21">
        <f>IFERROR(__xludf.DUMMYFUNCTION("""COMPUTED_VALUE"""),6.28970433E9)</f>
        <v>6289704330</v>
      </c>
      <c r="G134" s="21" t="str">
        <f>IFERROR(__xludf.DUMMYFUNCTION("""COMPUTED_VALUE"""),"paromitaghoshal10@gmail.com")</f>
        <v>paromitaghoshal10@gmail.com</v>
      </c>
      <c r="H134" s="21" t="str">
        <f>IFERROR(__xludf.DUMMYFUNCTION("""COMPUTED_VALUE"""),"Yes")</f>
        <v>Yes</v>
      </c>
      <c r="I134" s="21" t="str">
        <f>IFERROR(__xludf.DUMMYFUNCTION("""COMPUTED_VALUE"""),"Listening music")</f>
        <v>Listening music</v>
      </c>
      <c r="J134" s="21" t="str">
        <f>IFERROR(__xludf.DUMMYFUNCTION("""COMPUTED_VALUE"""),"None")</f>
        <v>None</v>
      </c>
      <c r="K134" s="21" t="str">
        <f>IFERROR(__xludf.DUMMYFUNCTION("""COMPUTED_VALUE"""),"Baruipur ")</f>
        <v>Baruipur </v>
      </c>
      <c r="L134" s="22" t="str">
        <f>IFERROR(__xludf.DUMMYFUNCTION("""COMPUTED_VALUE"""),"https://drive.google.com/open?id=1ndP96MZXOCBl_KkpL18Kdf8jW7Rmw5yY")</f>
        <v>https://drive.google.com/open?id=1ndP96MZXOCBl_KkpL18Kdf8jW7Rmw5yY</v>
      </c>
      <c r="M134" s="22" t="str">
        <f>IFERROR(__xludf.DUMMYFUNCTION("""COMPUTED_VALUE"""),"https://drive.google.com/open?id=1Nw6P4AOw8_4vSJ2OdAQZZ2qgMF3T045K")</f>
        <v>https://drive.google.com/open?id=1Nw6P4AOw8_4vSJ2OdAQZZ2qgMF3T045K</v>
      </c>
      <c r="N134" s="21" t="str">
        <f>IFERROR(__xludf.DUMMYFUNCTION("""COMPUTED_VALUE"""),"Prabir Kumar Ghoshal ")</f>
        <v>Prabir Kumar Ghoshal </v>
      </c>
      <c r="O134" s="21" t="str">
        <f>IFERROR(__xludf.DUMMYFUNCTION("""COMPUTED_VALUE"""),"Service ")</f>
        <v>Service </v>
      </c>
      <c r="P134" s="21" t="str">
        <f>IFERROR(__xludf.DUMMYFUNCTION("""COMPUTED_VALUE"""),"Baruipur ")</f>
        <v>Baruipur </v>
      </c>
      <c r="Q134" s="21">
        <f>IFERROR(__xludf.DUMMYFUNCTION("""COMPUTED_VALUE"""),9.836179253E9)</f>
        <v>9836179253</v>
      </c>
      <c r="R134" s="21" t="str">
        <f>IFERROR(__xludf.DUMMYFUNCTION("""COMPUTED_VALUE"""),"Purnima Ghoshal ")</f>
        <v>Purnima Ghoshal </v>
      </c>
      <c r="S134" s="21" t="str">
        <f>IFERROR(__xludf.DUMMYFUNCTION("""COMPUTED_VALUE"""),"Homemaker ")</f>
        <v>Homemaker </v>
      </c>
      <c r="T134" s="21" t="str">
        <f>IFERROR(__xludf.DUMMYFUNCTION("""COMPUTED_VALUE"""),"Baruipur ")</f>
        <v>Baruipur </v>
      </c>
      <c r="U134" s="21">
        <f>IFERROR(__xludf.DUMMYFUNCTION("""COMPUTED_VALUE"""),8.013378159E9)</f>
        <v>8013378159</v>
      </c>
      <c r="V134" s="21">
        <f>IFERROR(__xludf.DUMMYFUNCTION("""COMPUTED_VALUE"""),2.0)</f>
        <v>2</v>
      </c>
      <c r="W134" s="21" t="str">
        <f>IFERROR(__xludf.DUMMYFUNCTION("""COMPUTED_VALUE"""),"Prabir Kumar Ghoshal ")</f>
        <v>Prabir Kumar Ghoshal </v>
      </c>
      <c r="X134" s="21" t="str">
        <f>IFERROR(__xludf.DUMMYFUNCTION("""COMPUTED_VALUE"""),"Father ")</f>
        <v>Father </v>
      </c>
      <c r="Y134" s="21" t="str">
        <f>IFERROR(__xludf.DUMMYFUNCTION("""COMPUTED_VALUE"""),"Purnima Ghoshal ")</f>
        <v>Purnima Ghoshal </v>
      </c>
      <c r="Z134" s="21" t="str">
        <f>IFERROR(__xludf.DUMMYFUNCTION("""COMPUTED_VALUE"""),"Mother ")</f>
        <v>Mother </v>
      </c>
      <c r="AA134" s="21" t="str">
        <f>IFERROR(__xludf.DUMMYFUNCTION("""COMPUTED_VALUE"""),"Non-Veg")</f>
        <v>Non-Veg</v>
      </c>
      <c r="AB134" s="21" t="str">
        <f>IFERROR(__xludf.DUMMYFUNCTION("""COMPUTED_VALUE"""),"Non-Veg")</f>
        <v>Non-Veg</v>
      </c>
      <c r="AC134" s="21" t="str">
        <f>IFERROR(__xludf.DUMMYFUNCTION("""COMPUTED_VALUE"""),"Non-Veg")</f>
        <v>Non-Veg</v>
      </c>
      <c r="AD134" s="21" t="str">
        <f>IFERROR(__xludf.DUMMYFUNCTION("""COMPUTED_VALUE"""),"Bus Drop Service not needed")</f>
        <v>Bus Drop Service not needed</v>
      </c>
      <c r="AE134" s="21"/>
    </row>
    <row r="135" ht="22.5" customHeight="1">
      <c r="A135" s="18">
        <f>IFERROR(__xludf.DUMMYFUNCTION("""COMPUTED_VALUE"""),46260.72056540509)</f>
        <v>46260.72057</v>
      </c>
      <c r="B135" s="21" t="str">
        <f>IFERROR(__xludf.DUMMYFUNCTION("""COMPUTED_VALUE"""),"ananya.mbbs-2020@aiimskalyani.edu.in")</f>
        <v>ananya.mbbs-2020@aiimskalyani.edu.in</v>
      </c>
      <c r="C135" s="21" t="str">
        <f>IFERROR(__xludf.DUMMYFUNCTION("""COMPUTED_VALUE"""),"ANANYA ARYANKITA ")</f>
        <v>ANANYA ARYANKITA </v>
      </c>
      <c r="D135" s="21">
        <f>IFERROR(__xludf.DUMMYFUNCTION("""COMPUTED_VALUE"""),2.0200164E7)</f>
        <v>20200164</v>
      </c>
      <c r="E135" s="21" t="str">
        <f>IFERROR(__xludf.DUMMYFUNCTION("""COMPUTED_VALUE"""),"MBBS 2020")</f>
        <v>MBBS 2020</v>
      </c>
      <c r="F135" s="21">
        <f>IFERROR(__xludf.DUMMYFUNCTION("""COMPUTED_VALUE"""),9.078841355E9)</f>
        <v>9078841355</v>
      </c>
      <c r="G135" s="21" t="str">
        <f>IFERROR(__xludf.DUMMYFUNCTION("""COMPUTED_VALUE"""),"aryankita5@gmail.com")</f>
        <v>aryankita5@gmail.com</v>
      </c>
      <c r="H135" s="21" t="str">
        <f>IFERROR(__xludf.DUMMYFUNCTION("""COMPUTED_VALUE"""),"Yes")</f>
        <v>Yes</v>
      </c>
      <c r="I135" s="21" t="str">
        <f>IFERROR(__xludf.DUMMYFUNCTION("""COMPUTED_VALUE"""),"Reading novels, painting ")</f>
        <v>Reading novels, painting </v>
      </c>
      <c r="J135" s="21" t="str">
        <f>IFERROR(__xludf.DUMMYFUNCTION("""COMPUTED_VALUE"""),"1st position in 1st year MBBS professional exams.
3rd position in 4th year MBBS professional exams.")</f>
        <v>1st position in 1st year MBBS professional exams.
3rd position in 4th year MBBS professional exams.</v>
      </c>
      <c r="K135" s="21" t="str">
        <f>IFERROR(__xludf.DUMMYFUNCTION("""COMPUTED_VALUE"""),"Bhubaneswar ")</f>
        <v>Bhubaneswar </v>
      </c>
      <c r="L135" s="22" t="str">
        <f>IFERROR(__xludf.DUMMYFUNCTION("""COMPUTED_VALUE"""),"https://drive.google.com/open?id=17b6bIqVkWSIkAmF68CQSxQ6jnC29-46V")</f>
        <v>https://drive.google.com/open?id=17b6bIqVkWSIkAmF68CQSxQ6jnC29-46V</v>
      </c>
      <c r="M135" s="22" t="str">
        <f>IFERROR(__xludf.DUMMYFUNCTION("""COMPUTED_VALUE"""),"https://drive.google.com/open?id=15mg3M5L4ukDORUqgR1KRrFy6NNLA9FaA")</f>
        <v>https://drive.google.com/open?id=15mg3M5L4ukDORUqgR1KRrFy6NNLA9FaA</v>
      </c>
      <c r="N135" s="21" t="str">
        <f>IFERROR(__xludf.DUMMYFUNCTION("""COMPUTED_VALUE"""),"Krishna Prasad Samantaray")</f>
        <v>Krishna Prasad Samantaray</v>
      </c>
      <c r="O135" s="21" t="str">
        <f>IFERROR(__xludf.DUMMYFUNCTION("""COMPUTED_VALUE"""),"Bank employee, Assistant General Manager")</f>
        <v>Bank employee, Assistant General Manager</v>
      </c>
      <c r="P135" s="21" t="str">
        <f>IFERROR(__xludf.DUMMYFUNCTION("""COMPUTED_VALUE"""),"Bhubaneswar ")</f>
        <v>Bhubaneswar </v>
      </c>
      <c r="Q135" s="21">
        <f>IFERROR(__xludf.DUMMYFUNCTION("""COMPUTED_VALUE"""),9.937014472E9)</f>
        <v>9937014472</v>
      </c>
      <c r="R135" s="21" t="str">
        <f>IFERROR(__xludf.DUMMYFUNCTION("""COMPUTED_VALUE"""),"Jyotirmayee Nayak")</f>
        <v>Jyotirmayee Nayak</v>
      </c>
      <c r="S135" s="21" t="str">
        <f>IFERROR(__xludf.DUMMYFUNCTION("""COMPUTED_VALUE"""),"Homemaker")</f>
        <v>Homemaker</v>
      </c>
      <c r="T135" s="21" t="str">
        <f>IFERROR(__xludf.DUMMYFUNCTION("""COMPUTED_VALUE"""),"Bhubaneswar ")</f>
        <v>Bhubaneswar </v>
      </c>
      <c r="U135" s="21">
        <f>IFERROR(__xludf.DUMMYFUNCTION("""COMPUTED_VALUE"""),9.937732588E9)</f>
        <v>9937732588</v>
      </c>
      <c r="V135" s="21">
        <f>IFERROR(__xludf.DUMMYFUNCTION("""COMPUTED_VALUE"""),2.0)</f>
        <v>2</v>
      </c>
      <c r="W135" s="21" t="str">
        <f>IFERROR(__xludf.DUMMYFUNCTION("""COMPUTED_VALUE"""),"Krishna Prasad Samantaray ")</f>
        <v>Krishna Prasad Samantaray </v>
      </c>
      <c r="X135" s="21" t="str">
        <f>IFERROR(__xludf.DUMMYFUNCTION("""COMPUTED_VALUE"""),"Father")</f>
        <v>Father</v>
      </c>
      <c r="Y135" s="21" t="str">
        <f>IFERROR(__xludf.DUMMYFUNCTION("""COMPUTED_VALUE"""),"Jyotirmayee Nayak ")</f>
        <v>Jyotirmayee Nayak </v>
      </c>
      <c r="Z135" s="21" t="str">
        <f>IFERROR(__xludf.DUMMYFUNCTION("""COMPUTED_VALUE"""),"Mother")</f>
        <v>Mother</v>
      </c>
      <c r="AA135" s="21" t="str">
        <f>IFERROR(__xludf.DUMMYFUNCTION("""COMPUTED_VALUE"""),"Veg")</f>
        <v>Veg</v>
      </c>
      <c r="AB135" s="21" t="str">
        <f>IFERROR(__xludf.DUMMYFUNCTION("""COMPUTED_VALUE"""),"Veg")</f>
        <v>Veg</v>
      </c>
      <c r="AC135" s="21" t="str">
        <f>IFERROR(__xludf.DUMMYFUNCTION("""COMPUTED_VALUE"""),"Veg")</f>
        <v>Veg</v>
      </c>
      <c r="AD135" s="21" t="str">
        <f>IFERROR(__xludf.DUMMYFUNCTION("""COMPUTED_VALUE"""),"Bus Drop Service not needed")</f>
        <v>Bus Drop Service not needed</v>
      </c>
      <c r="AE135" s="21">
        <f>IFERROR(__xludf.DUMMYFUNCTION("""COMPUTED_VALUE"""),0.0)</f>
        <v>0</v>
      </c>
    </row>
    <row r="136" ht="22.5" customHeight="1">
      <c r="A136" s="18">
        <f>IFERROR(__xludf.DUMMYFUNCTION("""COMPUTED_VALUE"""),46260.719568726854)</f>
        <v>46260.71957</v>
      </c>
      <c r="B136" s="21" t="str">
        <f>IFERROR(__xludf.DUMMYFUNCTION("""COMPUTED_VALUE"""),"shraddha.mbbs-2020@aiimskalyani.edu.in")</f>
        <v>shraddha.mbbs-2020@aiimskalyani.edu.in</v>
      </c>
      <c r="C136" s="21" t="str">
        <f>IFERROR(__xludf.DUMMYFUNCTION("""COMPUTED_VALUE"""),"SHRADDHA MATSYAPAL")</f>
        <v>SHRADDHA MATSYAPAL</v>
      </c>
      <c r="D136" s="21" t="str">
        <f>IFERROR(__xludf.DUMMYFUNCTION("""COMPUTED_VALUE"""),"93/202001143")</f>
        <v>93/202001143</v>
      </c>
      <c r="E136" s="21" t="str">
        <f>IFERROR(__xludf.DUMMYFUNCTION("""COMPUTED_VALUE"""),"MBBS 2020")</f>
        <v>MBBS 2020</v>
      </c>
      <c r="F136" s="21">
        <f>IFERROR(__xludf.DUMMYFUNCTION("""COMPUTED_VALUE"""),8.319646271E9)</f>
        <v>8319646271</v>
      </c>
      <c r="G136" s="21" t="str">
        <f>IFERROR(__xludf.DUMMYFUNCTION("""COMPUTED_VALUE"""),"shraddha.mbbs-2020@aiimskalyani.edu.in")</f>
        <v>shraddha.mbbs-2020@aiimskalyani.edu.in</v>
      </c>
      <c r="H136" s="21" t="str">
        <f>IFERROR(__xludf.DUMMYFUNCTION("""COMPUTED_VALUE"""),"Yes")</f>
        <v>Yes</v>
      </c>
      <c r="I136" s="21" t="str">
        <f>IFERROR(__xludf.DUMMYFUNCTION("""COMPUTED_VALUE"""),"Dancing, sketching and traveling")</f>
        <v>Dancing, sketching and traveling</v>
      </c>
      <c r="J136" s="21"/>
      <c r="K136" s="21" t="str">
        <f>IFERROR(__xludf.DUMMYFUNCTION("""COMPUTED_VALUE"""),"Dhamtari")</f>
        <v>Dhamtari</v>
      </c>
      <c r="L136" s="22" t="str">
        <f>IFERROR(__xludf.DUMMYFUNCTION("""COMPUTED_VALUE"""),"https://drive.google.com/open?id=1IGN8QQZm9ZLtGrUOJzX5EeRq2LTFOeS9")</f>
        <v>https://drive.google.com/open?id=1IGN8QQZm9ZLtGrUOJzX5EeRq2LTFOeS9</v>
      </c>
      <c r="M136" s="22" t="str">
        <f>IFERROR(__xludf.DUMMYFUNCTION("""COMPUTED_VALUE"""),"https://drive.google.com/open?id=1sEgVY-mkTmcFAlq_VHH_zH8V7NRcRTZB")</f>
        <v>https://drive.google.com/open?id=1sEgVY-mkTmcFAlq_VHH_zH8V7NRcRTZB</v>
      </c>
      <c r="N136" s="21" t="str">
        <f>IFERROR(__xludf.DUMMYFUNCTION("""COMPUTED_VALUE"""),"Hemant Matsyapal")</f>
        <v>Hemant Matsyapal</v>
      </c>
      <c r="O136" s="21" t="str">
        <f>IFERROR(__xludf.DUMMYFUNCTION("""COMPUTED_VALUE"""),"Additional Collector")</f>
        <v>Additional Collector</v>
      </c>
      <c r="P136" s="21" t="str">
        <f>IFERROR(__xludf.DUMMYFUNCTION("""COMPUTED_VALUE"""),"Dhamtari")</f>
        <v>Dhamtari</v>
      </c>
      <c r="Q136" s="21">
        <f>IFERROR(__xludf.DUMMYFUNCTION("""COMPUTED_VALUE"""),9.42422039E9)</f>
        <v>9424220390</v>
      </c>
      <c r="R136" s="21" t="str">
        <f>IFERROR(__xludf.DUMMYFUNCTION("""COMPUTED_VALUE"""),"Ishwari Matsyapal")</f>
        <v>Ishwari Matsyapal</v>
      </c>
      <c r="S136" s="21" t="str">
        <f>IFERROR(__xludf.DUMMYFUNCTION("""COMPUTED_VALUE"""),"Teacher")</f>
        <v>Teacher</v>
      </c>
      <c r="T136" s="21" t="str">
        <f>IFERROR(__xludf.DUMMYFUNCTION("""COMPUTED_VALUE"""),"Dhamtari")</f>
        <v>Dhamtari</v>
      </c>
      <c r="U136" s="21">
        <f>IFERROR(__xludf.DUMMYFUNCTION("""COMPUTED_VALUE"""),9.40637396E9)</f>
        <v>9406373960</v>
      </c>
      <c r="V136" s="21">
        <f>IFERROR(__xludf.DUMMYFUNCTION("""COMPUTED_VALUE"""),1.0)</f>
        <v>1</v>
      </c>
      <c r="W136" s="21" t="str">
        <f>IFERROR(__xludf.DUMMYFUNCTION("""COMPUTED_VALUE"""),"Ishwari Matsyapal")</f>
        <v>Ishwari Matsyapal</v>
      </c>
      <c r="X136" s="21" t="str">
        <f>IFERROR(__xludf.DUMMYFUNCTION("""COMPUTED_VALUE"""),"Mother")</f>
        <v>Mother</v>
      </c>
      <c r="Y136" s="21"/>
      <c r="Z136" s="21"/>
      <c r="AA136" s="21" t="str">
        <f>IFERROR(__xludf.DUMMYFUNCTION("""COMPUTED_VALUE"""),"Non-Veg")</f>
        <v>Non-Veg</v>
      </c>
      <c r="AB136" s="21" t="str">
        <f>IFERROR(__xludf.DUMMYFUNCTION("""COMPUTED_VALUE"""),"Non-Veg")</f>
        <v>Non-Veg</v>
      </c>
      <c r="AC136" s="21"/>
      <c r="AD136" s="21" t="str">
        <f>IFERROR(__xludf.DUMMYFUNCTION("""COMPUTED_VALUE"""),"Bus Drop Service not needed")</f>
        <v>Bus Drop Service not needed</v>
      </c>
      <c r="AE136" s="21">
        <f>IFERROR(__xludf.DUMMYFUNCTION("""COMPUTED_VALUE"""),0.0)</f>
        <v>0</v>
      </c>
    </row>
    <row r="137" ht="22.5" customHeight="1">
      <c r="A137" s="18">
        <f>IFERROR(__xludf.DUMMYFUNCTION("""COMPUTED_VALUE"""),46260.694607997684)</f>
        <v>46260.69461</v>
      </c>
      <c r="B137" s="21" t="str">
        <f>IFERROR(__xludf.DUMMYFUNCTION("""COMPUTED_VALUE"""),"divyansh.mbbs-2020@aiimskalyani.edu.in")</f>
        <v>divyansh.mbbs-2020@aiimskalyani.edu.in</v>
      </c>
      <c r="C137" s="21" t="str">
        <f>IFERROR(__xludf.DUMMYFUNCTION("""COMPUTED_VALUE"""),"DIVYANSH CHARAN")</f>
        <v>DIVYANSH CHARAN</v>
      </c>
      <c r="D137" s="21">
        <f>IFERROR(__xludf.DUMMYFUNCTION("""COMPUTED_VALUE"""),2.02001168E8)</f>
        <v>202001168</v>
      </c>
      <c r="E137" s="21" t="str">
        <f>IFERROR(__xludf.DUMMYFUNCTION("""COMPUTED_VALUE"""),"MBBS 2020")</f>
        <v>MBBS 2020</v>
      </c>
      <c r="F137" s="21">
        <f>IFERROR(__xludf.DUMMYFUNCTION("""COMPUTED_VALUE"""),8.824714602E9)</f>
        <v>8824714602</v>
      </c>
      <c r="G137" s="21" t="str">
        <f>IFERROR(__xludf.DUMMYFUNCTION("""COMPUTED_VALUE"""),"divyansh.mbbs-2020@aiimskalyani.edu.in")</f>
        <v>divyansh.mbbs-2020@aiimskalyani.edu.in</v>
      </c>
      <c r="H137" s="21" t="str">
        <f>IFERROR(__xludf.DUMMYFUNCTION("""COMPUTED_VALUE"""),"Yes")</f>
        <v>Yes</v>
      </c>
      <c r="I137" s="21" t="str">
        <f>IFERROR(__xludf.DUMMYFUNCTION("""COMPUTED_VALUE"""),"Singing")</f>
        <v>Singing</v>
      </c>
      <c r="J137" s="21"/>
      <c r="K137" s="21" t="str">
        <f>IFERROR(__xludf.DUMMYFUNCTION("""COMPUTED_VALUE"""),"Pali, Rajasthan")</f>
        <v>Pali, Rajasthan</v>
      </c>
      <c r="L137" s="22" t="str">
        <f>IFERROR(__xludf.DUMMYFUNCTION("""COMPUTED_VALUE"""),"https://drive.google.com/open?id=1I2vyciA0tArPcdiQVStjSbGUrAuBO1gl")</f>
        <v>https://drive.google.com/open?id=1I2vyciA0tArPcdiQVStjSbGUrAuBO1gl</v>
      </c>
      <c r="M137" s="22" t="str">
        <f>IFERROR(__xludf.DUMMYFUNCTION("""COMPUTED_VALUE"""),"https://drive.google.com/open?id=18ktayzQ3enUk0YBzZUCarsxwHROZtm_i")</f>
        <v>https://drive.google.com/open?id=18ktayzQ3enUk0YBzZUCarsxwHROZtm_i</v>
      </c>
      <c r="N137" s="21" t="str">
        <f>IFERROR(__xludf.DUMMYFUNCTION("""COMPUTED_VALUE"""),"Mahesh Singh")</f>
        <v>Mahesh Singh</v>
      </c>
      <c r="O137" s="21" t="str">
        <f>IFERROR(__xludf.DUMMYFUNCTION("""COMPUTED_VALUE"""),"Police Inspector")</f>
        <v>Police Inspector</v>
      </c>
      <c r="P137" s="21" t="str">
        <f>IFERROR(__xludf.DUMMYFUNCTION("""COMPUTED_VALUE"""),"Jaipur")</f>
        <v>Jaipur</v>
      </c>
      <c r="Q137" s="21">
        <f>IFERROR(__xludf.DUMMYFUNCTION("""COMPUTED_VALUE"""),9.829045528E9)</f>
        <v>9829045528</v>
      </c>
      <c r="R137" s="21" t="str">
        <f>IFERROR(__xludf.DUMMYFUNCTION("""COMPUTED_VALUE"""),"Kiran Charan")</f>
        <v>Kiran Charan</v>
      </c>
      <c r="S137" s="21" t="str">
        <f>IFERROR(__xludf.DUMMYFUNCTION("""COMPUTED_VALUE"""),"Yoga Instructor")</f>
        <v>Yoga Instructor</v>
      </c>
      <c r="T137" s="21" t="str">
        <f>IFERROR(__xludf.DUMMYFUNCTION("""COMPUTED_VALUE"""),"Jaipur")</f>
        <v>Jaipur</v>
      </c>
      <c r="U137" s="21">
        <f>IFERROR(__xludf.DUMMYFUNCTION("""COMPUTED_VALUE"""),9.799096666E9)</f>
        <v>9799096666</v>
      </c>
      <c r="V137" s="21">
        <f>IFERROR(__xludf.DUMMYFUNCTION("""COMPUTED_VALUE"""),2.0)</f>
        <v>2</v>
      </c>
      <c r="W137" s="21" t="str">
        <f>IFERROR(__xludf.DUMMYFUNCTION("""COMPUTED_VALUE"""),"Kiran Charan")</f>
        <v>Kiran Charan</v>
      </c>
      <c r="X137" s="21" t="str">
        <f>IFERROR(__xludf.DUMMYFUNCTION("""COMPUTED_VALUE"""),"Mother")</f>
        <v>Mother</v>
      </c>
      <c r="Y137" s="21" t="str">
        <f>IFERROR(__xludf.DUMMYFUNCTION("""COMPUTED_VALUE"""),"Mahesh Singh")</f>
        <v>Mahesh Singh</v>
      </c>
      <c r="Z137" s="21" t="str">
        <f>IFERROR(__xludf.DUMMYFUNCTION("""COMPUTED_VALUE"""),"Father")</f>
        <v>Father</v>
      </c>
      <c r="AA137" s="21" t="str">
        <f>IFERROR(__xludf.DUMMYFUNCTION("""COMPUTED_VALUE"""),"Veg")</f>
        <v>Veg</v>
      </c>
      <c r="AB137" s="21" t="str">
        <f>IFERROR(__xludf.DUMMYFUNCTION("""COMPUTED_VALUE"""),"Veg")</f>
        <v>Veg</v>
      </c>
      <c r="AC137" s="21" t="str">
        <f>IFERROR(__xludf.DUMMYFUNCTION("""COMPUTED_VALUE"""),"Veg")</f>
        <v>Veg</v>
      </c>
      <c r="AD137" s="21" t="str">
        <f>IFERROR(__xludf.DUMMYFUNCTION("""COMPUTED_VALUE"""),"Bus Drop Service not needed")</f>
        <v>Bus Drop Service not needed</v>
      </c>
      <c r="AE137" s="21">
        <f>IFERROR(__xludf.DUMMYFUNCTION("""COMPUTED_VALUE"""),0.0)</f>
        <v>0</v>
      </c>
    </row>
    <row r="138" ht="22.5" customHeight="1">
      <c r="A138" s="18">
        <f>IFERROR(__xludf.DUMMYFUNCTION("""COMPUTED_VALUE"""),46260.674663819445)</f>
        <v>46260.67466</v>
      </c>
      <c r="B138" s="21" t="str">
        <f>IFERROR(__xludf.DUMMYFUNCTION("""COMPUTED_VALUE"""),"megha.mbbs-2020@aiimskalyani.edu.in")</f>
        <v>megha.mbbs-2020@aiimskalyani.edu.in</v>
      </c>
      <c r="C138" s="21" t="str">
        <f>IFERROR(__xludf.DUMMYFUNCTION("""COMPUTED_VALUE"""),"MEGHA HAZARIKA")</f>
        <v>MEGHA HAZARIKA</v>
      </c>
      <c r="D138" s="21">
        <f>IFERROR(__xludf.DUMMYFUNCTION("""COMPUTED_VALUE"""),2.02001112E8)</f>
        <v>202001112</v>
      </c>
      <c r="E138" s="21" t="str">
        <f>IFERROR(__xludf.DUMMYFUNCTION("""COMPUTED_VALUE"""),"MBBS 2020")</f>
        <v>MBBS 2020</v>
      </c>
      <c r="F138" s="21">
        <f>IFERROR(__xludf.DUMMYFUNCTION("""COMPUTED_VALUE"""),9.518596484E9)</f>
        <v>9518596484</v>
      </c>
      <c r="G138" s="21" t="str">
        <f>IFERROR(__xludf.DUMMYFUNCTION("""COMPUTED_VALUE"""),"meghahazarika270701@gmail.com")</f>
        <v>meghahazarika270701@gmail.com</v>
      </c>
      <c r="H138" s="21" t="str">
        <f>IFERROR(__xludf.DUMMYFUNCTION("""COMPUTED_VALUE"""),"Yes")</f>
        <v>Yes</v>
      </c>
      <c r="I138" s="21" t="str">
        <f>IFERROR(__xludf.DUMMYFUNCTION("""COMPUTED_VALUE"""),"Dancing, Poetry ")</f>
        <v>Dancing, Poetry </v>
      </c>
      <c r="J138" s="21"/>
      <c r="K138" s="21" t="str">
        <f>IFERROR(__xludf.DUMMYFUNCTION("""COMPUTED_VALUE"""),"Guwahati")</f>
        <v>Guwahati</v>
      </c>
      <c r="L138" s="22" t="str">
        <f>IFERROR(__xludf.DUMMYFUNCTION("""COMPUTED_VALUE"""),"https://drive.google.com/open?id=1nBinud0RE0f_0prwiaAI5ZZNJcp5dUd7")</f>
        <v>https://drive.google.com/open?id=1nBinud0RE0f_0prwiaAI5ZZNJcp5dUd7</v>
      </c>
      <c r="M138" s="22" t="str">
        <f>IFERROR(__xludf.DUMMYFUNCTION("""COMPUTED_VALUE"""),"https://drive.google.com/open?id=17NwuQxURpwnFXAM2DiR5BSKfqwrc4IpS")</f>
        <v>https://drive.google.com/open?id=17NwuQxURpwnFXAM2DiR5BSKfqwrc4IpS</v>
      </c>
      <c r="N138" s="21" t="str">
        <f>IFERROR(__xludf.DUMMYFUNCTION("""COMPUTED_VALUE"""),"Dr. Alokesh Hazarika")</f>
        <v>Dr. Alokesh Hazarika</v>
      </c>
      <c r="O138" s="21" t="str">
        <f>IFERROR(__xludf.DUMMYFUNCTION("""COMPUTED_VALUE"""),"Retired as CMO In-charge")</f>
        <v>Retired as CMO In-charge</v>
      </c>
      <c r="P138" s="21" t="str">
        <f>IFERROR(__xludf.DUMMYFUNCTION("""COMPUTED_VALUE"""),"Dibrugarh")</f>
        <v>Dibrugarh</v>
      </c>
      <c r="Q138" s="21">
        <f>IFERROR(__xludf.DUMMYFUNCTION("""COMPUTED_VALUE"""),9.975994611E9)</f>
        <v>9975994611</v>
      </c>
      <c r="R138" s="21" t="str">
        <f>IFERROR(__xludf.DUMMYFUNCTION("""COMPUTED_VALUE"""),"Shivani Hazarika")</f>
        <v>Shivani Hazarika</v>
      </c>
      <c r="S138" s="21" t="str">
        <f>IFERROR(__xludf.DUMMYFUNCTION("""COMPUTED_VALUE"""),"Home maker")</f>
        <v>Home maker</v>
      </c>
      <c r="T138" s="21" t="str">
        <f>IFERROR(__xludf.DUMMYFUNCTION("""COMPUTED_VALUE"""),"Agra")</f>
        <v>Agra</v>
      </c>
      <c r="U138" s="21">
        <f>IFERROR(__xludf.DUMMYFUNCTION("""COMPUTED_VALUE"""),9.421192706E9)</f>
        <v>9421192706</v>
      </c>
      <c r="V138" s="21">
        <f>IFERROR(__xludf.DUMMYFUNCTION("""COMPUTED_VALUE"""),2.0)</f>
        <v>2</v>
      </c>
      <c r="W138" s="21" t="str">
        <f>IFERROR(__xludf.DUMMYFUNCTION("""COMPUTED_VALUE"""),"Dr. Alokesh Hazarika")</f>
        <v>Dr. Alokesh Hazarika</v>
      </c>
      <c r="X138" s="21" t="str">
        <f>IFERROR(__xludf.DUMMYFUNCTION("""COMPUTED_VALUE"""),"Father")</f>
        <v>Father</v>
      </c>
      <c r="Y138" s="21" t="str">
        <f>IFERROR(__xludf.DUMMYFUNCTION("""COMPUTED_VALUE"""),"Diya ")</f>
        <v>Diya </v>
      </c>
      <c r="Z138" s="21" t="str">
        <f>IFERROR(__xludf.DUMMYFUNCTION("""COMPUTED_VALUE"""),"Cousin")</f>
        <v>Cousin</v>
      </c>
      <c r="AA138" s="21" t="str">
        <f>IFERROR(__xludf.DUMMYFUNCTION("""COMPUTED_VALUE"""),"Veg")</f>
        <v>Veg</v>
      </c>
      <c r="AB138" s="21" t="str">
        <f>IFERROR(__xludf.DUMMYFUNCTION("""COMPUTED_VALUE"""),"Veg")</f>
        <v>Veg</v>
      </c>
      <c r="AC138" s="21" t="str">
        <f>IFERROR(__xludf.DUMMYFUNCTION("""COMPUTED_VALUE"""),"Non-Veg")</f>
        <v>Non-Veg</v>
      </c>
      <c r="AD138" s="21" t="str">
        <f>IFERROR(__xludf.DUMMYFUNCTION("""COMPUTED_VALUE"""),"Bus Drop Service not needed")</f>
        <v>Bus Drop Service not needed</v>
      </c>
      <c r="AE138" s="21">
        <f>IFERROR(__xludf.DUMMYFUNCTION("""COMPUTED_VALUE"""),0.0)</f>
        <v>0</v>
      </c>
    </row>
    <row r="139" ht="22.5" customHeight="1">
      <c r="A139" s="18">
        <f>IFERROR(__xludf.DUMMYFUNCTION("""COMPUTED_VALUE"""),46260.61750736111)</f>
        <v>46260.61751</v>
      </c>
      <c r="B139" s="21" t="str">
        <f>IFERROR(__xludf.DUMMYFUNCTION("""COMPUTED_VALUE"""),"saravana.dentistry_pgt23@aiimskalyani.edu.in")</f>
        <v>saravana.dentistry_pgt23@aiimskalyani.edu.in</v>
      </c>
      <c r="C139" s="21" t="str">
        <f>IFERROR(__xludf.DUMMYFUNCTION("""COMPUTED_VALUE"""),"B.SARAVANA PRATHAP")</f>
        <v>B.SARAVANA PRATHAP</v>
      </c>
      <c r="D139" s="21">
        <f>IFERROR(__xludf.DUMMYFUNCTION("""COMPUTED_VALUE"""),2.0230313E7)</f>
        <v>20230313</v>
      </c>
      <c r="E139" s="21" t="str">
        <f>IFERROR(__xludf.DUMMYFUNCTION("""COMPUTED_VALUE"""),"MD/MS/MDS 2023")</f>
        <v>MD/MS/MDS 2023</v>
      </c>
      <c r="F139" s="21">
        <f>IFERROR(__xludf.DUMMYFUNCTION("""COMPUTED_VALUE"""),9.789409492E9)</f>
        <v>9789409492</v>
      </c>
      <c r="G139" s="21" t="str">
        <f>IFERROR(__xludf.DUMMYFUNCTION("""COMPUTED_VALUE"""),"saravana.dentistry_pgt23@aiimskalyani.edu.in")</f>
        <v>saravana.dentistry_pgt23@aiimskalyani.edu.in</v>
      </c>
      <c r="H139" s="21" t="str">
        <f>IFERROR(__xludf.DUMMYFUNCTION("""COMPUTED_VALUE"""),"Yes")</f>
        <v>Yes</v>
      </c>
      <c r="I139" s="21"/>
      <c r="J139" s="21"/>
      <c r="K139" s="21" t="str">
        <f>IFERROR(__xludf.DUMMYFUNCTION("""COMPUTED_VALUE"""),"Coimbatore")</f>
        <v>Coimbatore</v>
      </c>
      <c r="L139" s="22" t="str">
        <f>IFERROR(__xludf.DUMMYFUNCTION("""COMPUTED_VALUE"""),"https://drive.google.com/open?id=1thgAXDqCeAa3Di76_D8nIFLshDuiWyFK")</f>
        <v>https://drive.google.com/open?id=1thgAXDqCeAa3Di76_D8nIFLshDuiWyFK</v>
      </c>
      <c r="M139" s="22" t="str">
        <f>IFERROR(__xludf.DUMMYFUNCTION("""COMPUTED_VALUE"""),"https://drive.google.com/open?id=1y7cM_212CUes9lf3DFTsE1oQt_gVIrf-")</f>
        <v>https://drive.google.com/open?id=1y7cM_212CUes9lf3DFTsE1oQt_gVIrf-</v>
      </c>
      <c r="N139" s="21" t="str">
        <f>IFERROR(__xludf.DUMMYFUNCTION("""COMPUTED_VALUE"""),"C.Balachandran")</f>
        <v>C.Balachandran</v>
      </c>
      <c r="O139" s="21" t="str">
        <f>IFERROR(__xludf.DUMMYFUNCTION("""COMPUTED_VALUE"""),"-")</f>
        <v>-</v>
      </c>
      <c r="P139" s="21" t="str">
        <f>IFERROR(__xludf.DUMMYFUNCTION("""COMPUTED_VALUE"""),"-")</f>
        <v>-</v>
      </c>
      <c r="Q139" s="21">
        <f>IFERROR(__xludf.DUMMYFUNCTION("""COMPUTED_VALUE"""),9.566607472E9)</f>
        <v>9566607472</v>
      </c>
      <c r="R139" s="21" t="str">
        <f>IFERROR(__xludf.DUMMYFUNCTION("""COMPUTED_VALUE"""),"B.Parvathi")</f>
        <v>B.Parvathi</v>
      </c>
      <c r="S139" s="21" t="str">
        <f>IFERROR(__xludf.DUMMYFUNCTION("""COMPUTED_VALUE"""),"House wife")</f>
        <v>House wife</v>
      </c>
      <c r="T139" s="21" t="str">
        <f>IFERROR(__xludf.DUMMYFUNCTION("""COMPUTED_VALUE"""),"Coimbatore")</f>
        <v>Coimbatore</v>
      </c>
      <c r="U139" s="21">
        <f>IFERROR(__xludf.DUMMYFUNCTION("""COMPUTED_VALUE"""),9.566607472E9)</f>
        <v>9566607472</v>
      </c>
      <c r="V139" s="21">
        <f>IFERROR(__xludf.DUMMYFUNCTION("""COMPUTED_VALUE"""),0.0)</f>
        <v>0</v>
      </c>
      <c r="W139" s="21"/>
      <c r="X139" s="21"/>
      <c r="Y139" s="21"/>
      <c r="Z139" s="21"/>
      <c r="AA139" s="21" t="str">
        <f>IFERROR(__xludf.DUMMYFUNCTION("""COMPUTED_VALUE"""),"Veg")</f>
        <v>Veg</v>
      </c>
      <c r="AB139" s="21"/>
      <c r="AC139" s="21"/>
      <c r="AD139" s="21" t="str">
        <f>IFERROR(__xludf.DUMMYFUNCTION("""COMPUTED_VALUE"""),"Bus Drop Service not needed")</f>
        <v>Bus Drop Service not needed</v>
      </c>
      <c r="AE139" s="21">
        <f>IFERROR(__xludf.DUMMYFUNCTION("""COMPUTED_VALUE"""),0.0)</f>
        <v>0</v>
      </c>
    </row>
    <row r="140" ht="22.5" customHeight="1">
      <c r="A140" s="18">
        <f>IFERROR(__xludf.DUMMYFUNCTION("""COMPUTED_VALUE"""),46260.55812368056)</f>
        <v>46260.55812</v>
      </c>
      <c r="B140" s="21" t="str">
        <f>IFERROR(__xludf.DUMMYFUNCTION("""COMPUTED_VALUE"""),"subhodip.mbbs-2020@aiimskalyani.edu.in")</f>
        <v>subhodip.mbbs-2020@aiimskalyani.edu.in</v>
      </c>
      <c r="C140" s="21" t="str">
        <f>IFERROR(__xludf.DUMMYFUNCTION("""COMPUTED_VALUE"""),"SUBHODIP DAS")</f>
        <v>SUBHODIP DAS</v>
      </c>
      <c r="D140" s="21" t="str">
        <f>IFERROR(__xludf.DUMMYFUNCTION("""COMPUTED_VALUE"""),"101/202001151")</f>
        <v>101/202001151</v>
      </c>
      <c r="E140" s="21" t="str">
        <f>IFERROR(__xludf.DUMMYFUNCTION("""COMPUTED_VALUE"""),"MBBS 2020")</f>
        <v>MBBS 2020</v>
      </c>
      <c r="F140" s="21">
        <f>IFERROR(__xludf.DUMMYFUNCTION("""COMPUTED_VALUE"""),9.679602964E9)</f>
        <v>9679602964</v>
      </c>
      <c r="G140" s="21" t="str">
        <f>IFERROR(__xludf.DUMMYFUNCTION("""COMPUTED_VALUE"""),"subhodip.mbbs-2020@aiimskalyani.edu.in")</f>
        <v>subhodip.mbbs-2020@aiimskalyani.edu.in</v>
      </c>
      <c r="H140" s="21" t="str">
        <f>IFERROR(__xludf.DUMMYFUNCTION("""COMPUTED_VALUE"""),"Yes")</f>
        <v>Yes</v>
      </c>
      <c r="I140" s="21" t="str">
        <f>IFERROR(__xludf.DUMMYFUNCTION("""COMPUTED_VALUE"""),"Strong interest in football and video gaming. ")</f>
        <v>Strong interest in football and video gaming. </v>
      </c>
      <c r="J140" s="21" t="str">
        <f>IFERROR(__xludf.DUMMYFUNCTION("""COMPUTED_VALUE"""),"Football ")</f>
        <v>Football </v>
      </c>
      <c r="K140" s="21" t="str">
        <f>IFERROR(__xludf.DUMMYFUNCTION("""COMPUTED_VALUE"""),"Asansol ")</f>
        <v>Asansol </v>
      </c>
      <c r="L140" s="22" t="str">
        <f>IFERROR(__xludf.DUMMYFUNCTION("""COMPUTED_VALUE"""),"https://drive.google.com/open?id=1P6zVDGzkvgIb6Tdpk3ftQTaZgIxa5RHn")</f>
        <v>https://drive.google.com/open?id=1P6zVDGzkvgIb6Tdpk3ftQTaZgIxa5RHn</v>
      </c>
      <c r="M140" s="22" t="str">
        <f>IFERROR(__xludf.DUMMYFUNCTION("""COMPUTED_VALUE"""),"https://drive.google.com/open?id=1pWB5DAklFhIBCDY88-lVSMw6USUqOUwf")</f>
        <v>https://drive.google.com/open?id=1pWB5DAklFhIBCDY88-lVSMw6USUqOUwf</v>
      </c>
      <c r="N140" s="21" t="str">
        <f>IFERROR(__xludf.DUMMYFUNCTION("""COMPUTED_VALUE"""),"Uday Chand Das")</f>
        <v>Uday Chand Das</v>
      </c>
      <c r="O140" s="21" t="str">
        <f>IFERROR(__xludf.DUMMYFUNCTION("""COMPUTED_VALUE"""),"Retired Railway Personal ")</f>
        <v>Retired Railway Personal </v>
      </c>
      <c r="P140" s="21" t="str">
        <f>IFERROR(__xludf.DUMMYFUNCTION("""COMPUTED_VALUE"""),"Asansol ")</f>
        <v>Asansol </v>
      </c>
      <c r="Q140" s="21">
        <f>IFERROR(__xludf.DUMMYFUNCTION("""COMPUTED_VALUE"""),7.365841536E9)</f>
        <v>7365841536</v>
      </c>
      <c r="R140" s="21" t="str">
        <f>IFERROR(__xludf.DUMMYFUNCTION("""COMPUTED_VALUE"""),"Archana Das")</f>
        <v>Archana Das</v>
      </c>
      <c r="S140" s="21" t="str">
        <f>IFERROR(__xludf.DUMMYFUNCTION("""COMPUTED_VALUE"""),"Housewife")</f>
        <v>Housewife</v>
      </c>
      <c r="T140" s="21" t="str">
        <f>IFERROR(__xludf.DUMMYFUNCTION("""COMPUTED_VALUE"""),"Asansol ")</f>
        <v>Asansol </v>
      </c>
      <c r="U140" s="21">
        <f>IFERROR(__xludf.DUMMYFUNCTION("""COMPUTED_VALUE"""),9.832715653E9)</f>
        <v>9832715653</v>
      </c>
      <c r="V140" s="21">
        <f>IFERROR(__xludf.DUMMYFUNCTION("""COMPUTED_VALUE"""),2.0)</f>
        <v>2</v>
      </c>
      <c r="W140" s="21" t="str">
        <f>IFERROR(__xludf.DUMMYFUNCTION("""COMPUTED_VALUE"""),"Uday Chand Das")</f>
        <v>Uday Chand Das</v>
      </c>
      <c r="X140" s="21" t="str">
        <f>IFERROR(__xludf.DUMMYFUNCTION("""COMPUTED_VALUE"""),"Father ")</f>
        <v>Father </v>
      </c>
      <c r="Y140" s="21" t="str">
        <f>IFERROR(__xludf.DUMMYFUNCTION("""COMPUTED_VALUE"""),"Archana Das")</f>
        <v>Archana Das</v>
      </c>
      <c r="Z140" s="21" t="str">
        <f>IFERROR(__xludf.DUMMYFUNCTION("""COMPUTED_VALUE"""),"Mother")</f>
        <v>Mother</v>
      </c>
      <c r="AA140" s="21" t="str">
        <f>IFERROR(__xludf.DUMMYFUNCTION("""COMPUTED_VALUE"""),"Non-Veg")</f>
        <v>Non-Veg</v>
      </c>
      <c r="AB140" s="21" t="str">
        <f>IFERROR(__xludf.DUMMYFUNCTION("""COMPUTED_VALUE"""),"Non-Veg")</f>
        <v>Non-Veg</v>
      </c>
      <c r="AC140" s="21" t="str">
        <f>IFERROR(__xludf.DUMMYFUNCTION("""COMPUTED_VALUE"""),"Non-Veg")</f>
        <v>Non-Veg</v>
      </c>
      <c r="AD140" s="21" t="str">
        <f>IFERROR(__xludf.DUMMYFUNCTION("""COMPUTED_VALUE"""),"Bus Drop Service not needed")</f>
        <v>Bus Drop Service not needed</v>
      </c>
      <c r="AE140" s="21">
        <f>IFERROR(__xludf.DUMMYFUNCTION("""COMPUTED_VALUE"""),0.0)</f>
        <v>0</v>
      </c>
    </row>
    <row r="141" ht="22.5" customHeight="1">
      <c r="A141" s="18">
        <f>IFERROR(__xludf.DUMMYFUNCTION("""COMPUTED_VALUE"""),46260.35893052083)</f>
        <v>46260.35893</v>
      </c>
      <c r="B141" s="21" t="str">
        <f>IFERROR(__xludf.DUMMYFUNCTION("""COMPUTED_VALUE"""),"monalisa.biochem_pgt23@aiimskalyani.edu.in")</f>
        <v>monalisa.biochem_pgt23@aiimskalyani.edu.in</v>
      </c>
      <c r="C141" s="21" t="str">
        <f>IFERROR(__xludf.DUMMYFUNCTION("""COMPUTED_VALUE"""),"DR. MONALISA MAHAJAN")</f>
        <v>DR. MONALISA MAHAJAN</v>
      </c>
      <c r="D141" s="21">
        <f>IFERROR(__xludf.DUMMYFUNCTION("""COMPUTED_VALUE"""),2.0230319E7)</f>
        <v>20230319</v>
      </c>
      <c r="E141" s="21" t="str">
        <f>IFERROR(__xludf.DUMMYFUNCTION("""COMPUTED_VALUE"""),"MD/MS/MDS 2023")</f>
        <v>MD/MS/MDS 2023</v>
      </c>
      <c r="F141" s="21">
        <f>IFERROR(__xludf.DUMMYFUNCTION("""COMPUTED_VALUE"""),9.531754461E9)</f>
        <v>9531754461</v>
      </c>
      <c r="G141" s="21" t="str">
        <f>IFERROR(__xludf.DUMMYFUNCTION("""COMPUTED_VALUE"""),"monalisa.biochem_pgt23@aiimskalyani.edu.in")</f>
        <v>monalisa.biochem_pgt23@aiimskalyani.edu.in</v>
      </c>
      <c r="H141" s="21" t="str">
        <f>IFERROR(__xludf.DUMMYFUNCTION("""COMPUTED_VALUE"""),"Yes")</f>
        <v>Yes</v>
      </c>
      <c r="I141" s="21" t="str">
        <f>IFERROR(__xludf.DUMMYFUNCTION("""COMPUTED_VALUE"""),"Art and craft")</f>
        <v>Art and craft</v>
      </c>
      <c r="J141" s="21"/>
      <c r="K141" s="21" t="str">
        <f>IFERROR(__xludf.DUMMYFUNCTION("""COMPUTED_VALUE"""),"Bankura")</f>
        <v>Bankura</v>
      </c>
      <c r="L141" s="22" t="str">
        <f>IFERROR(__xludf.DUMMYFUNCTION("""COMPUTED_VALUE"""),"https://drive.google.com/open?id=1Bjvem_I_ilRINZh5ay3Gh2MmbqyI_ZM5")</f>
        <v>https://drive.google.com/open?id=1Bjvem_I_ilRINZh5ay3Gh2MmbqyI_ZM5</v>
      </c>
      <c r="M141" s="22" t="str">
        <f>IFERROR(__xludf.DUMMYFUNCTION("""COMPUTED_VALUE"""),"https://drive.google.com/open?id=1w5oxEG3Y_3QnTCazzcYgvScpQnlHlUCB")</f>
        <v>https://drive.google.com/open?id=1w5oxEG3Y_3QnTCazzcYgvScpQnlHlUCB</v>
      </c>
      <c r="N141" s="21" t="str">
        <f>IFERROR(__xludf.DUMMYFUNCTION("""COMPUTED_VALUE"""),"MADHAB KUMAR MAHAJAN")</f>
        <v>MADHAB KUMAR MAHAJAN</v>
      </c>
      <c r="O141" s="21" t="str">
        <f>IFERROR(__xludf.DUMMYFUNCTION("""COMPUTED_VALUE"""),"BANK MANAGER (RETIRED)")</f>
        <v>BANK MANAGER (RETIRED)</v>
      </c>
      <c r="P141" s="21" t="str">
        <f>IFERROR(__xludf.DUMMYFUNCTION("""COMPUTED_VALUE"""),"BANKURA")</f>
        <v>BANKURA</v>
      </c>
      <c r="Q141" s="21">
        <f>IFERROR(__xludf.DUMMYFUNCTION("""COMPUTED_VALUE"""),9.474185735E9)</f>
        <v>9474185735</v>
      </c>
      <c r="R141" s="21" t="str">
        <f>IFERROR(__xludf.DUMMYFUNCTION("""COMPUTED_VALUE"""),"SOMA MAHAJAN")</f>
        <v>SOMA MAHAJAN</v>
      </c>
      <c r="S141" s="21" t="str">
        <f>IFERROR(__xludf.DUMMYFUNCTION("""COMPUTED_VALUE"""),"HOME MAKER")</f>
        <v>HOME MAKER</v>
      </c>
      <c r="T141" s="21" t="str">
        <f>IFERROR(__xludf.DUMMYFUNCTION("""COMPUTED_VALUE"""),"BANKURA")</f>
        <v>BANKURA</v>
      </c>
      <c r="U141" s="21">
        <f>IFERROR(__xludf.DUMMYFUNCTION("""COMPUTED_VALUE"""),9.475346936E9)</f>
        <v>9475346936</v>
      </c>
      <c r="V141" s="21">
        <f>IFERROR(__xludf.DUMMYFUNCTION("""COMPUTED_VALUE"""),2.0)</f>
        <v>2</v>
      </c>
      <c r="W141" s="21" t="str">
        <f>IFERROR(__xludf.DUMMYFUNCTION("""COMPUTED_VALUE"""),"MADHAB KUMAR MAHAJAN")</f>
        <v>MADHAB KUMAR MAHAJAN</v>
      </c>
      <c r="X141" s="21" t="str">
        <f>IFERROR(__xludf.DUMMYFUNCTION("""COMPUTED_VALUE"""),"FATHER")</f>
        <v>FATHER</v>
      </c>
      <c r="Y141" s="21" t="str">
        <f>IFERROR(__xludf.DUMMYFUNCTION("""COMPUTED_VALUE"""),"SOMA MAHAJAN")</f>
        <v>SOMA MAHAJAN</v>
      </c>
      <c r="Z141" s="21" t="str">
        <f>IFERROR(__xludf.DUMMYFUNCTION("""COMPUTED_VALUE"""),"MOTHER")</f>
        <v>MOTHER</v>
      </c>
      <c r="AA141" s="21" t="str">
        <f>IFERROR(__xludf.DUMMYFUNCTION("""COMPUTED_VALUE"""),"Non-Veg")</f>
        <v>Non-Veg</v>
      </c>
      <c r="AB141" s="21" t="str">
        <f>IFERROR(__xludf.DUMMYFUNCTION("""COMPUTED_VALUE"""),"Non-Veg")</f>
        <v>Non-Veg</v>
      </c>
      <c r="AC141" s="21" t="str">
        <f>IFERROR(__xludf.DUMMYFUNCTION("""COMPUTED_VALUE"""),"Non-Veg")</f>
        <v>Non-Veg</v>
      </c>
      <c r="AD141" s="21" t="str">
        <f>IFERROR(__xludf.DUMMYFUNCTION("""COMPUTED_VALUE"""),"Bus Drop Service not needed")</f>
        <v>Bus Drop Service not needed</v>
      </c>
      <c r="AE141" s="21"/>
    </row>
    <row r="142" ht="22.5" customHeight="1">
      <c r="A142" s="18">
        <f>IFERROR(__xludf.DUMMYFUNCTION("""COMPUTED_VALUE"""),46260.10906511574)</f>
        <v>46260.10907</v>
      </c>
      <c r="B142" s="21" t="str">
        <f>IFERROR(__xludf.DUMMYFUNCTION("""COMPUTED_VALUE"""),"riya.mbbs-2020@aiimskalyani.edu.in")</f>
        <v>riya.mbbs-2020@aiimskalyani.edu.in</v>
      </c>
      <c r="C142" s="21" t="str">
        <f>IFERROR(__xludf.DUMMYFUNCTION("""COMPUTED_VALUE"""),"RIYA BEN")</f>
        <v>RIYA BEN</v>
      </c>
      <c r="D142" s="21">
        <f>IFERROR(__xludf.DUMMYFUNCTION("""COMPUTED_VALUE"""),2.02001127E8)</f>
        <v>202001127</v>
      </c>
      <c r="E142" s="21" t="str">
        <f>IFERROR(__xludf.DUMMYFUNCTION("""COMPUTED_VALUE"""),"MBBS 2020")</f>
        <v>MBBS 2020</v>
      </c>
      <c r="F142" s="21">
        <f>IFERROR(__xludf.DUMMYFUNCTION("""COMPUTED_VALUE"""),8.606774642E9)</f>
        <v>8606774642</v>
      </c>
      <c r="G142" s="21" t="str">
        <f>IFERROR(__xludf.DUMMYFUNCTION("""COMPUTED_VALUE"""),"riya.mbbs-2020@aiimskalyani.edu.in")</f>
        <v>riya.mbbs-2020@aiimskalyani.edu.in</v>
      </c>
      <c r="H142" s="21" t="str">
        <f>IFERROR(__xludf.DUMMYFUNCTION("""COMPUTED_VALUE"""),"Yes")</f>
        <v>Yes</v>
      </c>
      <c r="I142" s="21" t="str">
        <f>IFERROR(__xludf.DUMMYFUNCTION("""COMPUTED_VALUE"""),"I play musical instruments like Keyboard and do Classical Dance. ")</f>
        <v>I play musical instruments like Keyboard and do Classical Dance. </v>
      </c>
      <c r="J142" s="21" t="str">
        <f>IFERROR(__xludf.DUMMYFUNCTION("""COMPUTED_VALUE"""),"Achievements in Clinical case presentations and Quiz competitions.")</f>
        <v>Achievements in Clinical case presentations and Quiz competitions.</v>
      </c>
      <c r="K142" s="21" t="str">
        <f>IFERROR(__xludf.DUMMYFUNCTION("""COMPUTED_VALUE"""),"Palakkad,Kerala")</f>
        <v>Palakkad,Kerala</v>
      </c>
      <c r="L142" s="22" t="str">
        <f>IFERROR(__xludf.DUMMYFUNCTION("""COMPUTED_VALUE"""),"https://drive.google.com/open?id=1fxh5-Uv1aPb30bXsySbDnRVK9Y3Kg_gX")</f>
        <v>https://drive.google.com/open?id=1fxh5-Uv1aPb30bXsySbDnRVK9Y3Kg_gX</v>
      </c>
      <c r="M142" s="22" t="str">
        <f>IFERROR(__xludf.DUMMYFUNCTION("""COMPUTED_VALUE"""),"https://drive.google.com/open?id=1b2PmDTvfM0tx4EnfWQ5zBGcJFZ-e_yhI")</f>
        <v>https://drive.google.com/open?id=1b2PmDTvfM0tx4EnfWQ5zBGcJFZ-e_yhI</v>
      </c>
      <c r="N142" s="21" t="str">
        <f>IFERROR(__xludf.DUMMYFUNCTION("""COMPUTED_VALUE"""),"BEN")</f>
        <v>BEN</v>
      </c>
      <c r="O142" s="21" t="str">
        <f>IFERROR(__xludf.DUMMYFUNCTION("""COMPUTED_VALUE"""),"Doctor[Consultant Radiologist] &amp; Owner[Ideal Diagnostics Centre]")</f>
        <v>Doctor[Consultant Radiologist] &amp; Owner[Ideal Diagnostics Centre]</v>
      </c>
      <c r="P142" s="21" t="str">
        <f>IFERROR(__xludf.DUMMYFUNCTION("""COMPUTED_VALUE"""),"Madurai,Tamil Nadu")</f>
        <v>Madurai,Tamil Nadu</v>
      </c>
      <c r="Q142" s="21">
        <f>IFERROR(__xludf.DUMMYFUNCTION("""COMPUTED_VALUE"""),9.447277746E9)</f>
        <v>9447277746</v>
      </c>
      <c r="R142" s="21" t="str">
        <f>IFERROR(__xludf.DUMMYFUNCTION("""COMPUTED_VALUE"""),"RANI BEN")</f>
        <v>RANI BEN</v>
      </c>
      <c r="S142" s="21" t="str">
        <f>IFERROR(__xludf.DUMMYFUNCTION("""COMPUTED_VALUE"""),"Administrator [Ideal Diagnostics Centre]")</f>
        <v>Administrator [Ideal Diagnostics Centre]</v>
      </c>
      <c r="T142" s="21" t="str">
        <f>IFERROR(__xludf.DUMMYFUNCTION("""COMPUTED_VALUE"""),"Ernakulam,Kerala")</f>
        <v>Ernakulam,Kerala</v>
      </c>
      <c r="U142" s="21">
        <f>IFERROR(__xludf.DUMMYFUNCTION("""COMPUTED_VALUE"""),9.895637636E9)</f>
        <v>9895637636</v>
      </c>
      <c r="V142" s="21">
        <f>IFERROR(__xludf.DUMMYFUNCTION("""COMPUTED_VALUE"""),2.0)</f>
        <v>2</v>
      </c>
      <c r="W142" s="21" t="str">
        <f>IFERROR(__xludf.DUMMYFUNCTION("""COMPUTED_VALUE"""),"BEN")</f>
        <v>BEN</v>
      </c>
      <c r="X142" s="21" t="str">
        <f>IFERROR(__xludf.DUMMYFUNCTION("""COMPUTED_VALUE"""),"Father")</f>
        <v>Father</v>
      </c>
      <c r="Y142" s="21" t="str">
        <f>IFERROR(__xludf.DUMMYFUNCTION("""COMPUTED_VALUE"""),"RANI BEN")</f>
        <v>RANI BEN</v>
      </c>
      <c r="Z142" s="21" t="str">
        <f>IFERROR(__xludf.DUMMYFUNCTION("""COMPUTED_VALUE"""),"Mother ")</f>
        <v>Mother </v>
      </c>
      <c r="AA142" s="21" t="str">
        <f>IFERROR(__xludf.DUMMYFUNCTION("""COMPUTED_VALUE"""),"Non-Veg")</f>
        <v>Non-Veg</v>
      </c>
      <c r="AB142" s="21" t="str">
        <f>IFERROR(__xludf.DUMMYFUNCTION("""COMPUTED_VALUE"""),"Non-Veg")</f>
        <v>Non-Veg</v>
      </c>
      <c r="AC142" s="21" t="str">
        <f>IFERROR(__xludf.DUMMYFUNCTION("""COMPUTED_VALUE"""),"Non-Veg")</f>
        <v>Non-Veg</v>
      </c>
      <c r="AD142" s="21" t="str">
        <f>IFERROR(__xludf.DUMMYFUNCTION("""COMPUTED_VALUE"""),"Bus Drop Service not needed")</f>
        <v>Bus Drop Service not needed</v>
      </c>
      <c r="AE142" s="21"/>
    </row>
    <row r="143" ht="22.5" customHeight="1">
      <c r="A143" s="18">
        <f>IFERROR(__xludf.DUMMYFUNCTION("""COMPUTED_VALUE"""),46260.065360127315)</f>
        <v>46260.06536</v>
      </c>
      <c r="B143" s="21" t="str">
        <f>IFERROR(__xludf.DUMMYFUNCTION("""COMPUTED_VALUE"""),"krishnas.mbbs-2020@aiimskalyani.edu.in")</f>
        <v>krishnas.mbbs-2020@aiimskalyani.edu.in</v>
      </c>
      <c r="C143" s="21" t="str">
        <f>IFERROR(__xludf.DUMMYFUNCTION("""COMPUTED_VALUE"""),"KRISHNAS MAHI ")</f>
        <v>KRISHNAS MAHI </v>
      </c>
      <c r="D143" s="21" t="str">
        <f>IFERROR(__xludf.DUMMYFUNCTION("""COMPUTED_VALUE"""),"58/202001108")</f>
        <v>58/202001108</v>
      </c>
      <c r="E143" s="21" t="str">
        <f>IFERROR(__xludf.DUMMYFUNCTION("""COMPUTED_VALUE"""),"MBBS 2020")</f>
        <v>MBBS 2020</v>
      </c>
      <c r="F143" s="21">
        <f>IFERROR(__xludf.DUMMYFUNCTION("""COMPUTED_VALUE"""),9.11016785E9)</f>
        <v>9110167850</v>
      </c>
      <c r="G143" s="21" t="str">
        <f>IFERROR(__xludf.DUMMYFUNCTION("""COMPUTED_VALUE"""),"krishnasmahi1@gmail.com")</f>
        <v>krishnasmahi1@gmail.com</v>
      </c>
      <c r="H143" s="21" t="str">
        <f>IFERROR(__xludf.DUMMYFUNCTION("""COMPUTED_VALUE"""),"Yes")</f>
        <v>Yes</v>
      </c>
      <c r="I143" s="21" t="str">
        <f>IFERROR(__xludf.DUMMYFUNCTION("""COMPUTED_VALUE"""),"Cooking &amp;Baking, makeup, painting ")</f>
        <v>Cooking &amp;Baking, makeup, painting </v>
      </c>
      <c r="J143" s="21" t="str">
        <f>IFERROR(__xludf.DUMMYFUNCTION("""COMPUTED_VALUE"""),"No such")</f>
        <v>No such</v>
      </c>
      <c r="K143" s="21" t="str">
        <f>IFERROR(__xludf.DUMMYFUNCTION("""COMPUTED_VALUE"""),"Bhagalpur ")</f>
        <v>Bhagalpur </v>
      </c>
      <c r="L143" s="22" t="str">
        <f>IFERROR(__xludf.DUMMYFUNCTION("""COMPUTED_VALUE"""),"https://drive.google.com/open?id=1XTyHx4GbZQFlgWAkfnY_3DnqsZBqeupP")</f>
        <v>https://drive.google.com/open?id=1XTyHx4GbZQFlgWAkfnY_3DnqsZBqeupP</v>
      </c>
      <c r="M143" s="22" t="str">
        <f>IFERROR(__xludf.DUMMYFUNCTION("""COMPUTED_VALUE"""),"https://drive.google.com/open?id=1P_X0YDbiCrcY9oVeF1sWkeovZYgKMExE")</f>
        <v>https://drive.google.com/open?id=1P_X0YDbiCrcY9oVeF1sWkeovZYgKMExE</v>
      </c>
      <c r="N143" s="21" t="str">
        <f>IFERROR(__xludf.DUMMYFUNCTION("""COMPUTED_VALUE"""),"Mr. Anupam Kumar Veena ")</f>
        <v>Mr. Anupam Kumar Veena </v>
      </c>
      <c r="O143" s="21" t="str">
        <f>IFERROR(__xludf.DUMMYFUNCTION("""COMPUTED_VALUE"""),"Businessman ")</f>
        <v>Businessman </v>
      </c>
      <c r="P143" s="21" t="str">
        <f>IFERROR(__xludf.DUMMYFUNCTION("""COMPUTED_VALUE"""),"Bhagalpur ")</f>
        <v>Bhagalpur </v>
      </c>
      <c r="Q143" s="21">
        <f>IFERROR(__xludf.DUMMYFUNCTION("""COMPUTED_VALUE"""),7.488610832E9)</f>
        <v>7488610832</v>
      </c>
      <c r="R143" s="21" t="str">
        <f>IFERROR(__xludf.DUMMYFUNCTION("""COMPUTED_VALUE"""),"Mrs Pankhuri Verma ")</f>
        <v>Mrs Pankhuri Verma </v>
      </c>
      <c r="S143" s="21" t="str">
        <f>IFERROR(__xludf.DUMMYFUNCTION("""COMPUTED_VALUE"""),"Teacher ")</f>
        <v>Teacher </v>
      </c>
      <c r="T143" s="21" t="str">
        <f>IFERROR(__xludf.DUMMYFUNCTION("""COMPUTED_VALUE"""),"Bhagalpur ")</f>
        <v>Bhagalpur </v>
      </c>
      <c r="U143" s="21">
        <f>IFERROR(__xludf.DUMMYFUNCTION("""COMPUTED_VALUE"""),9.11090467E9)</f>
        <v>9110904670</v>
      </c>
      <c r="V143" s="21">
        <f>IFERROR(__xludf.DUMMYFUNCTION("""COMPUTED_VALUE"""),2.0)</f>
        <v>2</v>
      </c>
      <c r="W143" s="21" t="str">
        <f>IFERROR(__xludf.DUMMYFUNCTION("""COMPUTED_VALUE"""),"Mr Anupam Kumar Verma ")</f>
        <v>Mr Anupam Kumar Verma </v>
      </c>
      <c r="X143" s="21" t="str">
        <f>IFERROR(__xludf.DUMMYFUNCTION("""COMPUTED_VALUE"""),"Father")</f>
        <v>Father</v>
      </c>
      <c r="Y143" s="21" t="str">
        <f>IFERROR(__xludf.DUMMYFUNCTION("""COMPUTED_VALUE"""),"Mrs Pankhuri Verma ")</f>
        <v>Mrs Pankhuri Verma </v>
      </c>
      <c r="Z143" s="21" t="str">
        <f>IFERROR(__xludf.DUMMYFUNCTION("""COMPUTED_VALUE"""),"Mother")</f>
        <v>Mother</v>
      </c>
      <c r="AA143" s="21" t="str">
        <f>IFERROR(__xludf.DUMMYFUNCTION("""COMPUTED_VALUE"""),"Non-Veg")</f>
        <v>Non-Veg</v>
      </c>
      <c r="AB143" s="21" t="str">
        <f>IFERROR(__xludf.DUMMYFUNCTION("""COMPUTED_VALUE"""),"Non-Veg")</f>
        <v>Non-Veg</v>
      </c>
      <c r="AC143" s="21" t="str">
        <f>IFERROR(__xludf.DUMMYFUNCTION("""COMPUTED_VALUE"""),"Non-Veg")</f>
        <v>Non-Veg</v>
      </c>
      <c r="AD143" s="21" t="str">
        <f>IFERROR(__xludf.DUMMYFUNCTION("""COMPUTED_VALUE"""),"Bus Drop Service not needed")</f>
        <v>Bus Drop Service not needed</v>
      </c>
      <c r="AE143" s="21">
        <f>IFERROR(__xludf.DUMMYFUNCTION("""COMPUTED_VALUE"""),0.0)</f>
        <v>0</v>
      </c>
    </row>
    <row r="144" ht="22.5" customHeight="1">
      <c r="A144" s="18">
        <f>IFERROR(__xludf.DUMMYFUNCTION("""COMPUTED_VALUE"""),46259.89947233796)</f>
        <v>46259.89947</v>
      </c>
      <c r="B144" s="21" t="str">
        <f>IFERROR(__xludf.DUMMYFUNCTION("""COMPUTED_VALUE"""),"satyajit.mbbs-2020@aiimskalyani.edu.in")</f>
        <v>satyajit.mbbs-2020@aiimskalyani.edu.in</v>
      </c>
      <c r="C144" s="21" t="str">
        <f>IFERROR(__xludf.DUMMYFUNCTION("""COMPUTED_VALUE"""),"SATYAJIT BEHERA ")</f>
        <v>SATYAJIT BEHERA </v>
      </c>
      <c r="D144" s="21" t="str">
        <f>IFERROR(__xludf.DUMMYFUNCTION("""COMPUTED_VALUE"""),"86(202001136)")</f>
        <v>86(202001136)</v>
      </c>
      <c r="E144" s="21" t="str">
        <f>IFERROR(__xludf.DUMMYFUNCTION("""COMPUTED_VALUE"""),"MBBS 2020")</f>
        <v>MBBS 2020</v>
      </c>
      <c r="F144" s="21">
        <f>IFERROR(__xludf.DUMMYFUNCTION("""COMPUTED_VALUE"""),8.98415561E9)</f>
        <v>8984155610</v>
      </c>
      <c r="G144" s="21" t="str">
        <f>IFERROR(__xludf.DUMMYFUNCTION("""COMPUTED_VALUE"""),"satyajit.mbbs-2020@aiimskalyani.edu.in")</f>
        <v>satyajit.mbbs-2020@aiimskalyani.edu.in</v>
      </c>
      <c r="H144" s="21" t="str">
        <f>IFERROR(__xludf.DUMMYFUNCTION("""COMPUTED_VALUE"""),"Yes")</f>
        <v>Yes</v>
      </c>
      <c r="I144" s="21" t="str">
        <f>IFERROR(__xludf.DUMMYFUNCTION("""COMPUTED_VALUE"""),"Studying ")</f>
        <v>Studying </v>
      </c>
      <c r="J144" s="21"/>
      <c r="K144" s="21" t="str">
        <f>IFERROR(__xludf.DUMMYFUNCTION("""COMPUTED_VALUE"""),"Bhadrak ")</f>
        <v>Bhadrak </v>
      </c>
      <c r="L144" s="22" t="str">
        <f>IFERROR(__xludf.DUMMYFUNCTION("""COMPUTED_VALUE"""),"https://drive.google.com/open?id=1pTCiAxTmh72cd1ew5dqtKt5o63zF4DVl")</f>
        <v>https://drive.google.com/open?id=1pTCiAxTmh72cd1ew5dqtKt5o63zF4DVl</v>
      </c>
      <c r="M144" s="22" t="str">
        <f>IFERROR(__xludf.DUMMYFUNCTION("""COMPUTED_VALUE"""),"https://drive.google.com/open?id=18yGlpiRX8BvHeQapF545hc1x-tS2uJog")</f>
        <v>https://drive.google.com/open?id=18yGlpiRX8BvHeQapF545hc1x-tS2uJog</v>
      </c>
      <c r="N144" s="21" t="str">
        <f>IFERROR(__xludf.DUMMYFUNCTION("""COMPUTED_VALUE"""),"Ramakanta Behera ")</f>
        <v>Ramakanta Behera </v>
      </c>
      <c r="O144" s="21" t="str">
        <f>IFERROR(__xludf.DUMMYFUNCTION("""COMPUTED_VALUE"""),"Farmer ")</f>
        <v>Farmer </v>
      </c>
      <c r="P144" s="21" t="str">
        <f>IFERROR(__xludf.DUMMYFUNCTION("""COMPUTED_VALUE"""),"Bhadrak ")</f>
        <v>Bhadrak </v>
      </c>
      <c r="Q144" s="21">
        <f>IFERROR(__xludf.DUMMYFUNCTION("""COMPUTED_VALUE"""),8.598018028E9)</f>
        <v>8598018028</v>
      </c>
      <c r="R144" s="21" t="str">
        <f>IFERROR(__xludf.DUMMYFUNCTION("""COMPUTED_VALUE"""),"Minati Behera ")</f>
        <v>Minati Behera </v>
      </c>
      <c r="S144" s="21" t="str">
        <f>IFERROR(__xludf.DUMMYFUNCTION("""COMPUTED_VALUE"""),"Housewife ")</f>
        <v>Housewife </v>
      </c>
      <c r="T144" s="21" t="str">
        <f>IFERROR(__xludf.DUMMYFUNCTION("""COMPUTED_VALUE"""),"Bhadrak ")</f>
        <v>Bhadrak </v>
      </c>
      <c r="U144" s="21">
        <f>IFERROR(__xludf.DUMMYFUNCTION("""COMPUTED_VALUE"""),8.598018028E9)</f>
        <v>8598018028</v>
      </c>
      <c r="V144" s="21">
        <f>IFERROR(__xludf.DUMMYFUNCTION("""COMPUTED_VALUE"""),2.0)</f>
        <v>2</v>
      </c>
      <c r="W144" s="21" t="str">
        <f>IFERROR(__xludf.DUMMYFUNCTION("""COMPUTED_VALUE"""),"Sasmita Barik ")</f>
        <v>Sasmita Barik </v>
      </c>
      <c r="X144" s="21" t="str">
        <f>IFERROR(__xludf.DUMMYFUNCTION("""COMPUTED_VALUE"""),"Sister ")</f>
        <v>Sister </v>
      </c>
      <c r="Y144" s="21" t="str">
        <f>IFERROR(__xludf.DUMMYFUNCTION("""COMPUTED_VALUE"""),"Kashinath Barik ")</f>
        <v>Kashinath Barik </v>
      </c>
      <c r="Z144" s="21" t="str">
        <f>IFERROR(__xludf.DUMMYFUNCTION("""COMPUTED_VALUE"""),"Brother ")</f>
        <v>Brother </v>
      </c>
      <c r="AA144" s="21" t="str">
        <f>IFERROR(__xludf.DUMMYFUNCTION("""COMPUTED_VALUE"""),"Non-Veg")</f>
        <v>Non-Veg</v>
      </c>
      <c r="AB144" s="21" t="str">
        <f>IFERROR(__xludf.DUMMYFUNCTION("""COMPUTED_VALUE"""),"Veg")</f>
        <v>Veg</v>
      </c>
      <c r="AC144" s="21" t="str">
        <f>IFERROR(__xludf.DUMMYFUNCTION("""COMPUTED_VALUE"""),"Non-Veg")</f>
        <v>Non-Veg</v>
      </c>
      <c r="AD144" s="21" t="str">
        <f>IFERROR(__xludf.DUMMYFUNCTION("""COMPUTED_VALUE"""),"Bus Drop Service not needed")</f>
        <v>Bus Drop Service not needed</v>
      </c>
      <c r="AE144" s="21">
        <f>IFERROR(__xludf.DUMMYFUNCTION("""COMPUTED_VALUE"""),0.0)</f>
        <v>0</v>
      </c>
    </row>
    <row r="145" ht="22.5" customHeight="1">
      <c r="A145" s="18">
        <f>IFERROR(__xludf.DUMMYFUNCTION("""COMPUTED_VALUE"""),46259.73850690972)</f>
        <v>46259.73851</v>
      </c>
      <c r="B145" s="21" t="str">
        <f>IFERROR(__xludf.DUMMYFUNCTION("""COMPUTED_VALUE"""),"samina.bscnursing-2021@aiimskalyani.edu.in")</f>
        <v>samina.bscnursing-2021@aiimskalyani.edu.in</v>
      </c>
      <c r="C145" s="21" t="str">
        <f>IFERROR(__xludf.DUMMYFUNCTION("""COMPUTED_VALUE"""),"SAMINA YASMIN ")</f>
        <v>SAMINA YASMIN </v>
      </c>
      <c r="D145" s="21">
        <f>IFERROR(__xludf.DUMMYFUNCTION("""COMPUTED_VALUE"""),2.0210243E7)</f>
        <v>20210243</v>
      </c>
      <c r="E145" s="21" t="str">
        <f>IFERROR(__xludf.DUMMYFUNCTION("""COMPUTED_VALUE"""),"B.Sc (Hons) Nursing 2021")</f>
        <v>B.Sc (Hons) Nursing 2021</v>
      </c>
      <c r="F145" s="21">
        <f>IFERROR(__xludf.DUMMYFUNCTION("""COMPUTED_VALUE"""),8.52946088E9)</f>
        <v>8529460880</v>
      </c>
      <c r="G145" s="21" t="str">
        <f>IFERROR(__xludf.DUMMYFUNCTION("""COMPUTED_VALUE"""),"yasminsamina2312@gmail.com")</f>
        <v>yasminsamina2312@gmail.com</v>
      </c>
      <c r="H145" s="21" t="str">
        <f>IFERROR(__xludf.DUMMYFUNCTION("""COMPUTED_VALUE"""),"Yes")</f>
        <v>Yes</v>
      </c>
      <c r="I145" s="21" t="str">
        <f>IFERROR(__xludf.DUMMYFUNCTION("""COMPUTED_VALUE"""),"Travelling and exploring  new places 
Cooking  and listening  music 
")</f>
        <v>Travelling and exploring  new places 
Cooking  and listening  music 
</v>
      </c>
      <c r="J145" s="21" t="str">
        <f>IFERROR(__xludf.DUMMYFUNCTION("""COMPUTED_VALUE"""),"NA")</f>
        <v>NA</v>
      </c>
      <c r="K145" s="21" t="str">
        <f>IFERROR(__xludf.DUMMYFUNCTION("""COMPUTED_VALUE"""),"Uttar Dinajpur ")</f>
        <v>Uttar Dinajpur </v>
      </c>
      <c r="L145" s="22" t="str">
        <f>IFERROR(__xludf.DUMMYFUNCTION("""COMPUTED_VALUE"""),"https://drive.google.com/open?id=1ff7w9oWM0zZamED4L5zGFL1ShxRfELVm")</f>
        <v>https://drive.google.com/open?id=1ff7w9oWM0zZamED4L5zGFL1ShxRfELVm</v>
      </c>
      <c r="M145" s="22" t="str">
        <f>IFERROR(__xludf.DUMMYFUNCTION("""COMPUTED_VALUE"""),"https://drive.google.com/open?id=15g0VUuS3eWOtYa4xYiE-49HMFJkGPJ_H")</f>
        <v>https://drive.google.com/open?id=15g0VUuS3eWOtYa4xYiE-49HMFJkGPJ_H</v>
      </c>
      <c r="N145" s="21" t="str">
        <f>IFERROR(__xludf.DUMMYFUNCTION("""COMPUTED_VALUE"""),"MD.Islamuddin")</f>
        <v>MD.Islamuddin</v>
      </c>
      <c r="O145" s="21" t="str">
        <f>IFERROR(__xludf.DUMMYFUNCTION("""COMPUTED_VALUE"""),"Servicemen ( Kolkata  police)")</f>
        <v>Servicemen ( Kolkata  police)</v>
      </c>
      <c r="P145" s="21" t="str">
        <f>IFERROR(__xludf.DUMMYFUNCTION("""COMPUTED_VALUE"""),"Uttar  Dinajpur ")</f>
        <v>Uttar  Dinajpur </v>
      </c>
      <c r="Q145" s="21">
        <f>IFERROR(__xludf.DUMMYFUNCTION("""COMPUTED_VALUE"""),8.777838566E9)</f>
        <v>8777838566</v>
      </c>
      <c r="R145" s="21" t="str">
        <f>IFERROR(__xludf.DUMMYFUNCTION("""COMPUTED_VALUE"""),"Manwara  Begam")</f>
        <v>Manwara  Begam</v>
      </c>
      <c r="S145" s="21" t="str">
        <f>IFERROR(__xludf.DUMMYFUNCTION("""COMPUTED_VALUE"""),"Housewife ")</f>
        <v>Housewife </v>
      </c>
      <c r="T145" s="21" t="str">
        <f>IFERROR(__xludf.DUMMYFUNCTION("""COMPUTED_VALUE"""),"Uttar Dinajpur ")</f>
        <v>Uttar Dinajpur </v>
      </c>
      <c r="U145" s="21">
        <f>IFERROR(__xludf.DUMMYFUNCTION("""COMPUTED_VALUE"""),9.679153471E9)</f>
        <v>9679153471</v>
      </c>
      <c r="V145" s="21">
        <f>IFERROR(__xludf.DUMMYFUNCTION("""COMPUTED_VALUE"""),1.0)</f>
        <v>1</v>
      </c>
      <c r="W145" s="21" t="str">
        <f>IFERROR(__xludf.DUMMYFUNCTION("""COMPUTED_VALUE"""),"MD . Islamuddin")</f>
        <v>MD . Islamuddin</v>
      </c>
      <c r="X145" s="21" t="str">
        <f>IFERROR(__xludf.DUMMYFUNCTION("""COMPUTED_VALUE"""),"Father ")</f>
        <v>Father </v>
      </c>
      <c r="Y145" s="21" t="str">
        <f>IFERROR(__xludf.DUMMYFUNCTION("""COMPUTED_VALUE"""),"NA")</f>
        <v>NA</v>
      </c>
      <c r="Z145" s="21" t="str">
        <f>IFERROR(__xludf.DUMMYFUNCTION("""COMPUTED_VALUE"""),"NA")</f>
        <v>NA</v>
      </c>
      <c r="AA145" s="21" t="str">
        <f>IFERROR(__xludf.DUMMYFUNCTION("""COMPUTED_VALUE"""),"Non-Veg")</f>
        <v>Non-Veg</v>
      </c>
      <c r="AB145" s="21" t="str">
        <f>IFERROR(__xludf.DUMMYFUNCTION("""COMPUTED_VALUE"""),"Non-Veg")</f>
        <v>Non-Veg</v>
      </c>
      <c r="AC145" s="21"/>
      <c r="AD145" s="21" t="str">
        <f>IFERROR(__xludf.DUMMYFUNCTION("""COMPUTED_VALUE"""),"Bus Drop Service not needed")</f>
        <v>Bus Drop Service not needed</v>
      </c>
      <c r="AE145" s="21">
        <f>IFERROR(__xludf.DUMMYFUNCTION("""COMPUTED_VALUE"""),0.0)</f>
        <v>0</v>
      </c>
    </row>
    <row r="146" ht="22.5" customHeight="1">
      <c r="A146" s="18">
        <f>IFERROR(__xludf.DUMMYFUNCTION("""COMPUTED_VALUE"""),46259.730784907406)</f>
        <v>46259.73078</v>
      </c>
      <c r="B146" s="21" t="str">
        <f>IFERROR(__xludf.DUMMYFUNCTION("""COMPUTED_VALUE"""),"aritpriyo.mbbs-2020@aiimskalyani.edu.in")</f>
        <v>aritpriyo.mbbs-2020@aiimskalyani.edu.in</v>
      </c>
      <c r="C146" s="21" t="str">
        <f>IFERROR(__xludf.DUMMYFUNCTION("""COMPUTED_VALUE"""),"ARITPRIYO GHOSH ")</f>
        <v>ARITPRIYO GHOSH </v>
      </c>
      <c r="D146" s="21">
        <f>IFERROR(__xludf.DUMMYFUNCTION("""COMPUTED_VALUE"""),24.0)</f>
        <v>24</v>
      </c>
      <c r="E146" s="21" t="str">
        <f>IFERROR(__xludf.DUMMYFUNCTION("""COMPUTED_VALUE"""),"MBBS 2020")</f>
        <v>MBBS 2020</v>
      </c>
      <c r="F146" s="21">
        <f>IFERROR(__xludf.DUMMYFUNCTION("""COMPUTED_VALUE"""),7.339814841E9)</f>
        <v>7339814841</v>
      </c>
      <c r="G146" s="21" t="str">
        <f>IFERROR(__xludf.DUMMYFUNCTION("""COMPUTED_VALUE"""),"rikghosh2015@gmail.com")</f>
        <v>rikghosh2015@gmail.com</v>
      </c>
      <c r="H146" s="21" t="str">
        <f>IFERROR(__xludf.DUMMYFUNCTION("""COMPUTED_VALUE"""),"Yes")</f>
        <v>Yes</v>
      </c>
      <c r="I146" s="21"/>
      <c r="J146" s="21"/>
      <c r="K146" s="21" t="str">
        <f>IFERROR(__xludf.DUMMYFUNCTION("""COMPUTED_VALUE"""),"Kalyani ")</f>
        <v>Kalyani </v>
      </c>
      <c r="L146" s="22" t="str">
        <f>IFERROR(__xludf.DUMMYFUNCTION("""COMPUTED_VALUE"""),"https://drive.google.com/open?id=1_lO5SQB-zGnpvwJKVcDPzkTOs5OgzmxX")</f>
        <v>https://drive.google.com/open?id=1_lO5SQB-zGnpvwJKVcDPzkTOs5OgzmxX</v>
      </c>
      <c r="M146" s="22" t="str">
        <f>IFERROR(__xludf.DUMMYFUNCTION("""COMPUTED_VALUE"""),"https://drive.google.com/open?id=1lM_Pqa4APkRd4ud8x3cCNVqZaH20aqcU")</f>
        <v>https://drive.google.com/open?id=1lM_Pqa4APkRd4ud8x3cCNVqZaH20aqcU</v>
      </c>
      <c r="N146" s="21" t="str">
        <f>IFERROR(__xludf.DUMMYFUNCTION("""COMPUTED_VALUE"""),"Rajib Ghosh")</f>
        <v>Rajib Ghosh</v>
      </c>
      <c r="O146" s="21" t="str">
        <f>IFERROR(__xludf.DUMMYFUNCTION("""COMPUTED_VALUE"""),"Government service ")</f>
        <v>Government service </v>
      </c>
      <c r="P146" s="21" t="str">
        <f>IFERROR(__xludf.DUMMYFUNCTION("""COMPUTED_VALUE"""),"Kalyani ")</f>
        <v>Kalyani </v>
      </c>
      <c r="Q146" s="21">
        <f>IFERROR(__xludf.DUMMYFUNCTION("""COMPUTED_VALUE"""),8.017553865E9)</f>
        <v>8017553865</v>
      </c>
      <c r="R146" s="21" t="str">
        <f>IFERROR(__xludf.DUMMYFUNCTION("""COMPUTED_VALUE"""),"Madhumita Ghosh")</f>
        <v>Madhumita Ghosh</v>
      </c>
      <c r="S146" s="21" t="str">
        <f>IFERROR(__xludf.DUMMYFUNCTION("""COMPUTED_VALUE"""),"Home maker")</f>
        <v>Home maker</v>
      </c>
      <c r="T146" s="21" t="str">
        <f>IFERROR(__xludf.DUMMYFUNCTION("""COMPUTED_VALUE"""),"Kalyani")</f>
        <v>Kalyani</v>
      </c>
      <c r="U146" s="21">
        <f>IFERROR(__xludf.DUMMYFUNCTION("""COMPUTED_VALUE"""),6.289116611E9)</f>
        <v>6289116611</v>
      </c>
      <c r="V146" s="21">
        <f>IFERROR(__xludf.DUMMYFUNCTION("""COMPUTED_VALUE"""),2.0)</f>
        <v>2</v>
      </c>
      <c r="W146" s="21" t="str">
        <f>IFERROR(__xludf.DUMMYFUNCTION("""COMPUTED_VALUE"""),"Madhumita Ghosh ")</f>
        <v>Madhumita Ghosh </v>
      </c>
      <c r="X146" s="21" t="str">
        <f>IFERROR(__xludf.DUMMYFUNCTION("""COMPUTED_VALUE"""),"Mother")</f>
        <v>Mother</v>
      </c>
      <c r="Y146" s="21" t="str">
        <f>IFERROR(__xludf.DUMMYFUNCTION("""COMPUTED_VALUE"""),"Rajib Ghosh ")</f>
        <v>Rajib Ghosh </v>
      </c>
      <c r="Z146" s="21" t="str">
        <f>IFERROR(__xludf.DUMMYFUNCTION("""COMPUTED_VALUE"""),"Father")</f>
        <v>Father</v>
      </c>
      <c r="AA146" s="21" t="str">
        <f>IFERROR(__xludf.DUMMYFUNCTION("""COMPUTED_VALUE"""),"Non-Veg")</f>
        <v>Non-Veg</v>
      </c>
      <c r="AB146" s="21" t="str">
        <f>IFERROR(__xludf.DUMMYFUNCTION("""COMPUTED_VALUE"""),"Non-Veg")</f>
        <v>Non-Veg</v>
      </c>
      <c r="AC146" s="21" t="str">
        <f>IFERROR(__xludf.DUMMYFUNCTION("""COMPUTED_VALUE"""),"Non-Veg")</f>
        <v>Non-Veg</v>
      </c>
      <c r="AD146" s="21"/>
      <c r="AE146" s="21">
        <f>IFERROR(__xludf.DUMMYFUNCTION("""COMPUTED_VALUE"""),0.0)</f>
        <v>0</v>
      </c>
    </row>
    <row r="147" ht="22.5" customHeight="1">
      <c r="A147" s="18">
        <f>IFERROR(__xludf.DUMMYFUNCTION("""COMPUTED_VALUE"""),46259.4680224537)</f>
        <v>46259.46802</v>
      </c>
      <c r="B147" s="21" t="str">
        <f>IFERROR(__xludf.DUMMYFUNCTION("""COMPUTED_VALUE"""),"awantika.mbbs-2020@aiimskalyani.edu.in")</f>
        <v>awantika.mbbs-2020@aiimskalyani.edu.in</v>
      </c>
      <c r="C147" s="21" t="str">
        <f>IFERROR(__xludf.DUMMYFUNCTION("""COMPUTED_VALUE"""),"AWANTIKA JHA ")</f>
        <v>AWANTIKA JHA </v>
      </c>
      <c r="D147" s="21" t="str">
        <f>IFERROR(__xludf.DUMMYFUNCTION("""COMPUTED_VALUE""")," Enrolment number: 20200181")</f>
        <v> Enrolment number: 20200181</v>
      </c>
      <c r="E147" s="21" t="str">
        <f>IFERROR(__xludf.DUMMYFUNCTION("""COMPUTED_VALUE"""),"MBBS 2020")</f>
        <v>MBBS 2020</v>
      </c>
      <c r="F147" s="21">
        <f>IFERROR(__xludf.DUMMYFUNCTION("""COMPUTED_VALUE"""),8.918275082E9)</f>
        <v>8918275082</v>
      </c>
      <c r="G147" s="21" t="str">
        <f>IFERROR(__xludf.DUMMYFUNCTION("""COMPUTED_VALUE"""),"awantika.mbbs-2020@aiimskalyani.edu.in")</f>
        <v>awantika.mbbs-2020@aiimskalyani.edu.in</v>
      </c>
      <c r="H147" s="21" t="str">
        <f>IFERROR(__xludf.DUMMYFUNCTION("""COMPUTED_VALUE"""),"Yes")</f>
        <v>Yes</v>
      </c>
      <c r="I147" s="21" t="str">
        <f>IFERROR(__xludf.DUMMYFUNCTION("""COMPUTED_VALUE"""),"Poem writing, listening to music ")</f>
        <v>Poem writing, listening to music </v>
      </c>
      <c r="J147" s="21"/>
      <c r="K147" s="21" t="str">
        <f>IFERROR(__xludf.DUMMYFUNCTION("""COMPUTED_VALUE"""),"Durgapur")</f>
        <v>Durgapur</v>
      </c>
      <c r="L147" s="22" t="str">
        <f>IFERROR(__xludf.DUMMYFUNCTION("""COMPUTED_VALUE"""),"https://drive.google.com/open?id=1swgdXG5ahfxdANZb31Jij9iuAiMrQ-GJ")</f>
        <v>https://drive.google.com/open?id=1swgdXG5ahfxdANZb31Jij9iuAiMrQ-GJ</v>
      </c>
      <c r="M147" s="22" t="str">
        <f>IFERROR(__xludf.DUMMYFUNCTION("""COMPUTED_VALUE"""),"https://drive.google.com/open?id=1T6W7gCxCxiXRzLWClR30gfBGvOB7xvpI")</f>
        <v>https://drive.google.com/open?id=1T6W7gCxCxiXRzLWClR30gfBGvOB7xvpI</v>
      </c>
      <c r="N147" s="21" t="str">
        <f>IFERROR(__xludf.DUMMYFUNCTION("""COMPUTED_VALUE"""),"Vimalesh Kumar ")</f>
        <v>Vimalesh Kumar </v>
      </c>
      <c r="O147" s="21" t="str">
        <f>IFERROR(__xludf.DUMMYFUNCTION("""COMPUTED_VALUE"""),"Deputy Accountant General/IAAS")</f>
        <v>Deputy Accountant General/IAAS</v>
      </c>
      <c r="P147" s="21" t="str">
        <f>IFERROR(__xludf.DUMMYFUNCTION("""COMPUTED_VALUE"""),"KOLKATA ")</f>
        <v>KOLKATA </v>
      </c>
      <c r="Q147" s="21">
        <f>IFERROR(__xludf.DUMMYFUNCTION("""COMPUTED_VALUE"""),9.434200996E9)</f>
        <v>9434200996</v>
      </c>
      <c r="R147" s="21" t="str">
        <f>IFERROR(__xludf.DUMMYFUNCTION("""COMPUTED_VALUE"""),"Guriya Kumari ")</f>
        <v>Guriya Kumari </v>
      </c>
      <c r="S147" s="21" t="str">
        <f>IFERROR(__xludf.DUMMYFUNCTION("""COMPUTED_VALUE"""),"Homemaker")</f>
        <v>Homemaker</v>
      </c>
      <c r="T147" s="21" t="str">
        <f>IFERROR(__xludf.DUMMYFUNCTION("""COMPUTED_VALUE"""),"Durgapur ")</f>
        <v>Durgapur </v>
      </c>
      <c r="U147" s="21">
        <f>IFERROR(__xludf.DUMMYFUNCTION("""COMPUTED_VALUE"""),9.339372714E9)</f>
        <v>9339372714</v>
      </c>
      <c r="V147" s="21">
        <f>IFERROR(__xludf.DUMMYFUNCTION("""COMPUTED_VALUE"""),2.0)</f>
        <v>2</v>
      </c>
      <c r="W147" s="21" t="str">
        <f>IFERROR(__xludf.DUMMYFUNCTION("""COMPUTED_VALUE"""),"Vimalesh Kumar ")</f>
        <v>Vimalesh Kumar </v>
      </c>
      <c r="X147" s="21" t="str">
        <f>IFERROR(__xludf.DUMMYFUNCTION("""COMPUTED_VALUE"""),"Father")</f>
        <v>Father</v>
      </c>
      <c r="Y147" s="21" t="str">
        <f>IFERROR(__xludf.DUMMYFUNCTION("""COMPUTED_VALUE"""),"Guriya Kumari")</f>
        <v>Guriya Kumari</v>
      </c>
      <c r="Z147" s="21" t="str">
        <f>IFERROR(__xludf.DUMMYFUNCTION("""COMPUTED_VALUE"""),"Mother")</f>
        <v>Mother</v>
      </c>
      <c r="AA147" s="21" t="str">
        <f>IFERROR(__xludf.DUMMYFUNCTION("""COMPUTED_VALUE"""),"Veg")</f>
        <v>Veg</v>
      </c>
      <c r="AB147" s="21" t="str">
        <f>IFERROR(__xludf.DUMMYFUNCTION("""COMPUTED_VALUE"""),"Veg")</f>
        <v>Veg</v>
      </c>
      <c r="AC147" s="21" t="str">
        <f>IFERROR(__xludf.DUMMYFUNCTION("""COMPUTED_VALUE"""),"Veg")</f>
        <v>Veg</v>
      </c>
      <c r="AD147" s="21" t="str">
        <f>IFERROR(__xludf.DUMMYFUNCTION("""COMPUTED_VALUE"""),"Bus Drop Service not needed")</f>
        <v>Bus Drop Service not needed</v>
      </c>
      <c r="AE147" s="21">
        <f>IFERROR(__xludf.DUMMYFUNCTION("""COMPUTED_VALUE"""),0.0)</f>
        <v>0</v>
      </c>
    </row>
    <row r="148" ht="22.5" customHeight="1">
      <c r="A148" s="18">
        <f>IFERROR(__xludf.DUMMYFUNCTION("""COMPUTED_VALUE"""),46259.461452476855)</f>
        <v>46259.46145</v>
      </c>
      <c r="B148" s="21" t="str">
        <f>IFERROR(__xludf.DUMMYFUNCTION("""COMPUTED_VALUE"""),"tuabanerjee1998@gmail.com")</f>
        <v>tuabanerjee1998@gmail.com</v>
      </c>
      <c r="C148" s="21" t="str">
        <f>IFERROR(__xludf.DUMMYFUNCTION("""COMPUTED_VALUE"""),"SUKANYA BANERJEE")</f>
        <v>SUKANYA BANERJEE</v>
      </c>
      <c r="D148" s="21">
        <f>IFERROR(__xludf.DUMMYFUNCTION("""COMPUTED_VALUE"""),2.0210254E7)</f>
        <v>20210254</v>
      </c>
      <c r="E148" s="21" t="str">
        <f>IFERROR(__xludf.DUMMYFUNCTION("""COMPUTED_VALUE"""),"B.Sc (Hons) Nursing 2021")</f>
        <v>B.Sc (Hons) Nursing 2021</v>
      </c>
      <c r="F148" s="21">
        <f>IFERROR(__xludf.DUMMYFUNCTION("""COMPUTED_VALUE"""),8.967823183E9)</f>
        <v>8967823183</v>
      </c>
      <c r="G148" s="21" t="str">
        <f>IFERROR(__xludf.DUMMYFUNCTION("""COMPUTED_VALUE"""),"tuabanerjee1998@gmail.com")</f>
        <v>tuabanerjee1998@gmail.com</v>
      </c>
      <c r="H148" s="21" t="str">
        <f>IFERROR(__xludf.DUMMYFUNCTION("""COMPUTED_VALUE"""),"Yes")</f>
        <v>Yes</v>
      </c>
      <c r="I148" s="21" t="str">
        <f>IFERROR(__xludf.DUMMYFUNCTION("""COMPUTED_VALUE"""),"Reading books")</f>
        <v>Reading books</v>
      </c>
      <c r="J148" s="21"/>
      <c r="K148" s="21" t="str">
        <f>IFERROR(__xludf.DUMMYFUNCTION("""COMPUTED_VALUE"""),"Basirhat")</f>
        <v>Basirhat</v>
      </c>
      <c r="L148" s="22" t="str">
        <f>IFERROR(__xludf.DUMMYFUNCTION("""COMPUTED_VALUE"""),"https://drive.google.com/open?id=18VpKBK02odLSuP_Vz9lZWXzo-g8-Ho2p")</f>
        <v>https://drive.google.com/open?id=18VpKBK02odLSuP_Vz9lZWXzo-g8-Ho2p</v>
      </c>
      <c r="M148" s="22" t="str">
        <f>IFERROR(__xludf.DUMMYFUNCTION("""COMPUTED_VALUE"""),"https://drive.google.com/open?id=15YmVzTzAigXyrk6ABa9nTOXGTUBg4ydd")</f>
        <v>https://drive.google.com/open?id=15YmVzTzAigXyrk6ABa9nTOXGTUBg4ydd</v>
      </c>
      <c r="N148" s="21" t="str">
        <f>IFERROR(__xludf.DUMMYFUNCTION("""COMPUTED_VALUE"""),"TAPAS BANERJEE")</f>
        <v>TAPAS BANERJEE</v>
      </c>
      <c r="O148" s="21" t="str">
        <f>IFERROR(__xludf.DUMMYFUNCTION("""COMPUTED_VALUE"""),"Retired Government Employee")</f>
        <v>Retired Government Employee</v>
      </c>
      <c r="P148" s="21" t="str">
        <f>IFERROR(__xludf.DUMMYFUNCTION("""COMPUTED_VALUE"""),"Barasat")</f>
        <v>Barasat</v>
      </c>
      <c r="Q148" s="21">
        <f>IFERROR(__xludf.DUMMYFUNCTION("""COMPUTED_VALUE"""),9.051225778E9)</f>
        <v>9051225778</v>
      </c>
      <c r="R148" s="21" t="str">
        <f>IFERROR(__xludf.DUMMYFUNCTION("""COMPUTED_VALUE"""),"CHAITALI BANERJEE")</f>
        <v>CHAITALI BANERJEE</v>
      </c>
      <c r="S148" s="21" t="str">
        <f>IFERROR(__xludf.DUMMYFUNCTION("""COMPUTED_VALUE"""),"House Wife")</f>
        <v>House Wife</v>
      </c>
      <c r="T148" s="21" t="str">
        <f>IFERROR(__xludf.DUMMYFUNCTION("""COMPUTED_VALUE"""),"Barasat")</f>
        <v>Barasat</v>
      </c>
      <c r="U148" s="21">
        <f>IFERROR(__xludf.DUMMYFUNCTION("""COMPUTED_VALUE"""),9.083248006E9)</f>
        <v>9083248006</v>
      </c>
      <c r="V148" s="21">
        <f>IFERROR(__xludf.DUMMYFUNCTION("""COMPUTED_VALUE"""),2.0)</f>
        <v>2</v>
      </c>
      <c r="W148" s="21" t="str">
        <f>IFERROR(__xludf.DUMMYFUNCTION("""COMPUTED_VALUE"""),"Tapas Banerjee")</f>
        <v>Tapas Banerjee</v>
      </c>
      <c r="X148" s="21" t="str">
        <f>IFERROR(__xludf.DUMMYFUNCTION("""COMPUTED_VALUE"""),"Father")</f>
        <v>Father</v>
      </c>
      <c r="Y148" s="21" t="str">
        <f>IFERROR(__xludf.DUMMYFUNCTION("""COMPUTED_VALUE"""),"Sreerup Banerjee")</f>
        <v>Sreerup Banerjee</v>
      </c>
      <c r="Z148" s="21" t="str">
        <f>IFERROR(__xludf.DUMMYFUNCTION("""COMPUTED_VALUE"""),"Brother")</f>
        <v>Brother</v>
      </c>
      <c r="AA148" s="21" t="str">
        <f>IFERROR(__xludf.DUMMYFUNCTION("""COMPUTED_VALUE"""),"Non-Veg")</f>
        <v>Non-Veg</v>
      </c>
      <c r="AB148" s="21" t="str">
        <f>IFERROR(__xludf.DUMMYFUNCTION("""COMPUTED_VALUE"""),"Non-Veg")</f>
        <v>Non-Veg</v>
      </c>
      <c r="AC148" s="21" t="str">
        <f>IFERROR(__xludf.DUMMYFUNCTION("""COMPUTED_VALUE"""),"Non-Veg")</f>
        <v>Non-Veg</v>
      </c>
      <c r="AD148" s="21" t="str">
        <f>IFERROR(__xludf.DUMMYFUNCTION("""COMPUTED_VALUE"""),"Bus Drop Service not needed")</f>
        <v>Bus Drop Service not needed</v>
      </c>
      <c r="AE148" s="21">
        <f>IFERROR(__xludf.DUMMYFUNCTION("""COMPUTED_VALUE"""),0.0)</f>
        <v>0</v>
      </c>
    </row>
    <row r="149" ht="22.5" customHeight="1">
      <c r="A149" s="18">
        <f>IFERROR(__xludf.DUMMYFUNCTION("""COMPUTED_VALUE"""),46259.43666690972)</f>
        <v>46259.43667</v>
      </c>
      <c r="B149" s="21" t="str">
        <f>IFERROR(__xludf.DUMMYFUNCTION("""COMPUTED_VALUE"""),"amrit.mbbs-2020@aiimskalyani.edu.in")</f>
        <v>amrit.mbbs-2020@aiimskalyani.edu.in</v>
      </c>
      <c r="C149" s="21" t="str">
        <f>IFERROR(__xludf.DUMMYFUNCTION("""COMPUTED_VALUE"""),"AMRIT RAJ ANAND")</f>
        <v>AMRIT RAJ ANAND</v>
      </c>
      <c r="D149" s="21">
        <f>IFERROR(__xludf.DUMMYFUNCTION("""COMPUTED_VALUE"""),2.0200163E7)</f>
        <v>20200163</v>
      </c>
      <c r="E149" s="21" t="str">
        <f>IFERROR(__xludf.DUMMYFUNCTION("""COMPUTED_VALUE"""),"MBBS 2020")</f>
        <v>MBBS 2020</v>
      </c>
      <c r="F149" s="21">
        <f>IFERROR(__xludf.DUMMYFUNCTION("""COMPUTED_VALUE"""),7.48402736E9)</f>
        <v>7484027360</v>
      </c>
      <c r="G149" s="21" t="str">
        <f>IFERROR(__xludf.DUMMYFUNCTION("""COMPUTED_VALUE"""),"amritrajanand51054@gmail.com")</f>
        <v>amritrajanand51054@gmail.com</v>
      </c>
      <c r="H149" s="21" t="str">
        <f>IFERROR(__xludf.DUMMYFUNCTION("""COMPUTED_VALUE"""),"Yes")</f>
        <v>Yes</v>
      </c>
      <c r="I149" s="21" t="str">
        <f>IFERROR(__xludf.DUMMYFUNCTION("""COMPUTED_VALUE"""),"Football and Music")</f>
        <v>Football and Music</v>
      </c>
      <c r="J149" s="21"/>
      <c r="K149" s="21" t="str">
        <f>IFERROR(__xludf.DUMMYFUNCTION("""COMPUTED_VALUE"""),"Chhapra")</f>
        <v>Chhapra</v>
      </c>
      <c r="L149" s="22" t="str">
        <f>IFERROR(__xludf.DUMMYFUNCTION("""COMPUTED_VALUE"""),"https://drive.google.com/open?id=1ebUTdcQyNy1kHGDWLP7si5Lr08i6dGfS")</f>
        <v>https://drive.google.com/open?id=1ebUTdcQyNy1kHGDWLP7si5Lr08i6dGfS</v>
      </c>
      <c r="M149" s="22" t="str">
        <f>IFERROR(__xludf.DUMMYFUNCTION("""COMPUTED_VALUE"""),"https://drive.google.com/open?id=1_LznKduDz5f4pghoIv7j-MlwomF_NOaA")</f>
        <v>https://drive.google.com/open?id=1_LznKduDz5f4pghoIv7j-MlwomF_NOaA</v>
      </c>
      <c r="N149" s="21" t="str">
        <f>IFERROR(__xludf.DUMMYFUNCTION("""COMPUTED_VALUE"""),"CHANDAN SHARMA ")</f>
        <v>CHANDAN SHARMA </v>
      </c>
      <c r="O149" s="21" t="str">
        <f>IFERROR(__xludf.DUMMYFUNCTION("""COMPUTED_VALUE"""),"FARMER")</f>
        <v>FARMER</v>
      </c>
      <c r="P149" s="21" t="str">
        <f>IFERROR(__xludf.DUMMYFUNCTION("""COMPUTED_VALUE"""),"CHHAPRA")</f>
        <v>CHHAPRA</v>
      </c>
      <c r="Q149" s="21">
        <f>IFERROR(__xludf.DUMMYFUNCTION("""COMPUTED_VALUE"""),8.002729788E9)</f>
        <v>8002729788</v>
      </c>
      <c r="R149" s="21" t="str">
        <f>IFERROR(__xludf.DUMMYFUNCTION("""COMPUTED_VALUE"""),"MANORMA SHARMA")</f>
        <v>MANORMA SHARMA</v>
      </c>
      <c r="S149" s="21" t="str">
        <f>IFERROR(__xludf.DUMMYFUNCTION("""COMPUTED_VALUE"""),"HOUSEWIFE")</f>
        <v>HOUSEWIFE</v>
      </c>
      <c r="T149" s="21" t="str">
        <f>IFERROR(__xludf.DUMMYFUNCTION("""COMPUTED_VALUE"""),"CHHAPRA")</f>
        <v>CHHAPRA</v>
      </c>
      <c r="U149" s="21">
        <f>IFERROR(__xludf.DUMMYFUNCTION("""COMPUTED_VALUE"""),8.002729788E9)</f>
        <v>8002729788</v>
      </c>
      <c r="V149" s="21">
        <f>IFERROR(__xludf.DUMMYFUNCTION("""COMPUTED_VALUE"""),2.0)</f>
        <v>2</v>
      </c>
      <c r="W149" s="21" t="str">
        <f>IFERROR(__xludf.DUMMYFUNCTION("""COMPUTED_VALUE"""),"RAM ANOOP SHRMA")</f>
        <v>RAM ANOOP SHRMA</v>
      </c>
      <c r="X149" s="21" t="str">
        <f>IFERROR(__xludf.DUMMYFUNCTION("""COMPUTED_VALUE"""),"Grandfather")</f>
        <v>Grandfather</v>
      </c>
      <c r="Y149" s="21" t="str">
        <f>IFERROR(__xludf.DUMMYFUNCTION("""COMPUTED_VALUE"""),"Nirmal Sharma ")</f>
        <v>Nirmal Sharma </v>
      </c>
      <c r="Z149" s="21" t="str">
        <f>IFERROR(__xludf.DUMMYFUNCTION("""COMPUTED_VALUE"""),"Uncle ")</f>
        <v>Uncle </v>
      </c>
      <c r="AA149" s="21" t="str">
        <f>IFERROR(__xludf.DUMMYFUNCTION("""COMPUTED_VALUE"""),"Non-Veg")</f>
        <v>Non-Veg</v>
      </c>
      <c r="AB149" s="21" t="str">
        <f>IFERROR(__xludf.DUMMYFUNCTION("""COMPUTED_VALUE"""),"Veg")</f>
        <v>Veg</v>
      </c>
      <c r="AC149" s="21" t="str">
        <f>IFERROR(__xludf.DUMMYFUNCTION("""COMPUTED_VALUE"""),"Veg")</f>
        <v>Veg</v>
      </c>
      <c r="AD149" s="21" t="str">
        <f>IFERROR(__xludf.DUMMYFUNCTION("""COMPUTED_VALUE"""),"Bus Drop Service not needed")</f>
        <v>Bus Drop Service not needed</v>
      </c>
      <c r="AE149" s="21">
        <f>IFERROR(__xludf.DUMMYFUNCTION("""COMPUTED_VALUE"""),0.0)</f>
        <v>0</v>
      </c>
    </row>
    <row r="150" ht="22.5" customHeight="1">
      <c r="A150" s="18">
        <f>IFERROR(__xludf.DUMMYFUNCTION("""COMPUTED_VALUE"""),46259.43515655093)</f>
        <v>46259.43516</v>
      </c>
      <c r="B150" s="21" t="str">
        <f>IFERROR(__xludf.DUMMYFUNCTION("""COMPUTED_VALUE"""),"suchismitatikadar06@gmail.com")</f>
        <v>suchismitatikadar06@gmail.com</v>
      </c>
      <c r="C150" s="21" t="str">
        <f>IFERROR(__xludf.DUMMYFUNCTION("""COMPUTED_VALUE"""),"SUCHISMITA TIKADAR ")</f>
        <v>SUCHISMITA TIKADAR </v>
      </c>
      <c r="D150" s="21">
        <f>IFERROR(__xludf.DUMMYFUNCTION("""COMPUTED_VALUE"""),2.0210252E7)</f>
        <v>20210252</v>
      </c>
      <c r="E150" s="21" t="str">
        <f>IFERROR(__xludf.DUMMYFUNCTION("""COMPUTED_VALUE"""),"B.Sc (Hons) Nursing 2021")</f>
        <v>B.Sc (Hons) Nursing 2021</v>
      </c>
      <c r="F150" s="21">
        <f>IFERROR(__xludf.DUMMYFUNCTION("""COMPUTED_VALUE"""),8.167823201E9)</f>
        <v>8167823201</v>
      </c>
      <c r="G150" s="21" t="str">
        <f>IFERROR(__xludf.DUMMYFUNCTION("""COMPUTED_VALUE"""),"suchismitatikadar06@gmail.com")</f>
        <v>suchismitatikadar06@gmail.com</v>
      </c>
      <c r="H150" s="21" t="str">
        <f>IFERROR(__xludf.DUMMYFUNCTION("""COMPUTED_VALUE"""),"Yes")</f>
        <v>Yes</v>
      </c>
      <c r="I150" s="21" t="str">
        <f>IFERROR(__xludf.DUMMYFUNCTION("""COMPUTED_VALUE"""),"Listening to music ")</f>
        <v>Listening to music </v>
      </c>
      <c r="J150" s="21" t="str">
        <f>IFERROR(__xludf.DUMMYFUNCTION("""COMPUTED_VALUE"""),"CR in 4th year ")</f>
        <v>CR in 4th year </v>
      </c>
      <c r="K150" s="21" t="str">
        <f>IFERROR(__xludf.DUMMYFUNCTION("""COMPUTED_VALUE"""),"Barrackpore ")</f>
        <v>Barrackpore </v>
      </c>
      <c r="L150" s="22" t="str">
        <f>IFERROR(__xludf.DUMMYFUNCTION("""COMPUTED_VALUE"""),"https://drive.google.com/open?id=1in8EqddpfEgt0T8H8C9u4-s47ybeLQym")</f>
        <v>https://drive.google.com/open?id=1in8EqddpfEgt0T8H8C9u4-s47ybeLQym</v>
      </c>
      <c r="M150" s="22" t="str">
        <f>IFERROR(__xludf.DUMMYFUNCTION("""COMPUTED_VALUE"""),"https://drive.google.com/open?id=1PfFNHgJaZ24VQtrXvxJkCNPtDZdprTPV")</f>
        <v>https://drive.google.com/open?id=1PfFNHgJaZ24VQtrXvxJkCNPtDZdprTPV</v>
      </c>
      <c r="N150" s="21" t="str">
        <f>IFERROR(__xludf.DUMMYFUNCTION("""COMPUTED_VALUE"""),"Ramesh Chandra Tikadar ")</f>
        <v>Ramesh Chandra Tikadar </v>
      </c>
      <c r="O150" s="21" t="str">
        <f>IFERROR(__xludf.DUMMYFUNCTION("""COMPUTED_VALUE"""),"Retired Railway Employee")</f>
        <v>Retired Railway Employee</v>
      </c>
      <c r="P150" s="21" t="str">
        <f>IFERROR(__xludf.DUMMYFUNCTION("""COMPUTED_VALUE"""),"Barrackpore ")</f>
        <v>Barrackpore </v>
      </c>
      <c r="Q150" s="21">
        <f>IFERROR(__xludf.DUMMYFUNCTION("""COMPUTED_VALUE"""),8.101896944E9)</f>
        <v>8101896944</v>
      </c>
      <c r="R150" s="21" t="str">
        <f>IFERROR(__xludf.DUMMYFUNCTION("""COMPUTED_VALUE"""),"Sima Tikadar ")</f>
        <v>Sima Tikadar </v>
      </c>
      <c r="S150" s="21" t="str">
        <f>IFERROR(__xludf.DUMMYFUNCTION("""COMPUTED_VALUE"""),"House wife ")</f>
        <v>House wife </v>
      </c>
      <c r="T150" s="21" t="str">
        <f>IFERROR(__xludf.DUMMYFUNCTION("""COMPUTED_VALUE"""),"Barrackpore ")</f>
        <v>Barrackpore </v>
      </c>
      <c r="U150" s="21">
        <f>IFERROR(__xludf.DUMMYFUNCTION("""COMPUTED_VALUE"""),7.029022292E9)</f>
        <v>7029022292</v>
      </c>
      <c r="V150" s="21">
        <f>IFERROR(__xludf.DUMMYFUNCTION("""COMPUTED_VALUE"""),2.0)</f>
        <v>2</v>
      </c>
      <c r="W150" s="21" t="str">
        <f>IFERROR(__xludf.DUMMYFUNCTION("""COMPUTED_VALUE"""),"Ramesh Chandra Tikadar ")</f>
        <v>Ramesh Chandra Tikadar </v>
      </c>
      <c r="X150" s="21" t="str">
        <f>IFERROR(__xludf.DUMMYFUNCTION("""COMPUTED_VALUE"""),"Father")</f>
        <v>Father</v>
      </c>
      <c r="Y150" s="21" t="str">
        <f>IFERROR(__xludf.DUMMYFUNCTION("""COMPUTED_VALUE"""),"Sima Tikadar ")</f>
        <v>Sima Tikadar </v>
      </c>
      <c r="Z150" s="21" t="str">
        <f>IFERROR(__xludf.DUMMYFUNCTION("""COMPUTED_VALUE"""),"Mother ")</f>
        <v>Mother </v>
      </c>
      <c r="AA150" s="21" t="str">
        <f>IFERROR(__xludf.DUMMYFUNCTION("""COMPUTED_VALUE"""),"Non-Veg")</f>
        <v>Non-Veg</v>
      </c>
      <c r="AB150" s="21" t="str">
        <f>IFERROR(__xludf.DUMMYFUNCTION("""COMPUTED_VALUE"""),"Non-Veg")</f>
        <v>Non-Veg</v>
      </c>
      <c r="AC150" s="21" t="str">
        <f>IFERROR(__xludf.DUMMYFUNCTION("""COMPUTED_VALUE"""),"Non-Veg")</f>
        <v>Non-Veg</v>
      </c>
      <c r="AD150" s="21" t="str">
        <f>IFERROR(__xludf.DUMMYFUNCTION("""COMPUTED_VALUE"""),"Drop at Kalyani Railway Station")</f>
        <v>Drop at Kalyani Railway Station</v>
      </c>
      <c r="AE150" s="21">
        <f>IFERROR(__xludf.DUMMYFUNCTION("""COMPUTED_VALUE"""),3.0)</f>
        <v>3</v>
      </c>
    </row>
    <row r="151" ht="22.5" customHeight="1">
      <c r="A151" s="18">
        <f>IFERROR(__xludf.DUMMYFUNCTION("""COMPUTED_VALUE"""),46259.42438589121)</f>
        <v>46259.42439</v>
      </c>
      <c r="B151" s="21" t="str">
        <f>IFERROR(__xludf.DUMMYFUNCTION("""COMPUTED_VALUE"""),"harukinanase1999@gmail.com")</f>
        <v>harukinanase1999@gmail.com</v>
      </c>
      <c r="C151" s="21" t="str">
        <f>IFERROR(__xludf.DUMMYFUNCTION("""COMPUTED_VALUE"""),"Shreyasi Hati")</f>
        <v>Shreyasi Hati</v>
      </c>
      <c r="D151" s="21">
        <f>IFERROR(__xludf.DUMMYFUNCTION("""COMPUTED_VALUE"""),2.021026E7)</f>
        <v>20210260</v>
      </c>
      <c r="E151" s="21" t="str">
        <f>IFERROR(__xludf.DUMMYFUNCTION("""COMPUTED_VALUE"""),"B.Sc (Hons) Nursing 2021")</f>
        <v>B.Sc (Hons) Nursing 2021</v>
      </c>
      <c r="F151" s="21">
        <f>IFERROR(__xludf.DUMMYFUNCTION("""COMPUTED_VALUE"""),6.297209181E9)</f>
        <v>6297209181</v>
      </c>
      <c r="G151" s="21" t="str">
        <f>IFERROR(__xludf.DUMMYFUNCTION("""COMPUTED_VALUE"""),"harukinanase1999@gmail.com")</f>
        <v>harukinanase1999@gmail.com</v>
      </c>
      <c r="H151" s="21" t="str">
        <f>IFERROR(__xludf.DUMMYFUNCTION("""COMPUTED_VALUE"""),"Yes")</f>
        <v>Yes</v>
      </c>
      <c r="I151" s="21" t="str">
        <f>IFERROR(__xludf.DUMMYFUNCTION("""COMPUTED_VALUE"""),"Singing, Dancing, and writing stories.  ")</f>
        <v>Singing, Dancing, and writing stories.  </v>
      </c>
      <c r="J151" s="21" t="str">
        <f>IFERROR(__xludf.DUMMYFUNCTION("""COMPUTED_VALUE"""),"Sports- District level kabaddi and shot put player.
Cultural - State level extempore and recitation winner, District level declamation winner 2024 in YPC. Various winning positions held in solo classical dance, drama, singing, literary hunt, quiz, debate"&amp;", extempore, poem writing, slogan writing in inter house competitions during 4 years of college journey.
Notable Achievements:- Traditionally published international novelist. Total books and anthology published - 6+. Books have been published in 133 cou"&amp;"ntries including UK, USA, Canada, Japan, Australia and India through Ukiyoto Publishing India( An indian branch of Ukiyoto Japan) and featured in Amazon, Flipkart, Kobo Japan, Google books, Walmart etc.
Awards &amp; Honors:-
Rising Star Award – 2020
Twisted"&amp;" Awards – 2020
Special Mention, Marine Awards (Short Story Category) – 2021
Women Icon Award – 2024
Golden Heritage Award – 2024 (Blue Star Publication)
The Leading Attainers Award – “The Budding Author of the Year” – JEC Publications
7th Place, National "&amp;"Poetry Contest by S7
Rabindranath Tagore Hall of Fame Award – Welred Foundation
International Recognition:- Invited Author, International Writers Assembly – Beijing, China (2025)
Professional Affiliations:- Exclusive Author, A&amp;D Entertainment Company ("&amp;"Webnovel Contract)
")</f>
        <v>Sports- District level kabaddi and shot put player.
Cultural - State level extempore and recitation winner, District level declamation winner 2024 in YPC. Various winning positions held in solo classical dance, drama, singing, literary hunt, quiz, debate, extempore, poem writing, slogan writing in inter house competitions during 4 years of college journey.
Notable Achievements:- Traditionally published international novelist. Total books and anthology published - 6+. Books have been published in 133 countries including UK, USA, Canada, Japan, Australia and India through Ukiyoto Publishing India( An indian branch of Ukiyoto Japan) and featured in Amazon, Flipkart, Kobo Japan, Google books, Walmart etc.
Awards &amp; Honors:-
Rising Star Award – 2020
Twisted Awards – 2020
Special Mention, Marine Awards (Short Story Category) – 2021
Women Icon Award – 2024
Golden Heritage Award – 2024 (Blue Star Publication)
The Leading Attainers Award – “The Budding Author of the Year” – JEC Publications
7th Place, National Poetry Contest by S7
Rabindranath Tagore Hall of Fame Award – Welred Foundation
International Recognition:- Invited Author, International Writers Assembly – Beijing, China (2025)
Professional Affiliations:- Exclusive Author, A&amp;D Entertainment Company (Webnovel Contract)
</v>
      </c>
      <c r="K151" s="21" t="str">
        <f>IFERROR(__xludf.DUMMYFUNCTION("""COMPUTED_VALUE"""),"Jamuria, Asansol ")</f>
        <v>Jamuria, Asansol </v>
      </c>
      <c r="L151" s="22" t="str">
        <f>IFERROR(__xludf.DUMMYFUNCTION("""COMPUTED_VALUE"""),"https://drive.google.com/open?id=15VzPSTgmPpWXI6z2gRrbuOfp-S0xeTX8")</f>
        <v>https://drive.google.com/open?id=15VzPSTgmPpWXI6z2gRrbuOfp-S0xeTX8</v>
      </c>
      <c r="M151" s="22" t="str">
        <f>IFERROR(__xludf.DUMMYFUNCTION("""COMPUTED_VALUE"""),"https://drive.google.com/open?id=1kV_ewUUdJaWU4DsSMykLEI-oa4NRfwnQ")</f>
        <v>https://drive.google.com/open?id=1kV_ewUUdJaWU4DsSMykLEI-oa4NRfwnQ</v>
      </c>
      <c r="N151" s="21" t="str">
        <f>IFERROR(__xludf.DUMMYFUNCTION("""COMPUTED_VALUE"""),"Subrata Hati")</f>
        <v>Subrata Hati</v>
      </c>
      <c r="O151" s="21" t="str">
        <f>IFERROR(__xludf.DUMMYFUNCTION("""COMPUTED_VALUE"""),"Gov. High School Teacher/ Assistant teacher in Birkulti N.G.M High School")</f>
        <v>Gov. High School Teacher/ Assistant teacher in Birkulti N.G.M High School</v>
      </c>
      <c r="P151" s="21" t="str">
        <f>IFERROR(__xludf.DUMMYFUNCTION("""COMPUTED_VALUE"""),"Jamuria, Asansol")</f>
        <v>Jamuria, Asansol</v>
      </c>
      <c r="Q151" s="21">
        <f>IFERROR(__xludf.DUMMYFUNCTION("""COMPUTED_VALUE"""),9.474179653E9)</f>
        <v>9474179653</v>
      </c>
      <c r="R151" s="21" t="str">
        <f>IFERROR(__xludf.DUMMYFUNCTION("""COMPUTED_VALUE"""),"Ivi Hati")</f>
        <v>Ivi Hati</v>
      </c>
      <c r="S151" s="21" t="str">
        <f>IFERROR(__xludf.DUMMYFUNCTION("""COMPUTED_VALUE"""),"Home maker")</f>
        <v>Home maker</v>
      </c>
      <c r="T151" s="21" t="str">
        <f>IFERROR(__xludf.DUMMYFUNCTION("""COMPUTED_VALUE"""),"Jamuria, Asansol")</f>
        <v>Jamuria, Asansol</v>
      </c>
      <c r="U151" s="21">
        <f>IFERROR(__xludf.DUMMYFUNCTION("""COMPUTED_VALUE"""),7.001010315E9)</f>
        <v>7001010315</v>
      </c>
      <c r="V151" s="21">
        <f>IFERROR(__xludf.DUMMYFUNCTION("""COMPUTED_VALUE"""),2.0)</f>
        <v>2</v>
      </c>
      <c r="W151" s="21" t="str">
        <f>IFERROR(__xludf.DUMMYFUNCTION("""COMPUTED_VALUE"""),"Subrata Hati ")</f>
        <v>Subrata Hati </v>
      </c>
      <c r="X151" s="21" t="str">
        <f>IFERROR(__xludf.DUMMYFUNCTION("""COMPUTED_VALUE"""),"Father")</f>
        <v>Father</v>
      </c>
      <c r="Y151" s="21" t="str">
        <f>IFERROR(__xludf.DUMMYFUNCTION("""COMPUTED_VALUE"""),"Ivi Hati")</f>
        <v>Ivi Hati</v>
      </c>
      <c r="Z151" s="21" t="str">
        <f>IFERROR(__xludf.DUMMYFUNCTION("""COMPUTED_VALUE"""),"Mother ")</f>
        <v>Mother </v>
      </c>
      <c r="AA151" s="21" t="str">
        <f>IFERROR(__xludf.DUMMYFUNCTION("""COMPUTED_VALUE"""),"Non-Veg")</f>
        <v>Non-Veg</v>
      </c>
      <c r="AB151" s="21" t="str">
        <f>IFERROR(__xludf.DUMMYFUNCTION("""COMPUTED_VALUE"""),"Non-Veg")</f>
        <v>Non-Veg</v>
      </c>
      <c r="AC151" s="21" t="str">
        <f>IFERROR(__xludf.DUMMYFUNCTION("""COMPUTED_VALUE"""),"Non-Veg")</f>
        <v>Non-Veg</v>
      </c>
      <c r="AD151" s="21" t="str">
        <f>IFERROR(__xludf.DUMMYFUNCTION("""COMPUTED_VALUE"""),"Bus Drop Service not needed")</f>
        <v>Bus Drop Service not needed</v>
      </c>
      <c r="AE151" s="21">
        <f>IFERROR(__xludf.DUMMYFUNCTION("""COMPUTED_VALUE"""),0.0)</f>
        <v>0</v>
      </c>
    </row>
    <row r="152" ht="22.5" customHeight="1">
      <c r="A152" s="18">
        <f>IFERROR(__xludf.DUMMYFUNCTION("""COMPUTED_VALUE"""),46259.424150844905)</f>
        <v>46259.42415</v>
      </c>
      <c r="B152" s="21" t="str">
        <f>IFERROR(__xludf.DUMMYFUNCTION("""COMPUTED_VALUE"""),"ghoshankita9732@gmail.com")</f>
        <v>ghoshankita9732@gmail.com</v>
      </c>
      <c r="C152" s="21" t="str">
        <f>IFERROR(__xludf.DUMMYFUNCTION("""COMPUTED_VALUE"""),"ANKITA GHOSH ")</f>
        <v>ANKITA GHOSH </v>
      </c>
      <c r="D152" s="21">
        <f>IFERROR(__xludf.DUMMYFUNCTION("""COMPUTED_VALUE"""),2.0210205E7)</f>
        <v>20210205</v>
      </c>
      <c r="E152" s="21" t="str">
        <f>IFERROR(__xludf.DUMMYFUNCTION("""COMPUTED_VALUE"""),"B.Sc (Hons) Nursing 2021")</f>
        <v>B.Sc (Hons) Nursing 2021</v>
      </c>
      <c r="F152" s="21">
        <f>IFERROR(__xludf.DUMMYFUNCTION("""COMPUTED_VALUE"""),7.550811864E9)</f>
        <v>7550811864</v>
      </c>
      <c r="G152" s="21" t="str">
        <f>IFERROR(__xludf.DUMMYFUNCTION("""COMPUTED_VALUE"""),"ghoshankita9732@gmail.com")</f>
        <v>ghoshankita9732@gmail.com</v>
      </c>
      <c r="H152" s="21" t="str">
        <f>IFERROR(__xludf.DUMMYFUNCTION("""COMPUTED_VALUE"""),"Yes")</f>
        <v>Yes</v>
      </c>
      <c r="I152" s="21" t="str">
        <f>IFERROR(__xludf.DUMMYFUNCTION("""COMPUTED_VALUE"""),"Drawing ")</f>
        <v>Drawing </v>
      </c>
      <c r="J152" s="21" t="str">
        <f>IFERROR(__xludf.DUMMYFUNCTION("""COMPUTED_VALUE"""),"NA")</f>
        <v>NA</v>
      </c>
      <c r="K152" s="21" t="str">
        <f>IFERROR(__xludf.DUMMYFUNCTION("""COMPUTED_VALUE"""),"Howrah ")</f>
        <v>Howrah </v>
      </c>
      <c r="L152" s="22" t="str">
        <f>IFERROR(__xludf.DUMMYFUNCTION("""COMPUTED_VALUE"""),"https://drive.google.com/open?id=12mVENRztApFqkfMj-N-EbI99DcOAnjQI")</f>
        <v>https://drive.google.com/open?id=12mVENRztApFqkfMj-N-EbI99DcOAnjQI</v>
      </c>
      <c r="M152" s="22" t="str">
        <f>IFERROR(__xludf.DUMMYFUNCTION("""COMPUTED_VALUE"""),"https://drive.google.com/open?id=1sN-R1iU5tJvTKcjxNc8GxGMrBfPDcM1S")</f>
        <v>https://drive.google.com/open?id=1sN-R1iU5tJvTKcjxNc8GxGMrBfPDcM1S</v>
      </c>
      <c r="N152" s="21" t="str">
        <f>IFERROR(__xludf.DUMMYFUNCTION("""COMPUTED_VALUE"""),"Amit Ghosh ")</f>
        <v>Amit Ghosh </v>
      </c>
      <c r="O152" s="21" t="str">
        <f>IFERROR(__xludf.DUMMYFUNCTION("""COMPUTED_VALUE"""),"Law clerk ")</f>
        <v>Law clerk </v>
      </c>
      <c r="P152" s="21" t="str">
        <f>IFERROR(__xludf.DUMMYFUNCTION("""COMPUTED_VALUE"""),"Howrah ")</f>
        <v>Howrah </v>
      </c>
      <c r="Q152" s="21">
        <f>IFERROR(__xludf.DUMMYFUNCTION("""COMPUTED_VALUE"""),9.732648905E9)</f>
        <v>9732648905</v>
      </c>
      <c r="R152" s="21" t="str">
        <f>IFERROR(__xludf.DUMMYFUNCTION("""COMPUTED_VALUE"""),"Krishna Ghosh ")</f>
        <v>Krishna Ghosh </v>
      </c>
      <c r="S152" s="21" t="str">
        <f>IFERROR(__xludf.DUMMYFUNCTION("""COMPUTED_VALUE"""),"House wife ")</f>
        <v>House wife </v>
      </c>
      <c r="T152" s="21" t="str">
        <f>IFERROR(__xludf.DUMMYFUNCTION("""COMPUTED_VALUE"""),"Howrah ")</f>
        <v>Howrah </v>
      </c>
      <c r="U152" s="21">
        <f>IFERROR(__xludf.DUMMYFUNCTION("""COMPUTED_VALUE"""),8.509374801E9)</f>
        <v>8509374801</v>
      </c>
      <c r="V152" s="21">
        <f>IFERROR(__xludf.DUMMYFUNCTION("""COMPUTED_VALUE"""),2.0)</f>
        <v>2</v>
      </c>
      <c r="W152" s="21" t="str">
        <f>IFERROR(__xludf.DUMMYFUNCTION("""COMPUTED_VALUE"""),"Amit Ghosh ")</f>
        <v>Amit Ghosh </v>
      </c>
      <c r="X152" s="21" t="str">
        <f>IFERROR(__xludf.DUMMYFUNCTION("""COMPUTED_VALUE"""),"Father ")</f>
        <v>Father </v>
      </c>
      <c r="Y152" s="21" t="str">
        <f>IFERROR(__xludf.DUMMYFUNCTION("""COMPUTED_VALUE"""),"Krishna Ghosh ")</f>
        <v>Krishna Ghosh </v>
      </c>
      <c r="Z152" s="21" t="str">
        <f>IFERROR(__xludf.DUMMYFUNCTION("""COMPUTED_VALUE"""),"Mother ")</f>
        <v>Mother </v>
      </c>
      <c r="AA152" s="21" t="str">
        <f>IFERROR(__xludf.DUMMYFUNCTION("""COMPUTED_VALUE"""),"Non-Veg")</f>
        <v>Non-Veg</v>
      </c>
      <c r="AB152" s="21" t="str">
        <f>IFERROR(__xludf.DUMMYFUNCTION("""COMPUTED_VALUE"""),"Non-Veg")</f>
        <v>Non-Veg</v>
      </c>
      <c r="AC152" s="21" t="str">
        <f>IFERROR(__xludf.DUMMYFUNCTION("""COMPUTED_VALUE"""),"Non-Veg")</f>
        <v>Non-Veg</v>
      </c>
      <c r="AD152" s="21" t="str">
        <f>IFERROR(__xludf.DUMMYFUNCTION("""COMPUTED_VALUE"""),"Bus Drop Service not needed")</f>
        <v>Bus Drop Service not needed</v>
      </c>
      <c r="AE152" s="21">
        <f>IFERROR(__xludf.DUMMYFUNCTION("""COMPUTED_VALUE"""),0.0)</f>
        <v>0</v>
      </c>
    </row>
    <row r="153" ht="22.5" customHeight="1">
      <c r="A153" s="18">
        <f>IFERROR(__xludf.DUMMYFUNCTION("""COMPUTED_VALUE"""),46259.385169236106)</f>
        <v>46259.38517</v>
      </c>
      <c r="B153" s="21" t="str">
        <f>IFERROR(__xludf.DUMMYFUNCTION("""COMPUTED_VALUE"""),"shabnam.bscnursing-2021@aiimskalyani.edu.in")</f>
        <v>shabnam.bscnursing-2021@aiimskalyani.edu.in</v>
      </c>
      <c r="C153" s="21" t="str">
        <f>IFERROR(__xludf.DUMMYFUNCTION("""COMPUTED_VALUE"""),"SHABNAM PARVIN")</f>
        <v>SHABNAM PARVIN</v>
      </c>
      <c r="D153" s="21">
        <f>IFERROR(__xludf.DUMMYFUNCTION("""COMPUTED_VALUE"""),2.0210248E7)</f>
        <v>20210248</v>
      </c>
      <c r="E153" s="21" t="str">
        <f>IFERROR(__xludf.DUMMYFUNCTION("""COMPUTED_VALUE"""),"B.Sc (Hons) Nursing 2021")</f>
        <v>B.Sc (Hons) Nursing 2021</v>
      </c>
      <c r="F153" s="21">
        <f>IFERROR(__xludf.DUMMYFUNCTION("""COMPUTED_VALUE"""),6.297820802E9)</f>
        <v>6297820802</v>
      </c>
      <c r="G153" s="21" t="str">
        <f>IFERROR(__xludf.DUMMYFUNCTION("""COMPUTED_VALUE"""),"parvinshabnam2002@gmail.com")</f>
        <v>parvinshabnam2002@gmail.com</v>
      </c>
      <c r="H153" s="21" t="str">
        <f>IFERROR(__xludf.DUMMYFUNCTION("""COMPUTED_VALUE"""),"Yes")</f>
        <v>Yes</v>
      </c>
      <c r="I153" s="21" t="str">
        <f>IFERROR(__xludf.DUMMYFUNCTION("""COMPUTED_VALUE"""),"Story reading ")</f>
        <v>Story reading </v>
      </c>
      <c r="J153" s="21" t="str">
        <f>IFERROR(__xludf.DUMMYFUNCTION("""COMPUTED_VALUE"""),"No ")</f>
        <v>No </v>
      </c>
      <c r="K153" s="21" t="str">
        <f>IFERROR(__xludf.DUMMYFUNCTION("""COMPUTED_VALUE"""),"Bharatpur ")</f>
        <v>Bharatpur </v>
      </c>
      <c r="L153" s="22" t="str">
        <f>IFERROR(__xludf.DUMMYFUNCTION("""COMPUTED_VALUE"""),"https://drive.google.com/open?id=1bo6OujeREw0L8EjGlISNIBR_OR-ZWkZg")</f>
        <v>https://drive.google.com/open?id=1bo6OujeREw0L8EjGlISNIBR_OR-ZWkZg</v>
      </c>
      <c r="M153" s="22" t="str">
        <f>IFERROR(__xludf.DUMMYFUNCTION("""COMPUTED_VALUE"""),"https://drive.google.com/open?id=1tb-MIGQ5GOylf6dZBWRVO2WA8GCWKCDi")</f>
        <v>https://drive.google.com/open?id=1tb-MIGQ5GOylf6dZBWRVO2WA8GCWKCDi</v>
      </c>
      <c r="N153" s="21" t="str">
        <f>IFERROR(__xludf.DUMMYFUNCTION("""COMPUTED_VALUE"""),"IDRISH ALI")</f>
        <v>IDRISH ALI</v>
      </c>
      <c r="O153" s="21" t="str">
        <f>IFERROR(__xludf.DUMMYFUNCTION("""COMPUTED_VALUE"""),"Retired headmaster ")</f>
        <v>Retired headmaster </v>
      </c>
      <c r="P153" s="21" t="str">
        <f>IFERROR(__xludf.DUMMYFUNCTION("""COMPUTED_VALUE"""),"Bharatpur ")</f>
        <v>Bharatpur </v>
      </c>
      <c r="Q153" s="21">
        <f>IFERROR(__xludf.DUMMYFUNCTION("""COMPUTED_VALUE"""),9.474314028E9)</f>
        <v>9474314028</v>
      </c>
      <c r="R153" s="21" t="str">
        <f>IFERROR(__xludf.DUMMYFUNCTION("""COMPUTED_VALUE"""),"JESMINNHAR BEGUM")</f>
        <v>JESMINNHAR BEGUM</v>
      </c>
      <c r="S153" s="21" t="str">
        <f>IFERROR(__xludf.DUMMYFUNCTION("""COMPUTED_VALUE"""),"NURSE")</f>
        <v>NURSE</v>
      </c>
      <c r="T153" s="21" t="str">
        <f>IFERROR(__xludf.DUMMYFUNCTION("""COMPUTED_VALUE"""),"Bharatpur ")</f>
        <v>Bharatpur </v>
      </c>
      <c r="U153" s="21">
        <f>IFERROR(__xludf.DUMMYFUNCTION("""COMPUTED_VALUE"""),9.564131918E9)</f>
        <v>9564131918</v>
      </c>
      <c r="V153" s="21">
        <f>IFERROR(__xludf.DUMMYFUNCTION("""COMPUTED_VALUE"""),2.0)</f>
        <v>2</v>
      </c>
      <c r="W153" s="21" t="str">
        <f>IFERROR(__xludf.DUMMYFUNCTION("""COMPUTED_VALUE"""),"IDRISH ALI")</f>
        <v>IDRISH ALI</v>
      </c>
      <c r="X153" s="21" t="str">
        <f>IFERROR(__xludf.DUMMYFUNCTION("""COMPUTED_VALUE"""),"Father")</f>
        <v>Father</v>
      </c>
      <c r="Y153" s="21" t="str">
        <f>IFERROR(__xludf.DUMMYFUNCTION("""COMPUTED_VALUE"""),"JESMINNHAR BEGUM")</f>
        <v>JESMINNHAR BEGUM</v>
      </c>
      <c r="Z153" s="21" t="str">
        <f>IFERROR(__xludf.DUMMYFUNCTION("""COMPUTED_VALUE"""),"Mother")</f>
        <v>Mother</v>
      </c>
      <c r="AA153" s="21" t="str">
        <f>IFERROR(__xludf.DUMMYFUNCTION("""COMPUTED_VALUE"""),"Non-Veg")</f>
        <v>Non-Veg</v>
      </c>
      <c r="AB153" s="21" t="str">
        <f>IFERROR(__xludf.DUMMYFUNCTION("""COMPUTED_VALUE"""),"Non-Veg")</f>
        <v>Non-Veg</v>
      </c>
      <c r="AC153" s="21" t="str">
        <f>IFERROR(__xludf.DUMMYFUNCTION("""COMPUTED_VALUE"""),"Non-Veg")</f>
        <v>Non-Veg</v>
      </c>
      <c r="AD153" s="21" t="str">
        <f>IFERROR(__xludf.DUMMYFUNCTION("""COMPUTED_VALUE"""),"Bus Drop Service not needed")</f>
        <v>Bus Drop Service not needed</v>
      </c>
      <c r="AE153" s="21">
        <f>IFERROR(__xludf.DUMMYFUNCTION("""COMPUTED_VALUE"""),0.0)</f>
        <v>0</v>
      </c>
    </row>
    <row r="154" ht="22.5" customHeight="1">
      <c r="A154" s="18">
        <f>IFERROR(__xludf.DUMMYFUNCTION("""COMPUTED_VALUE"""),46259.02942266203)</f>
        <v>46259.02942</v>
      </c>
      <c r="B154" s="21" t="str">
        <f>IFERROR(__xludf.DUMMYFUNCTION("""COMPUTED_VALUE"""),"chayanika.bscnursing-2021@aiimskalyani.edu.in")</f>
        <v>chayanika.bscnursing-2021@aiimskalyani.edu.in</v>
      </c>
      <c r="C154" s="21" t="str">
        <f>IFERROR(__xludf.DUMMYFUNCTION("""COMPUTED_VALUE"""),"CHAYANIKA BHATTACHARYYA ")</f>
        <v>CHAYANIKA BHATTACHARYYA </v>
      </c>
      <c r="D154" s="21">
        <f>IFERROR(__xludf.DUMMYFUNCTION("""COMPUTED_VALUE"""),2.021021E7)</f>
        <v>20210210</v>
      </c>
      <c r="E154" s="21" t="str">
        <f>IFERROR(__xludf.DUMMYFUNCTION("""COMPUTED_VALUE"""),"B.Sc (Hons) Nursing 2021")</f>
        <v>B.Sc (Hons) Nursing 2021</v>
      </c>
      <c r="F154" s="21">
        <f>IFERROR(__xludf.DUMMYFUNCTION("""COMPUTED_VALUE"""),9.830079476E9)</f>
        <v>9830079476</v>
      </c>
      <c r="G154" s="21" t="str">
        <f>IFERROR(__xludf.DUMMYFUNCTION("""COMPUTED_VALUE"""),"chayanikabhattacharyya4948@gmail.com")</f>
        <v>chayanikabhattacharyya4948@gmail.com</v>
      </c>
      <c r="H154" s="21" t="str">
        <f>IFERROR(__xludf.DUMMYFUNCTION("""COMPUTED_VALUE"""),"Yes")</f>
        <v>Yes</v>
      </c>
      <c r="I154" s="21" t="str">
        <f>IFERROR(__xludf.DUMMYFUNCTION("""COMPUTED_VALUE"""),"I am an avid listener of audio stories, enjoy expressing my thoughts through poetry, and love dancing occasionally.")</f>
        <v>I am an avid listener of audio stories, enjoy expressing my thoughts through poetry, and love dancing occasionally.</v>
      </c>
      <c r="J154" s="21" t="str">
        <f>IFERROR(__xludf.DUMMYFUNCTION("""COMPUTED_VALUE"""),"Nothing as such ")</f>
        <v>Nothing as such </v>
      </c>
      <c r="K154" s="21" t="str">
        <f>IFERROR(__xludf.DUMMYFUNCTION("""COMPUTED_VALUE"""),"Sodepur ")</f>
        <v>Sodepur </v>
      </c>
      <c r="L154" s="22" t="str">
        <f>IFERROR(__xludf.DUMMYFUNCTION("""COMPUTED_VALUE"""),"https://drive.google.com/open?id=1LwqSTi2fSQe0ScwNC2r5BtXOsq_ISJ1o")</f>
        <v>https://drive.google.com/open?id=1LwqSTi2fSQe0ScwNC2r5BtXOsq_ISJ1o</v>
      </c>
      <c r="M154" s="22" t="str">
        <f>IFERROR(__xludf.DUMMYFUNCTION("""COMPUTED_VALUE"""),"https://drive.google.com/open?id=1t8EZibcMxmHBFmMnZsEeQLKarEkZlhfi")</f>
        <v>https://drive.google.com/open?id=1t8EZibcMxmHBFmMnZsEeQLKarEkZlhfi</v>
      </c>
      <c r="N154" s="21" t="str">
        <f>IFERROR(__xludf.DUMMYFUNCTION("""COMPUTED_VALUE"""),"Biswajit Bhattacharyya")</f>
        <v>Biswajit Bhattacharyya</v>
      </c>
      <c r="O154" s="21" t="str">
        <f>IFERROR(__xludf.DUMMYFUNCTION("""COMPUTED_VALUE"""),"Government service, Assistant Secretary, department of Public Health Engineering( PHE) , West Bengal government ")</f>
        <v>Government service, Assistant Secretary, department of Public Health Engineering( PHE) , West Bengal government </v>
      </c>
      <c r="P154" s="21" t="str">
        <f>IFERROR(__xludf.DUMMYFUNCTION("""COMPUTED_VALUE"""),"Sodepur ")</f>
        <v>Sodepur </v>
      </c>
      <c r="Q154" s="21">
        <f>IFERROR(__xludf.DUMMYFUNCTION("""COMPUTED_VALUE"""),9.830035498E9)</f>
        <v>9830035498</v>
      </c>
      <c r="R154" s="21" t="str">
        <f>IFERROR(__xludf.DUMMYFUNCTION("""COMPUTED_VALUE"""),"Aparna Bhattacharyya ")</f>
        <v>Aparna Bhattacharyya </v>
      </c>
      <c r="S154" s="21" t="str">
        <f>IFERROR(__xludf.DUMMYFUNCTION("""COMPUTED_VALUE"""),"Government service, police in Department of Disaster Management and Civil Defence , West Bengal government ")</f>
        <v>Government service, police in Department of Disaster Management and Civil Defence , West Bengal government </v>
      </c>
      <c r="T154" s="21" t="str">
        <f>IFERROR(__xludf.DUMMYFUNCTION("""COMPUTED_VALUE"""),"Sodepur ")</f>
        <v>Sodepur </v>
      </c>
      <c r="U154" s="21">
        <f>IFERROR(__xludf.DUMMYFUNCTION("""COMPUTED_VALUE"""),7.980652856E9)</f>
        <v>7980652856</v>
      </c>
      <c r="V154" s="21">
        <f>IFERROR(__xludf.DUMMYFUNCTION("""COMPUTED_VALUE"""),2.0)</f>
        <v>2</v>
      </c>
      <c r="W154" s="21" t="str">
        <f>IFERROR(__xludf.DUMMYFUNCTION("""COMPUTED_VALUE"""),"Aparna bhattacharyya ")</f>
        <v>Aparna bhattacharyya </v>
      </c>
      <c r="X154" s="21" t="str">
        <f>IFERROR(__xludf.DUMMYFUNCTION("""COMPUTED_VALUE"""),"Mother ")</f>
        <v>Mother </v>
      </c>
      <c r="Y154" s="21" t="str">
        <f>IFERROR(__xludf.DUMMYFUNCTION("""COMPUTED_VALUE"""),"Kosturi singha roy")</f>
        <v>Kosturi singha roy</v>
      </c>
      <c r="Z154" s="21" t="str">
        <f>IFERROR(__xludf.DUMMYFUNCTION("""COMPUTED_VALUE"""),"Aunt ")</f>
        <v>Aunt </v>
      </c>
      <c r="AA154" s="21" t="str">
        <f>IFERROR(__xludf.DUMMYFUNCTION("""COMPUTED_VALUE"""),"Non-Veg")</f>
        <v>Non-Veg</v>
      </c>
      <c r="AB154" s="21" t="str">
        <f>IFERROR(__xludf.DUMMYFUNCTION("""COMPUTED_VALUE"""),"Non-Veg")</f>
        <v>Non-Veg</v>
      </c>
      <c r="AC154" s="21" t="str">
        <f>IFERROR(__xludf.DUMMYFUNCTION("""COMPUTED_VALUE"""),"Non-Veg")</f>
        <v>Non-Veg</v>
      </c>
      <c r="AD154" s="21" t="str">
        <f>IFERROR(__xludf.DUMMYFUNCTION("""COMPUTED_VALUE"""),"Drop at Kalyani Railway Station")</f>
        <v>Drop at Kalyani Railway Station</v>
      </c>
      <c r="AE154" s="21">
        <f>IFERROR(__xludf.DUMMYFUNCTION("""COMPUTED_VALUE"""),3.0)</f>
        <v>3</v>
      </c>
    </row>
    <row r="155" ht="22.5" customHeight="1">
      <c r="A155" s="18">
        <f>IFERROR(__xludf.DUMMYFUNCTION("""COMPUTED_VALUE"""),46258.97708182871)</f>
        <v>46258.97708</v>
      </c>
      <c r="B155" s="21" t="str">
        <f>IFERROR(__xludf.DUMMYFUNCTION("""COMPUTED_VALUE"""),"prasu1999cmc@gmail.com")</f>
        <v>prasu1999cmc@gmail.com</v>
      </c>
      <c r="C155" s="21" t="str">
        <f>IFERROR(__xludf.DUMMYFUNCTION("""COMPUTED_VALUE"""),"PRASANJIT DAS")</f>
        <v>PRASANJIT DAS</v>
      </c>
      <c r="D155" s="21">
        <f>IFERROR(__xludf.DUMMYFUNCTION("""COMPUTED_VALUE"""),2.023032E7)</f>
        <v>20230320</v>
      </c>
      <c r="E155" s="21" t="str">
        <f>IFERROR(__xludf.DUMMYFUNCTION("""COMPUTED_VALUE"""),"MD/MS/MDS 2023")</f>
        <v>MD/MS/MDS 2023</v>
      </c>
      <c r="F155" s="21">
        <f>IFERROR(__xludf.DUMMYFUNCTION("""COMPUTED_VALUE"""),9.476084509E9)</f>
        <v>9476084509</v>
      </c>
      <c r="G155" s="21" t="str">
        <f>IFERROR(__xludf.DUMMYFUNCTION("""COMPUTED_VALUE"""),"docprasanjitdas@gmail.com")</f>
        <v>docprasanjitdas@gmail.com</v>
      </c>
      <c r="H155" s="21" t="str">
        <f>IFERROR(__xludf.DUMMYFUNCTION("""COMPUTED_VALUE"""),"Yes")</f>
        <v>Yes</v>
      </c>
      <c r="I155" s="21" t="str">
        <f>IFERROR(__xludf.DUMMYFUNCTION("""COMPUTED_VALUE"""),"Online educator, Researcher, Poet and Quiz master ")</f>
        <v>Online educator, Researcher, Poet and Quiz master </v>
      </c>
      <c r="J155" s="21" t="str">
        <f>IFERROR(__xludf.DUMMYFUNCTION("""COMPUTED_VALUE"""),"ICTD QUIZ COORDINATOR FOR AIIMS UG STUDENTS FOR TWO CONSECUTIVE YEARS, AUTHOR OF COLLECTION OF POEMS NAMED WINGS OF IMAGINATION PART 1,2 and 3, T-SHIRT BRAND OWNER, CREATOR")</f>
        <v>ICTD QUIZ COORDINATOR FOR AIIMS UG STUDENTS FOR TWO CONSECUTIVE YEARS, AUTHOR OF COLLECTION OF POEMS NAMED WINGS OF IMAGINATION PART 1,2 and 3, T-SHIRT BRAND OWNER, CREATOR</v>
      </c>
      <c r="K155" s="21" t="str">
        <f>IFERROR(__xludf.DUMMYFUNCTION("""COMPUTED_VALUE"""),"PORT BLAIR")</f>
        <v>PORT BLAIR</v>
      </c>
      <c r="L155" s="22" t="str">
        <f>IFERROR(__xludf.DUMMYFUNCTION("""COMPUTED_VALUE"""),"https://drive.google.com/open?id=1SWuwHRxyno1L65hUqbVUCARa8kB9WwfS")</f>
        <v>https://drive.google.com/open?id=1SWuwHRxyno1L65hUqbVUCARa8kB9WwfS</v>
      </c>
      <c r="M155" s="22" t="str">
        <f>IFERROR(__xludf.DUMMYFUNCTION("""COMPUTED_VALUE"""),"https://drive.google.com/open?id=1eN3XM3FDAfnjuzltq2F02E95vygNgK8o")</f>
        <v>https://drive.google.com/open?id=1eN3XM3FDAfnjuzltq2F02E95vygNgK8o</v>
      </c>
      <c r="N155" s="21" t="str">
        <f>IFERROR(__xludf.DUMMYFUNCTION("""COMPUTED_VALUE"""),"PRASANTA KUMAR DAS")</f>
        <v>PRASANTA KUMAR DAS</v>
      </c>
      <c r="O155" s="21" t="str">
        <f>IFERROR(__xludf.DUMMYFUNCTION("""COMPUTED_VALUE"""),"GOVERNMENT SERVANT ASSISTANT INCHARGE")</f>
        <v>GOVERNMENT SERVANT ASSISTANT INCHARGE</v>
      </c>
      <c r="P155" s="21" t="str">
        <f>IFERROR(__xludf.DUMMYFUNCTION("""COMPUTED_VALUE"""),"PORT BLAIR")</f>
        <v>PORT BLAIR</v>
      </c>
      <c r="Q155" s="21">
        <f>IFERROR(__xludf.DUMMYFUNCTION("""COMPUTED_VALUE"""),9.434264702E9)</f>
        <v>9434264702</v>
      </c>
      <c r="R155" s="21" t="str">
        <f>IFERROR(__xludf.DUMMYFUNCTION("""COMPUTED_VALUE"""),"TAPASI RANI DAS")</f>
        <v>TAPASI RANI DAS</v>
      </c>
      <c r="S155" s="21" t="str">
        <f>IFERROR(__xludf.DUMMYFUNCTION("""COMPUTED_VALUE"""),"RETIRED GOVERNMENT SERVANT")</f>
        <v>RETIRED GOVERNMENT SERVANT</v>
      </c>
      <c r="T155" s="21" t="str">
        <f>IFERROR(__xludf.DUMMYFUNCTION("""COMPUTED_VALUE"""),"PORT BLAIR")</f>
        <v>PORT BLAIR</v>
      </c>
      <c r="U155" s="21">
        <f>IFERROR(__xludf.DUMMYFUNCTION("""COMPUTED_VALUE"""),9.474231697E9)</f>
        <v>9474231697</v>
      </c>
      <c r="V155" s="21">
        <f>IFERROR(__xludf.DUMMYFUNCTION("""COMPUTED_VALUE"""),2.0)</f>
        <v>2</v>
      </c>
      <c r="W155" s="21" t="str">
        <f>IFERROR(__xludf.DUMMYFUNCTION("""COMPUTED_VALUE"""),"PRASANTA KUMAR DAS")</f>
        <v>PRASANTA KUMAR DAS</v>
      </c>
      <c r="X155" s="21" t="str">
        <f>IFERROR(__xludf.DUMMYFUNCTION("""COMPUTED_VALUE"""),"FATHER")</f>
        <v>FATHER</v>
      </c>
      <c r="Y155" s="21" t="str">
        <f>IFERROR(__xludf.DUMMYFUNCTION("""COMPUTED_VALUE"""),"TAPASI RANI DAS")</f>
        <v>TAPASI RANI DAS</v>
      </c>
      <c r="Z155" s="21" t="str">
        <f>IFERROR(__xludf.DUMMYFUNCTION("""COMPUTED_VALUE"""),"MOTHER")</f>
        <v>MOTHER</v>
      </c>
      <c r="AA155" s="21" t="str">
        <f>IFERROR(__xludf.DUMMYFUNCTION("""COMPUTED_VALUE"""),"Non-Veg")</f>
        <v>Non-Veg</v>
      </c>
      <c r="AB155" s="21" t="str">
        <f>IFERROR(__xludf.DUMMYFUNCTION("""COMPUTED_VALUE"""),"Non-Veg")</f>
        <v>Non-Veg</v>
      </c>
      <c r="AC155" s="21" t="str">
        <f>IFERROR(__xludf.DUMMYFUNCTION("""COMPUTED_VALUE"""),"Non-Veg")</f>
        <v>Non-Veg</v>
      </c>
      <c r="AD155" s="21" t="str">
        <f>IFERROR(__xludf.DUMMYFUNCTION("""COMPUTED_VALUE"""),"Bus Drop Service not needed")</f>
        <v>Bus Drop Service not needed</v>
      </c>
      <c r="AE155" s="21">
        <f>IFERROR(__xludf.DUMMYFUNCTION("""COMPUTED_VALUE"""),0.0)</f>
        <v>0</v>
      </c>
    </row>
    <row r="156" ht="22.5" customHeight="1">
      <c r="A156" s="18">
        <f>IFERROR(__xludf.DUMMYFUNCTION("""COMPUTED_VALUE"""),46258.93468578704)</f>
        <v>46258.93469</v>
      </c>
      <c r="B156" s="21" t="str">
        <f>IFERROR(__xludf.DUMMYFUNCTION("""COMPUTED_VALUE"""),"aditi.bscnursing-2021@aiimskalyani.edu.in")</f>
        <v>aditi.bscnursing-2021@aiimskalyani.edu.in</v>
      </c>
      <c r="C156" s="21" t="str">
        <f>IFERROR(__xludf.DUMMYFUNCTION("""COMPUTED_VALUE"""),"ADITI MANDAL ")</f>
        <v>ADITI MANDAL </v>
      </c>
      <c r="D156" s="21">
        <f>IFERROR(__xludf.DUMMYFUNCTION("""COMPUTED_VALUE"""),2.0210201E7)</f>
        <v>20210201</v>
      </c>
      <c r="E156" s="21" t="str">
        <f>IFERROR(__xludf.DUMMYFUNCTION("""COMPUTED_VALUE"""),"B.Sc (Hons) Nursing 2021")</f>
        <v>B.Sc (Hons) Nursing 2021</v>
      </c>
      <c r="F156" s="21">
        <f>IFERROR(__xludf.DUMMYFUNCTION("""COMPUTED_VALUE"""),7.584874474E9)</f>
        <v>7584874474</v>
      </c>
      <c r="G156" s="21" t="str">
        <f>IFERROR(__xludf.DUMMYFUNCTION("""COMPUTED_VALUE"""),"aditimandal0328@gmail.com")</f>
        <v>aditimandal0328@gmail.com</v>
      </c>
      <c r="H156" s="21" t="str">
        <f>IFERROR(__xludf.DUMMYFUNCTION("""COMPUTED_VALUE"""),"Yes")</f>
        <v>Yes</v>
      </c>
      <c r="I156" s="21" t="str">
        <f>IFERROR(__xludf.DUMMYFUNCTION("""COMPUTED_VALUE"""),"Painting ")</f>
        <v>Painting </v>
      </c>
      <c r="J156" s="21"/>
      <c r="K156" s="21" t="str">
        <f>IFERROR(__xludf.DUMMYFUNCTION("""COMPUTED_VALUE"""),"Purba Barddhaman, West Bengal ")</f>
        <v>Purba Barddhaman, West Bengal </v>
      </c>
      <c r="L156" s="22" t="str">
        <f>IFERROR(__xludf.DUMMYFUNCTION("""COMPUTED_VALUE"""),"https://drive.google.com/open?id=1jTIq7YFhMjFF20qzi_laHszNnwT09IJ5")</f>
        <v>https://drive.google.com/open?id=1jTIq7YFhMjFF20qzi_laHszNnwT09IJ5</v>
      </c>
      <c r="M156" s="22" t="str">
        <f>IFERROR(__xludf.DUMMYFUNCTION("""COMPUTED_VALUE"""),"https://drive.google.com/open?id=1jY1Pfr68oNoCTqmnwGvgYXorqJPrNTfD")</f>
        <v>https://drive.google.com/open?id=1jY1Pfr68oNoCTqmnwGvgYXorqJPrNTfD</v>
      </c>
      <c r="N156" s="21" t="str">
        <f>IFERROR(__xludf.DUMMYFUNCTION("""COMPUTED_VALUE"""),"Sakti Pada Mandal ")</f>
        <v>Sakti Pada Mandal </v>
      </c>
      <c r="O156" s="21" t="str">
        <f>IFERROR(__xludf.DUMMYFUNCTION("""COMPUTED_VALUE"""),"Ex service man ")</f>
        <v>Ex service man </v>
      </c>
      <c r="P156" s="21" t="str">
        <f>IFERROR(__xludf.DUMMYFUNCTION("""COMPUTED_VALUE"""),"Purba Barddhaman ")</f>
        <v>Purba Barddhaman </v>
      </c>
      <c r="Q156" s="21">
        <f>IFERROR(__xludf.DUMMYFUNCTION("""COMPUTED_VALUE"""),7.47751796E9)</f>
        <v>7477517960</v>
      </c>
      <c r="R156" s="21" t="str">
        <f>IFERROR(__xludf.DUMMYFUNCTION("""COMPUTED_VALUE"""),"Shyamali Mandal")</f>
        <v>Shyamali Mandal</v>
      </c>
      <c r="S156" s="21" t="str">
        <f>IFERROR(__xludf.DUMMYFUNCTION("""COMPUTED_VALUE"""),"Housewife ")</f>
        <v>Housewife </v>
      </c>
      <c r="T156" s="21" t="str">
        <f>IFERROR(__xludf.DUMMYFUNCTION("""COMPUTED_VALUE"""),"Purba Barddhaman ")</f>
        <v>Purba Barddhaman </v>
      </c>
      <c r="U156" s="21">
        <f>IFERROR(__xludf.DUMMYFUNCTION("""COMPUTED_VALUE"""),9.732142457E9)</f>
        <v>9732142457</v>
      </c>
      <c r="V156" s="21">
        <f>IFERROR(__xludf.DUMMYFUNCTION("""COMPUTED_VALUE"""),2.0)</f>
        <v>2</v>
      </c>
      <c r="W156" s="21" t="str">
        <f>IFERROR(__xludf.DUMMYFUNCTION("""COMPUTED_VALUE"""),"Sakti Pada Mandal ")</f>
        <v>Sakti Pada Mandal </v>
      </c>
      <c r="X156" s="21" t="str">
        <f>IFERROR(__xludf.DUMMYFUNCTION("""COMPUTED_VALUE"""),"Father")</f>
        <v>Father</v>
      </c>
      <c r="Y156" s="21" t="str">
        <f>IFERROR(__xludf.DUMMYFUNCTION("""COMPUTED_VALUE"""),"Shyamali Mandal")</f>
        <v>Shyamali Mandal</v>
      </c>
      <c r="Z156" s="21" t="str">
        <f>IFERROR(__xludf.DUMMYFUNCTION("""COMPUTED_VALUE"""),"Mother ")</f>
        <v>Mother </v>
      </c>
      <c r="AA156" s="21" t="str">
        <f>IFERROR(__xludf.DUMMYFUNCTION("""COMPUTED_VALUE"""),"Non-Veg")</f>
        <v>Non-Veg</v>
      </c>
      <c r="AB156" s="21" t="str">
        <f>IFERROR(__xludf.DUMMYFUNCTION("""COMPUTED_VALUE"""),"Non-Veg")</f>
        <v>Non-Veg</v>
      </c>
      <c r="AC156" s="21" t="str">
        <f>IFERROR(__xludf.DUMMYFUNCTION("""COMPUTED_VALUE"""),"Non-Veg")</f>
        <v>Non-Veg</v>
      </c>
      <c r="AD156" s="21" t="str">
        <f>IFERROR(__xludf.DUMMYFUNCTION("""COMPUTED_VALUE"""),"Bus Drop Service not needed")</f>
        <v>Bus Drop Service not needed</v>
      </c>
      <c r="AE156" s="21">
        <f>IFERROR(__xludf.DUMMYFUNCTION("""COMPUTED_VALUE"""),0.0)</f>
        <v>0</v>
      </c>
    </row>
    <row r="157" ht="22.5" customHeight="1">
      <c r="A157" s="18">
        <f>IFERROR(__xludf.DUMMYFUNCTION("""COMPUTED_VALUE"""),46258.88864873843)</f>
        <v>46258.88865</v>
      </c>
      <c r="B157" s="21" t="str">
        <f>IFERROR(__xludf.DUMMYFUNCTION("""COMPUTED_VALUE"""),"soumya.mbbs-2020@aiimskalyani.edu.in")</f>
        <v>soumya.mbbs-2020@aiimskalyani.edu.in</v>
      </c>
      <c r="C157" s="21" t="str">
        <f>IFERROR(__xludf.DUMMYFUNCTION("""COMPUTED_VALUE"""),"SOUMYA PARIDA ")</f>
        <v>SOUMYA PARIDA </v>
      </c>
      <c r="D157" s="21">
        <f>IFERROR(__xludf.DUMMYFUNCTION("""COMPUTED_VALUE"""),2.02001148E8)</f>
        <v>202001148</v>
      </c>
      <c r="E157" s="21" t="str">
        <f>IFERROR(__xludf.DUMMYFUNCTION("""COMPUTED_VALUE"""),"MBBS 2020")</f>
        <v>MBBS 2020</v>
      </c>
      <c r="F157" s="21">
        <f>IFERROR(__xludf.DUMMYFUNCTION("""COMPUTED_VALUE"""),7.735479962E9)</f>
        <v>7735479962</v>
      </c>
      <c r="G157" s="21" t="str">
        <f>IFERROR(__xludf.DUMMYFUNCTION("""COMPUTED_VALUE"""),"paridasoumya1@gmail.com")</f>
        <v>paridasoumya1@gmail.com</v>
      </c>
      <c r="H157" s="21" t="str">
        <f>IFERROR(__xludf.DUMMYFUNCTION("""COMPUTED_VALUE"""),"Yes")</f>
        <v>Yes</v>
      </c>
      <c r="I157" s="21"/>
      <c r="J157" s="21"/>
      <c r="K157" s="21" t="str">
        <f>IFERROR(__xludf.DUMMYFUNCTION("""COMPUTED_VALUE"""),"Kendrapada , Odisha ")</f>
        <v>Kendrapada , Odisha </v>
      </c>
      <c r="L157" s="22" t="str">
        <f>IFERROR(__xludf.DUMMYFUNCTION("""COMPUTED_VALUE"""),"https://drive.google.com/open?id=1zTOBxVNCXt22Rwj7Pl1gpjJkQa8kWMSn")</f>
        <v>https://drive.google.com/open?id=1zTOBxVNCXt22Rwj7Pl1gpjJkQa8kWMSn</v>
      </c>
      <c r="M157" s="22" t="str">
        <f>IFERROR(__xludf.DUMMYFUNCTION("""COMPUTED_VALUE"""),"https://drive.google.com/open?id=1UJUiJTyL0PYyi87H4TV5zhX-DzbNR0lw")</f>
        <v>https://drive.google.com/open?id=1UJUiJTyL0PYyi87H4TV5zhX-DzbNR0lw</v>
      </c>
      <c r="N157" s="21" t="str">
        <f>IFERROR(__xludf.DUMMYFUNCTION("""COMPUTED_VALUE"""),"Pravat Kumar Parida ")</f>
        <v>Pravat Kumar Parida </v>
      </c>
      <c r="O157" s="21" t="str">
        <f>IFERROR(__xludf.DUMMYFUNCTION("""COMPUTED_VALUE"""),"Physics lecture")</f>
        <v>Physics lecture</v>
      </c>
      <c r="P157" s="21" t="str">
        <f>IFERROR(__xludf.DUMMYFUNCTION("""COMPUTED_VALUE"""),"Kendrapada, Odisha ")</f>
        <v>Kendrapada, Odisha </v>
      </c>
      <c r="Q157" s="21">
        <f>IFERROR(__xludf.DUMMYFUNCTION("""COMPUTED_VALUE"""),7.008620644E9)</f>
        <v>7008620644</v>
      </c>
      <c r="R157" s="21" t="str">
        <f>IFERROR(__xludf.DUMMYFUNCTION("""COMPUTED_VALUE"""),"Bandita Routray ")</f>
        <v>Bandita Routray </v>
      </c>
      <c r="S157" s="21" t="str">
        <f>IFERROR(__xludf.DUMMYFUNCTION("""COMPUTED_VALUE"""),"Teacher ")</f>
        <v>Teacher </v>
      </c>
      <c r="T157" s="21" t="str">
        <f>IFERROR(__xludf.DUMMYFUNCTION("""COMPUTED_VALUE"""),"Kendrapada, Odisha ")</f>
        <v>Kendrapada, Odisha </v>
      </c>
      <c r="U157" s="21">
        <f>IFERROR(__xludf.DUMMYFUNCTION("""COMPUTED_VALUE"""),7.008072294E9)</f>
        <v>7008072294</v>
      </c>
      <c r="V157" s="21">
        <f>IFERROR(__xludf.DUMMYFUNCTION("""COMPUTED_VALUE"""),2.0)</f>
        <v>2</v>
      </c>
      <c r="W157" s="21" t="str">
        <f>IFERROR(__xludf.DUMMYFUNCTION("""COMPUTED_VALUE"""),"Shraddha saraswati Parida ")</f>
        <v>Shraddha saraswati Parida </v>
      </c>
      <c r="X157" s="21" t="str">
        <f>IFERROR(__xludf.DUMMYFUNCTION("""COMPUTED_VALUE"""),"Sister ")</f>
        <v>Sister </v>
      </c>
      <c r="Y157" s="21" t="str">
        <f>IFERROR(__xludf.DUMMYFUNCTION("""COMPUTED_VALUE"""),"Pravat Kumar Parida ")</f>
        <v>Pravat Kumar Parida </v>
      </c>
      <c r="Z157" s="21" t="str">
        <f>IFERROR(__xludf.DUMMYFUNCTION("""COMPUTED_VALUE"""),"Father ")</f>
        <v>Father </v>
      </c>
      <c r="AA157" s="21" t="str">
        <f>IFERROR(__xludf.DUMMYFUNCTION("""COMPUTED_VALUE"""),"Veg")</f>
        <v>Veg</v>
      </c>
      <c r="AB157" s="21" t="str">
        <f>IFERROR(__xludf.DUMMYFUNCTION("""COMPUTED_VALUE"""),"Veg")</f>
        <v>Veg</v>
      </c>
      <c r="AC157" s="21" t="str">
        <f>IFERROR(__xludf.DUMMYFUNCTION("""COMPUTED_VALUE"""),"Veg")</f>
        <v>Veg</v>
      </c>
      <c r="AD157" s="21" t="str">
        <f>IFERROR(__xludf.DUMMYFUNCTION("""COMPUTED_VALUE"""),"Drop at Kolkata Airport")</f>
        <v>Drop at Kolkata Airport</v>
      </c>
      <c r="AE157" s="21">
        <f>IFERROR(__xludf.DUMMYFUNCTION("""COMPUTED_VALUE"""),3.0)</f>
        <v>3</v>
      </c>
    </row>
    <row r="158" ht="22.5" customHeight="1">
      <c r="A158" s="18">
        <f>IFERROR(__xludf.DUMMYFUNCTION("""COMPUTED_VALUE"""),46258.8841737037)</f>
        <v>46258.88417</v>
      </c>
      <c r="B158" s="21" t="str">
        <f>IFERROR(__xludf.DUMMYFUNCTION("""COMPUTED_VALUE"""),"souvik.patho_pgt23@aiimskalyani.edu.in")</f>
        <v>souvik.patho_pgt23@aiimskalyani.edu.in</v>
      </c>
      <c r="C158" s="21" t="str">
        <f>IFERROR(__xludf.DUMMYFUNCTION("""COMPUTED_VALUE"""),"SOUVIK BHATTACHARYA")</f>
        <v>SOUVIK BHATTACHARYA</v>
      </c>
      <c r="D158" s="21">
        <f>IFERROR(__xludf.DUMMYFUNCTION("""COMPUTED_VALUE"""),2.0230315E7)</f>
        <v>20230315</v>
      </c>
      <c r="E158" s="21" t="str">
        <f>IFERROR(__xludf.DUMMYFUNCTION("""COMPUTED_VALUE"""),"MD/MS/MDS 2023")</f>
        <v>MD/MS/MDS 2023</v>
      </c>
      <c r="F158" s="21">
        <f>IFERROR(__xludf.DUMMYFUNCTION("""COMPUTED_VALUE"""),8.017164337E9)</f>
        <v>8017164337</v>
      </c>
      <c r="G158" s="21" t="str">
        <f>IFERROR(__xludf.DUMMYFUNCTION("""COMPUTED_VALUE"""),"svkbhttchr@live.in")</f>
        <v>svkbhttchr@live.in</v>
      </c>
      <c r="H158" s="21" t="str">
        <f>IFERROR(__xludf.DUMMYFUNCTION("""COMPUTED_VALUE"""),"Yes")</f>
        <v>Yes</v>
      </c>
      <c r="I158" s="21" t="str">
        <f>IFERROR(__xludf.DUMMYFUNCTION("""COMPUTED_VALUE"""),"Gardening")</f>
        <v>Gardening</v>
      </c>
      <c r="J158" s="21" t="str">
        <f>IFERROR(__xludf.DUMMYFUNCTION("""COMPUTED_VALUE"""),"NA")</f>
        <v>NA</v>
      </c>
      <c r="K158" s="21" t="str">
        <f>IFERROR(__xludf.DUMMYFUNCTION("""COMPUTED_VALUE"""),"Kolkata")</f>
        <v>Kolkata</v>
      </c>
      <c r="L158" s="22" t="str">
        <f>IFERROR(__xludf.DUMMYFUNCTION("""COMPUTED_VALUE"""),"https://drive.google.com/open?id=1hExh2JwuT6TMN4Mg4IBFwmLaqAZa85G0")</f>
        <v>https://drive.google.com/open?id=1hExh2JwuT6TMN4Mg4IBFwmLaqAZa85G0</v>
      </c>
      <c r="M158" s="22" t="str">
        <f>IFERROR(__xludf.DUMMYFUNCTION("""COMPUTED_VALUE"""),"https://drive.google.com/open?id=1u_rmdsZQkqSLw89Wr3hh4895kQxU6rCH")</f>
        <v>https://drive.google.com/open?id=1u_rmdsZQkqSLw89Wr3hh4895kQxU6rCH</v>
      </c>
      <c r="N158" s="21" t="str">
        <f>IFERROR(__xludf.DUMMYFUNCTION("""COMPUTED_VALUE"""),"Saswata Bhattacharyya")</f>
        <v>Saswata Bhattacharyya</v>
      </c>
      <c r="O158" s="21" t="str">
        <f>IFERROR(__xludf.DUMMYFUNCTION("""COMPUTED_VALUE"""),"Doctor")</f>
        <v>Doctor</v>
      </c>
      <c r="P158" s="21" t="str">
        <f>IFERROR(__xludf.DUMMYFUNCTION("""COMPUTED_VALUE"""),"Kolkata")</f>
        <v>Kolkata</v>
      </c>
      <c r="Q158" s="21">
        <f>IFERROR(__xludf.DUMMYFUNCTION("""COMPUTED_VALUE"""),9.433879722E9)</f>
        <v>9433879722</v>
      </c>
      <c r="R158" s="21" t="str">
        <f>IFERROR(__xludf.DUMMYFUNCTION("""COMPUTED_VALUE"""),"Sanghamitra Bhattacharya")</f>
        <v>Sanghamitra Bhattacharya</v>
      </c>
      <c r="S158" s="21" t="str">
        <f>IFERROR(__xludf.DUMMYFUNCTION("""COMPUTED_VALUE"""),"Teacher")</f>
        <v>Teacher</v>
      </c>
      <c r="T158" s="21" t="str">
        <f>IFERROR(__xludf.DUMMYFUNCTION("""COMPUTED_VALUE"""),"Kolkata")</f>
        <v>Kolkata</v>
      </c>
      <c r="U158" s="21">
        <f>IFERROR(__xludf.DUMMYFUNCTION("""COMPUTED_VALUE"""),9.433336318E9)</f>
        <v>9433336318</v>
      </c>
      <c r="V158" s="21">
        <f>IFERROR(__xludf.DUMMYFUNCTION("""COMPUTED_VALUE"""),2.0)</f>
        <v>2</v>
      </c>
      <c r="W158" s="21" t="str">
        <f>IFERROR(__xludf.DUMMYFUNCTION("""COMPUTED_VALUE"""),"Saswata Bhattacharyya ")</f>
        <v>Saswata Bhattacharyya </v>
      </c>
      <c r="X158" s="21" t="str">
        <f>IFERROR(__xludf.DUMMYFUNCTION("""COMPUTED_VALUE"""),"Father")</f>
        <v>Father</v>
      </c>
      <c r="Y158" s="21" t="str">
        <f>IFERROR(__xludf.DUMMYFUNCTION("""COMPUTED_VALUE"""),"Sanghamitra Bhattacharya ")</f>
        <v>Sanghamitra Bhattacharya </v>
      </c>
      <c r="Z158" s="21" t="str">
        <f>IFERROR(__xludf.DUMMYFUNCTION("""COMPUTED_VALUE"""),"Mother ")</f>
        <v>Mother </v>
      </c>
      <c r="AA158" s="21" t="str">
        <f>IFERROR(__xludf.DUMMYFUNCTION("""COMPUTED_VALUE"""),"Non-Veg")</f>
        <v>Non-Veg</v>
      </c>
      <c r="AB158" s="21" t="str">
        <f>IFERROR(__xludf.DUMMYFUNCTION("""COMPUTED_VALUE"""),"Veg")</f>
        <v>Veg</v>
      </c>
      <c r="AC158" s="21" t="str">
        <f>IFERROR(__xludf.DUMMYFUNCTION("""COMPUTED_VALUE"""),"Non-Veg")</f>
        <v>Non-Veg</v>
      </c>
      <c r="AD158" s="21" t="str">
        <f>IFERROR(__xludf.DUMMYFUNCTION("""COMPUTED_VALUE"""),"Drop at Kolkata Airport")</f>
        <v>Drop at Kolkata Airport</v>
      </c>
      <c r="AE158" s="21">
        <f>IFERROR(__xludf.DUMMYFUNCTION("""COMPUTED_VALUE"""),3.0)</f>
        <v>3</v>
      </c>
    </row>
    <row r="159" ht="22.5" customHeight="1">
      <c r="A159" s="18">
        <f>IFERROR(__xludf.DUMMYFUNCTION("""COMPUTED_VALUE"""),46258.88292387732)</f>
        <v>46258.88292</v>
      </c>
      <c r="B159" s="21" t="str">
        <f>IFERROR(__xludf.DUMMYFUNCTION("""COMPUTED_VALUE"""),"megha.bscnursing-2021@aiimskalyani.edu.in")</f>
        <v>megha.bscnursing-2021@aiimskalyani.edu.in</v>
      </c>
      <c r="C159" s="21" t="str">
        <f>IFERROR(__xludf.DUMMYFUNCTION("""COMPUTED_VALUE"""),"MEGHA MAITI ")</f>
        <v>MEGHA MAITI </v>
      </c>
      <c r="D159" s="21">
        <f>IFERROR(__xludf.DUMMYFUNCTION("""COMPUTED_VALUE"""),2.0210221E7)</f>
        <v>20210221</v>
      </c>
      <c r="E159" s="21" t="str">
        <f>IFERROR(__xludf.DUMMYFUNCTION("""COMPUTED_VALUE"""),"B.Sc (Hons) Nursing 2021")</f>
        <v>B.Sc (Hons) Nursing 2021</v>
      </c>
      <c r="F159" s="21">
        <f>IFERROR(__xludf.DUMMYFUNCTION("""COMPUTED_VALUE"""),9.593286407E9)</f>
        <v>9593286407</v>
      </c>
      <c r="G159" s="21" t="str">
        <f>IFERROR(__xludf.DUMMYFUNCTION("""COMPUTED_VALUE"""),"meghamaiti288@gmail.com")</f>
        <v>meghamaiti288@gmail.com</v>
      </c>
      <c r="H159" s="21" t="str">
        <f>IFERROR(__xludf.DUMMYFUNCTION("""COMPUTED_VALUE"""),"Yes")</f>
        <v>Yes</v>
      </c>
      <c r="I159" s="21" t="str">
        <f>IFERROR(__xludf.DUMMYFUNCTION("""COMPUTED_VALUE"""),"Drawing ")</f>
        <v>Drawing </v>
      </c>
      <c r="J159" s="21" t="str">
        <f>IFERROR(__xludf.DUMMYFUNCTION("""COMPUTED_VALUE"""),"NA")</f>
        <v>NA</v>
      </c>
      <c r="K159" s="21" t="str">
        <f>IFERROR(__xludf.DUMMYFUNCTION("""COMPUTED_VALUE"""),"Dakshin Mechogram, Panskura, Purba Medinipur ")</f>
        <v>Dakshin Mechogram, Panskura, Purba Medinipur </v>
      </c>
      <c r="L159" s="22" t="str">
        <f>IFERROR(__xludf.DUMMYFUNCTION("""COMPUTED_VALUE"""),"https://drive.google.com/open?id=1yx_mTJmpBlS7Ehjr2FkvxGn7j9Nj2wg3")</f>
        <v>https://drive.google.com/open?id=1yx_mTJmpBlS7Ehjr2FkvxGn7j9Nj2wg3</v>
      </c>
      <c r="M159" s="22" t="str">
        <f>IFERROR(__xludf.DUMMYFUNCTION("""COMPUTED_VALUE"""),"https://drive.google.com/open?id=1r05u7kaR07v-0XzX50YXDcEiRVbJywIM")</f>
        <v>https://drive.google.com/open?id=1r05u7kaR07v-0XzX50YXDcEiRVbJywIM</v>
      </c>
      <c r="N159" s="21" t="str">
        <f>IFERROR(__xludf.DUMMYFUNCTION("""COMPUTED_VALUE"""),"NITAI CHARAN MAITI")</f>
        <v>NITAI CHARAN MAITI</v>
      </c>
      <c r="O159" s="21" t="str">
        <f>IFERROR(__xludf.DUMMYFUNCTION("""COMPUTED_VALUE"""),"Retired Bank employee ")</f>
        <v>Retired Bank employee </v>
      </c>
      <c r="P159" s="21" t="str">
        <f>IFERROR(__xludf.DUMMYFUNCTION("""COMPUTED_VALUE"""),"Dakshin Mechogram, Panskura, Purba Medinipur ")</f>
        <v>Dakshin Mechogram, Panskura, Purba Medinipur </v>
      </c>
      <c r="Q159" s="21">
        <f>IFERROR(__xludf.DUMMYFUNCTION("""COMPUTED_VALUE"""),9.434804867E9)</f>
        <v>9434804867</v>
      </c>
      <c r="R159" s="21" t="str">
        <f>IFERROR(__xludf.DUMMYFUNCTION("""COMPUTED_VALUE"""),"LATE NABANITA MAITI")</f>
        <v>LATE NABANITA MAITI</v>
      </c>
      <c r="S159" s="21" t="str">
        <f>IFERROR(__xludf.DUMMYFUNCTION("""COMPUTED_VALUE"""),"NA")</f>
        <v>NA</v>
      </c>
      <c r="T159" s="21" t="str">
        <f>IFERROR(__xludf.DUMMYFUNCTION("""COMPUTED_VALUE"""),"NA")</f>
        <v>NA</v>
      </c>
      <c r="U159" s="21">
        <f>IFERROR(__xludf.DUMMYFUNCTION("""COMPUTED_VALUE"""),9.434129205E9)</f>
        <v>9434129205</v>
      </c>
      <c r="V159" s="21">
        <f>IFERROR(__xludf.DUMMYFUNCTION("""COMPUTED_VALUE"""),2.0)</f>
        <v>2</v>
      </c>
      <c r="W159" s="21" t="str">
        <f>IFERROR(__xludf.DUMMYFUNCTION("""COMPUTED_VALUE"""),"SUSAMA GHORAI")</f>
        <v>SUSAMA GHORAI</v>
      </c>
      <c r="X159" s="21" t="str">
        <f>IFERROR(__xludf.DUMMYFUNCTION("""COMPUTED_VALUE"""),"Sister")</f>
        <v>Sister</v>
      </c>
      <c r="Y159" s="21" t="str">
        <f>IFERROR(__xludf.DUMMYFUNCTION("""COMPUTED_VALUE"""),"SOURYA MAITI")</f>
        <v>SOURYA MAITI</v>
      </c>
      <c r="Z159" s="21" t="str">
        <f>IFERROR(__xludf.DUMMYFUNCTION("""COMPUTED_VALUE"""),"Brother ")</f>
        <v>Brother </v>
      </c>
      <c r="AA159" s="21" t="str">
        <f>IFERROR(__xludf.DUMMYFUNCTION("""COMPUTED_VALUE"""),"Non-Veg")</f>
        <v>Non-Veg</v>
      </c>
      <c r="AB159" s="21" t="str">
        <f>IFERROR(__xludf.DUMMYFUNCTION("""COMPUTED_VALUE"""),"Non-Veg")</f>
        <v>Non-Veg</v>
      </c>
      <c r="AC159" s="21" t="str">
        <f>IFERROR(__xludf.DUMMYFUNCTION("""COMPUTED_VALUE"""),"Non-Veg")</f>
        <v>Non-Veg</v>
      </c>
      <c r="AD159" s="21" t="str">
        <f>IFERROR(__xludf.DUMMYFUNCTION("""COMPUTED_VALUE"""),"Bus Drop Service not needed")</f>
        <v>Bus Drop Service not needed</v>
      </c>
      <c r="AE159" s="21">
        <f>IFERROR(__xludf.DUMMYFUNCTION("""COMPUTED_VALUE"""),0.0)</f>
        <v>0</v>
      </c>
    </row>
    <row r="160" ht="22.5" customHeight="1">
      <c r="A160" s="18">
        <f>IFERROR(__xludf.DUMMYFUNCTION("""COMPUTED_VALUE"""),46258.87459798611)</f>
        <v>46258.8746</v>
      </c>
      <c r="B160" s="21" t="str">
        <f>IFERROR(__xludf.DUMMYFUNCTION("""COMPUTED_VALUE"""),"sandeep.mbbs-2020@aiimskalyani.edu.in")</f>
        <v>sandeep.mbbs-2020@aiimskalyani.edu.in</v>
      </c>
      <c r="C160" s="21" t="str">
        <f>IFERROR(__xludf.DUMMYFUNCTION("""COMPUTED_VALUE"""),"SANDEEP KUMAR")</f>
        <v>SANDEEP KUMAR</v>
      </c>
      <c r="D160" s="21">
        <f>IFERROR(__xludf.DUMMYFUNCTION("""COMPUTED_VALUE"""),2.02001132E8)</f>
        <v>202001132</v>
      </c>
      <c r="E160" s="21" t="str">
        <f>IFERROR(__xludf.DUMMYFUNCTION("""COMPUTED_VALUE"""),"MBBS 2020")</f>
        <v>MBBS 2020</v>
      </c>
      <c r="F160" s="21">
        <f>IFERROR(__xludf.DUMMYFUNCTION("""COMPUTED_VALUE"""),9.142602801E9)</f>
        <v>9142602801</v>
      </c>
      <c r="G160" s="21" t="str">
        <f>IFERROR(__xludf.DUMMYFUNCTION("""COMPUTED_VALUE"""),"sandeep.mbbs-2020@aiimskalyani.edu.in")</f>
        <v>sandeep.mbbs-2020@aiimskalyani.edu.in</v>
      </c>
      <c r="H160" s="21" t="str">
        <f>IFERROR(__xludf.DUMMYFUNCTION("""COMPUTED_VALUE"""),"Yes")</f>
        <v>Yes</v>
      </c>
      <c r="I160" s="21" t="str">
        <f>IFERROR(__xludf.DUMMYFUNCTION("""COMPUTED_VALUE"""),"Sports,Watching movies,Singing and many other.")</f>
        <v>Sports,Watching movies,Singing and many other.</v>
      </c>
      <c r="J160" s="21" t="str">
        <f>IFERROR(__xludf.DUMMYFUNCTION("""COMPUTED_VALUE"""),"Gully cricket")</f>
        <v>Gully cricket</v>
      </c>
      <c r="K160" s="21" t="str">
        <f>IFERROR(__xludf.DUMMYFUNCTION("""COMPUTED_VALUE"""),"Jehanabad")</f>
        <v>Jehanabad</v>
      </c>
      <c r="L160" s="22" t="str">
        <f>IFERROR(__xludf.DUMMYFUNCTION("""COMPUTED_VALUE"""),"https://drive.google.com/open?id=1kqkAzE1eOmrtdmrzRw8esKmszv6pTXiS")</f>
        <v>https://drive.google.com/open?id=1kqkAzE1eOmrtdmrzRw8esKmszv6pTXiS</v>
      </c>
      <c r="M160" s="22" t="str">
        <f>IFERROR(__xludf.DUMMYFUNCTION("""COMPUTED_VALUE"""),"https://drive.google.com/open?id=1Bt6RqjcZymSOtepnin9GtCneOooOhk1b")</f>
        <v>https://drive.google.com/open?id=1Bt6RqjcZymSOtepnin9GtCneOooOhk1b</v>
      </c>
      <c r="N160" s="21" t="str">
        <f>IFERROR(__xludf.DUMMYFUNCTION("""COMPUTED_VALUE"""),"Shree Upendra prasad")</f>
        <v>Shree Upendra prasad</v>
      </c>
      <c r="O160" s="21" t="str">
        <f>IFERROR(__xludf.DUMMYFUNCTION("""COMPUTED_VALUE"""),"Farmer")</f>
        <v>Farmer</v>
      </c>
      <c r="P160" s="21" t="str">
        <f>IFERROR(__xludf.DUMMYFUNCTION("""COMPUTED_VALUE"""),"Jehanabad")</f>
        <v>Jehanabad</v>
      </c>
      <c r="Q160" s="21">
        <f>IFERROR(__xludf.DUMMYFUNCTION("""COMPUTED_VALUE"""),8.427188157E9)</f>
        <v>8427188157</v>
      </c>
      <c r="R160" s="21" t="str">
        <f>IFERROR(__xludf.DUMMYFUNCTION("""COMPUTED_VALUE"""),"Shreemati Neelam Kumari")</f>
        <v>Shreemati Neelam Kumari</v>
      </c>
      <c r="S160" s="21" t="str">
        <f>IFERROR(__xludf.DUMMYFUNCTION("""COMPUTED_VALUE"""),"Auxiliary Nurse Midwife")</f>
        <v>Auxiliary Nurse Midwife</v>
      </c>
      <c r="T160" s="21" t="str">
        <f>IFERROR(__xludf.DUMMYFUNCTION("""COMPUTED_VALUE"""),"Jehanabad")</f>
        <v>Jehanabad</v>
      </c>
      <c r="U160" s="21">
        <f>IFERROR(__xludf.DUMMYFUNCTION("""COMPUTED_VALUE"""),9.572285253E9)</f>
        <v>9572285253</v>
      </c>
      <c r="V160" s="21">
        <f>IFERROR(__xludf.DUMMYFUNCTION("""COMPUTED_VALUE"""),2.0)</f>
        <v>2</v>
      </c>
      <c r="W160" s="21" t="str">
        <f>IFERROR(__xludf.DUMMYFUNCTION("""COMPUTED_VALUE"""),"Shree Upendra Prasad")</f>
        <v>Shree Upendra Prasad</v>
      </c>
      <c r="X160" s="21" t="str">
        <f>IFERROR(__xludf.DUMMYFUNCTION("""COMPUTED_VALUE"""),"Father")</f>
        <v>Father</v>
      </c>
      <c r="Y160" s="21" t="str">
        <f>IFERROR(__xludf.DUMMYFUNCTION("""COMPUTED_VALUE"""),"Shreemati Neelam kumari")</f>
        <v>Shreemati Neelam kumari</v>
      </c>
      <c r="Z160" s="21" t="str">
        <f>IFERROR(__xludf.DUMMYFUNCTION("""COMPUTED_VALUE"""),"Mother")</f>
        <v>Mother</v>
      </c>
      <c r="AA160" s="21" t="str">
        <f>IFERROR(__xludf.DUMMYFUNCTION("""COMPUTED_VALUE"""),"Non-Veg")</f>
        <v>Non-Veg</v>
      </c>
      <c r="AB160" s="21" t="str">
        <f>IFERROR(__xludf.DUMMYFUNCTION("""COMPUTED_VALUE"""),"Veg")</f>
        <v>Veg</v>
      </c>
      <c r="AC160" s="21" t="str">
        <f>IFERROR(__xludf.DUMMYFUNCTION("""COMPUTED_VALUE"""),"Veg")</f>
        <v>Veg</v>
      </c>
      <c r="AD160" s="21" t="str">
        <f>IFERROR(__xludf.DUMMYFUNCTION("""COMPUTED_VALUE"""),"Bus Drop Service not needed")</f>
        <v>Bus Drop Service not needed</v>
      </c>
      <c r="AE160" s="21"/>
    </row>
    <row r="161" ht="22.5" customHeight="1">
      <c r="A161" s="18">
        <f>IFERROR(__xludf.DUMMYFUNCTION("""COMPUTED_VALUE"""),46258.87418944444)</f>
        <v>46258.87419</v>
      </c>
      <c r="B161" s="21" t="str">
        <f>IFERROR(__xludf.DUMMYFUNCTION("""COMPUTED_VALUE"""),"anirudh.mbbs-2020@aiimskalyani.edu.in")</f>
        <v>anirudh.mbbs-2020@aiimskalyani.edu.in</v>
      </c>
      <c r="C161" s="21" t="str">
        <f>IFERROR(__xludf.DUMMYFUNCTION("""COMPUTED_VALUE"""),"ANIRUDH GUPTA")</f>
        <v>ANIRUDH GUPTA</v>
      </c>
      <c r="D161" s="21" t="str">
        <f>IFERROR(__xludf.DUMMYFUNCTION("""COMPUTED_VALUE"""),"17 / 20200167")</f>
        <v>17 / 20200167</v>
      </c>
      <c r="E161" s="21" t="str">
        <f>IFERROR(__xludf.DUMMYFUNCTION("""COMPUTED_VALUE"""),"MBBS 2020")</f>
        <v>MBBS 2020</v>
      </c>
      <c r="F161" s="21">
        <f>IFERROR(__xludf.DUMMYFUNCTION("""COMPUTED_VALUE"""),9.464906137E9)</f>
        <v>9464906137</v>
      </c>
      <c r="G161" s="21" t="str">
        <f>IFERROR(__xludf.DUMMYFUNCTION("""COMPUTED_VALUE"""),"anirudh.mbbs-2020@aiimskalyani.edu.in")</f>
        <v>anirudh.mbbs-2020@aiimskalyani.edu.in</v>
      </c>
      <c r="H161" s="21" t="str">
        <f>IFERROR(__xludf.DUMMYFUNCTION("""COMPUTED_VALUE"""),"Yes")</f>
        <v>Yes</v>
      </c>
      <c r="I161" s="21" t="str">
        <f>IFERROR(__xludf.DUMMYFUNCTION("""COMPUTED_VALUE"""),"I like travelling, aviation and watching sitcoms.  ")</f>
        <v>I like travelling, aviation and watching sitcoms.  </v>
      </c>
      <c r="J161" s="21" t="str">
        <f>IFERROR(__xludf.DUMMYFUNCTION("""COMPUTED_VALUE"""),"- Joint organising secretary of ""Elyssia"" 1.0
- Editor-in-chief of ""Samhita"" 2.0")</f>
        <v>- Joint organising secretary of "Elyssia" 1.0
- Editor-in-chief of "Samhita" 2.0</v>
      </c>
      <c r="K161" s="21" t="str">
        <f>IFERROR(__xludf.DUMMYFUNCTION("""COMPUTED_VALUE"""),"Chandigarh")</f>
        <v>Chandigarh</v>
      </c>
      <c r="L161" s="22" t="str">
        <f>IFERROR(__xludf.DUMMYFUNCTION("""COMPUTED_VALUE"""),"https://drive.google.com/open?id=1PSXf2zicyWI65fLmGUfogSav7KQ6IW7Y")</f>
        <v>https://drive.google.com/open?id=1PSXf2zicyWI65fLmGUfogSav7KQ6IW7Y</v>
      </c>
      <c r="M161" s="22" t="str">
        <f>IFERROR(__xludf.DUMMYFUNCTION("""COMPUTED_VALUE"""),"https://drive.google.com/open?id=1nSrmZabl9dLEuU_jVo6OP4hFGyxYvmcW")</f>
        <v>https://drive.google.com/open?id=1nSrmZabl9dLEuU_jVo6OP4hFGyxYvmcW</v>
      </c>
      <c r="N161" s="21" t="str">
        <f>IFERROR(__xludf.DUMMYFUNCTION("""COMPUTED_VALUE"""),"Dr. Vivek Gupta")</f>
        <v>Dr. Vivek Gupta</v>
      </c>
      <c r="O161" s="21" t="str">
        <f>IFERROR(__xludf.DUMMYFUNCTION("""COMPUTED_VALUE"""),"Additional Director
Interventional Neuroradiology
Fortis Hospital Mohali
Punjab")</f>
        <v>Additional Director
Interventional Neuroradiology
Fortis Hospital Mohali
Punjab</v>
      </c>
      <c r="P161" s="21" t="str">
        <f>IFERROR(__xludf.DUMMYFUNCTION("""COMPUTED_VALUE"""),"Chandigarh")</f>
        <v>Chandigarh</v>
      </c>
      <c r="Q161" s="21">
        <f>IFERROR(__xludf.DUMMYFUNCTION("""COMPUTED_VALUE"""),7.087009871E9)</f>
        <v>7087009871</v>
      </c>
      <c r="R161" s="21" t="str">
        <f>IFERROR(__xludf.DUMMYFUNCTION("""COMPUTED_VALUE"""),"Dr. Madhu Gupta")</f>
        <v>Dr. Madhu Gupta</v>
      </c>
      <c r="S161" s="21" t="str">
        <f>IFERROR(__xludf.DUMMYFUNCTION("""COMPUTED_VALUE"""),"Professor
Department of Community Medicine and School of Public Health 
PGIMER, Chandigarh")</f>
        <v>Professor
Department of Community Medicine and School of Public Health 
PGIMER, Chandigarh</v>
      </c>
      <c r="T161" s="21" t="str">
        <f>IFERROR(__xludf.DUMMYFUNCTION("""COMPUTED_VALUE"""),"Chandigarh")</f>
        <v>Chandigarh</v>
      </c>
      <c r="U161" s="21">
        <f>IFERROR(__xludf.DUMMYFUNCTION("""COMPUTED_VALUE"""),7.087008223E9)</f>
        <v>7087008223</v>
      </c>
      <c r="V161" s="21">
        <f>IFERROR(__xludf.DUMMYFUNCTION("""COMPUTED_VALUE"""),2.0)</f>
        <v>2</v>
      </c>
      <c r="W161" s="21" t="str">
        <f>IFERROR(__xludf.DUMMYFUNCTION("""COMPUTED_VALUE"""),"Dr. Vivek Gupta")</f>
        <v>Dr. Vivek Gupta</v>
      </c>
      <c r="X161" s="21" t="str">
        <f>IFERROR(__xludf.DUMMYFUNCTION("""COMPUTED_VALUE"""),"Father")</f>
        <v>Father</v>
      </c>
      <c r="Y161" s="21" t="str">
        <f>IFERROR(__xludf.DUMMYFUNCTION("""COMPUTED_VALUE"""),"Dr. Madhu Gupta")</f>
        <v>Dr. Madhu Gupta</v>
      </c>
      <c r="Z161" s="21" t="str">
        <f>IFERROR(__xludf.DUMMYFUNCTION("""COMPUTED_VALUE"""),"Mother")</f>
        <v>Mother</v>
      </c>
      <c r="AA161" s="21" t="str">
        <f>IFERROR(__xludf.DUMMYFUNCTION("""COMPUTED_VALUE"""),"Non-Veg")</f>
        <v>Non-Veg</v>
      </c>
      <c r="AB161" s="21" t="str">
        <f>IFERROR(__xludf.DUMMYFUNCTION("""COMPUTED_VALUE"""),"Veg")</f>
        <v>Veg</v>
      </c>
      <c r="AC161" s="21" t="str">
        <f>IFERROR(__xludf.DUMMYFUNCTION("""COMPUTED_VALUE"""),"Veg")</f>
        <v>Veg</v>
      </c>
      <c r="AD161" s="21" t="str">
        <f>IFERROR(__xludf.DUMMYFUNCTION("""COMPUTED_VALUE"""),"Drop at Kolkata Airport")</f>
        <v>Drop at Kolkata Airport</v>
      </c>
      <c r="AE161" s="21">
        <f>IFERROR(__xludf.DUMMYFUNCTION("""COMPUTED_VALUE"""),3.0)</f>
        <v>3</v>
      </c>
    </row>
    <row r="162" ht="22.5" customHeight="1">
      <c r="A162" s="18">
        <f>IFERROR(__xludf.DUMMYFUNCTION("""COMPUTED_VALUE"""),46258.80540452546)</f>
        <v>46258.8054</v>
      </c>
      <c r="B162" s="21" t="str">
        <f>IFERROR(__xludf.DUMMYFUNCTION("""COMPUTED_VALUE"""),"pritharoy426@gmail.com")</f>
        <v>pritharoy426@gmail.com</v>
      </c>
      <c r="C162" s="21" t="str">
        <f>IFERROR(__xludf.DUMMYFUNCTION("""COMPUTED_VALUE"""),"PRITHA ROY")</f>
        <v>PRITHA ROY</v>
      </c>
      <c r="D162" s="21">
        <f>IFERROR(__xludf.DUMMYFUNCTION("""COMPUTED_VALUE"""),2.0210238E7)</f>
        <v>20210238</v>
      </c>
      <c r="E162" s="21" t="str">
        <f>IFERROR(__xludf.DUMMYFUNCTION("""COMPUTED_VALUE"""),"B.Sc (Hons) Nursing 2021")</f>
        <v>B.Sc (Hons) Nursing 2021</v>
      </c>
      <c r="F162" s="21">
        <f>IFERROR(__xludf.DUMMYFUNCTION("""COMPUTED_VALUE"""),8.777026833E9)</f>
        <v>8777026833</v>
      </c>
      <c r="G162" s="21" t="str">
        <f>IFERROR(__xludf.DUMMYFUNCTION("""COMPUTED_VALUE"""),"pritha1405@gmail.com")</f>
        <v>pritha1405@gmail.com</v>
      </c>
      <c r="H162" s="21" t="str">
        <f>IFERROR(__xludf.DUMMYFUNCTION("""COMPUTED_VALUE"""),"Yes")</f>
        <v>Yes</v>
      </c>
      <c r="I162" s="21" t="str">
        <f>IFERROR(__xludf.DUMMYFUNCTION("""COMPUTED_VALUE"""),"Doodling,Crafting,Gardening,Digital Video Editing")</f>
        <v>Doodling,Crafting,Gardening,Digital Video Editing</v>
      </c>
      <c r="J162" s="21" t="str">
        <f>IFERROR(__xludf.DUMMYFUNCTION("""COMPUTED_VALUE"""),"Scouts and Guide Certified and Crafting Certificate and Organisation Certificate ")</f>
        <v>Scouts and Guide Certified and Crafting Certificate and Organisation Certificate </v>
      </c>
      <c r="K162" s="21" t="str">
        <f>IFERROR(__xludf.DUMMYFUNCTION("""COMPUTED_VALUE"""),"Kolkata")</f>
        <v>Kolkata</v>
      </c>
      <c r="L162" s="22" t="str">
        <f>IFERROR(__xludf.DUMMYFUNCTION("""COMPUTED_VALUE"""),"https://drive.google.com/open?id=1YRRwubDBrdrwOYwpaBVXTz6uwcv90LO-")</f>
        <v>https://drive.google.com/open?id=1YRRwubDBrdrwOYwpaBVXTz6uwcv90LO-</v>
      </c>
      <c r="M162" s="22" t="str">
        <f>IFERROR(__xludf.DUMMYFUNCTION("""COMPUTED_VALUE"""),"https://drive.google.com/open?id=1Tt51dZ7qtQV2avZFs44rQOLmeiBAiqLl")</f>
        <v>https://drive.google.com/open?id=1Tt51dZ7qtQV2avZFs44rQOLmeiBAiqLl</v>
      </c>
      <c r="N162" s="21" t="str">
        <f>IFERROR(__xludf.DUMMYFUNCTION("""COMPUTED_VALUE"""),"Mr. Dipak Kumar Roy")</f>
        <v>Mr. Dipak Kumar Roy</v>
      </c>
      <c r="O162" s="21" t="str">
        <f>IFERROR(__xludf.DUMMYFUNCTION("""COMPUTED_VALUE"""),"Retired Optometrist ")</f>
        <v>Retired Optometrist </v>
      </c>
      <c r="P162" s="21" t="str">
        <f>IFERROR(__xludf.DUMMYFUNCTION("""COMPUTED_VALUE"""),"Kolkata")</f>
        <v>Kolkata</v>
      </c>
      <c r="Q162" s="21">
        <f>IFERROR(__xludf.DUMMYFUNCTION("""COMPUTED_VALUE"""),9.830349736E9)</f>
        <v>9830349736</v>
      </c>
      <c r="R162" s="21" t="str">
        <f>IFERROR(__xludf.DUMMYFUNCTION("""COMPUTED_VALUE"""),"Mrs. Soma Roy")</f>
        <v>Mrs. Soma Roy</v>
      </c>
      <c r="S162" s="21" t="str">
        <f>IFERROR(__xludf.DUMMYFUNCTION("""COMPUTED_VALUE"""),"Staff Nurse")</f>
        <v>Staff Nurse</v>
      </c>
      <c r="T162" s="21" t="str">
        <f>IFERROR(__xludf.DUMMYFUNCTION("""COMPUTED_VALUE"""),"Kolkata ")</f>
        <v>Kolkata </v>
      </c>
      <c r="U162" s="21">
        <f>IFERROR(__xludf.DUMMYFUNCTION("""COMPUTED_VALUE"""),9.051166452E9)</f>
        <v>9051166452</v>
      </c>
      <c r="V162" s="21">
        <f>IFERROR(__xludf.DUMMYFUNCTION("""COMPUTED_VALUE"""),2.0)</f>
        <v>2</v>
      </c>
      <c r="W162" s="21" t="str">
        <f>IFERROR(__xludf.DUMMYFUNCTION("""COMPUTED_VALUE"""),"Mr. Dipak Kumar Roy")</f>
        <v>Mr. Dipak Kumar Roy</v>
      </c>
      <c r="X162" s="21" t="str">
        <f>IFERROR(__xludf.DUMMYFUNCTION("""COMPUTED_VALUE"""),"Father")</f>
        <v>Father</v>
      </c>
      <c r="Y162" s="21" t="str">
        <f>IFERROR(__xludf.DUMMYFUNCTION("""COMPUTED_VALUE"""),"Mrs. Soma Roy")</f>
        <v>Mrs. Soma Roy</v>
      </c>
      <c r="Z162" s="21" t="str">
        <f>IFERROR(__xludf.DUMMYFUNCTION("""COMPUTED_VALUE"""),"Mother")</f>
        <v>Mother</v>
      </c>
      <c r="AA162" s="21" t="str">
        <f>IFERROR(__xludf.DUMMYFUNCTION("""COMPUTED_VALUE"""),"Non-Veg")</f>
        <v>Non-Veg</v>
      </c>
      <c r="AB162" s="21" t="str">
        <f>IFERROR(__xludf.DUMMYFUNCTION("""COMPUTED_VALUE"""),"Non-Veg")</f>
        <v>Non-Veg</v>
      </c>
      <c r="AC162" s="21" t="str">
        <f>IFERROR(__xludf.DUMMYFUNCTION("""COMPUTED_VALUE"""),"Non-Veg")</f>
        <v>Non-Veg</v>
      </c>
      <c r="AD162" s="21" t="str">
        <f>IFERROR(__xludf.DUMMYFUNCTION("""COMPUTED_VALUE"""),"Bus Drop Service not needed")</f>
        <v>Bus Drop Service not needed</v>
      </c>
      <c r="AE162" s="21">
        <f>IFERROR(__xludf.DUMMYFUNCTION("""COMPUTED_VALUE"""),0.0)</f>
        <v>0</v>
      </c>
    </row>
    <row r="163" ht="22.5" customHeight="1">
      <c r="A163" s="18">
        <f>IFERROR(__xludf.DUMMYFUNCTION("""COMPUTED_VALUE"""),46258.80148621528)</f>
        <v>46258.80149</v>
      </c>
      <c r="B163" s="21" t="str">
        <f>IFERROR(__xludf.DUMMYFUNCTION("""COMPUTED_VALUE"""),"kaki.mbbs-2020@aiimskalyani.edu.in")</f>
        <v>kaki.mbbs-2020@aiimskalyani.edu.in</v>
      </c>
      <c r="C163" s="21" t="str">
        <f>IFERROR(__xludf.DUMMYFUNCTION("""COMPUTED_VALUE"""),"Kaki Jessica Pal ")</f>
        <v>Kaki Jessica Pal </v>
      </c>
      <c r="D163" s="21" t="str">
        <f>IFERROR(__xludf.DUMMYFUNCTION("""COMPUTED_VALUE"""),"55/ 202001105")</f>
        <v>55/ 202001105</v>
      </c>
      <c r="E163" s="21" t="str">
        <f>IFERROR(__xludf.DUMMYFUNCTION("""COMPUTED_VALUE"""),"MBBS 2020")</f>
        <v>MBBS 2020</v>
      </c>
      <c r="F163" s="21">
        <f>IFERROR(__xludf.DUMMYFUNCTION("""COMPUTED_VALUE"""),8.328165594E9)</f>
        <v>8328165594</v>
      </c>
      <c r="G163" s="21" t="str">
        <f>IFERROR(__xludf.DUMMYFUNCTION("""COMPUTED_VALUE"""),"kaki.mbbs-2020@aiimskalyani.edu.in")</f>
        <v>kaki.mbbs-2020@aiimskalyani.edu.in</v>
      </c>
      <c r="H163" s="21" t="str">
        <f>IFERROR(__xludf.DUMMYFUNCTION("""COMPUTED_VALUE"""),"Yes")</f>
        <v>Yes</v>
      </c>
      <c r="I163" s="21"/>
      <c r="J163" s="21"/>
      <c r="K163" s="21" t="str">
        <f>IFERROR(__xludf.DUMMYFUNCTION("""COMPUTED_VALUE"""),"Hyderabad, Telangana ")</f>
        <v>Hyderabad, Telangana </v>
      </c>
      <c r="L163" s="22" t="str">
        <f>IFERROR(__xludf.DUMMYFUNCTION("""COMPUTED_VALUE"""),"https://drive.google.com/open?id=1h4VpzyKvgyDNNcYVeW6ly6tOWqJOXtMs")</f>
        <v>https://drive.google.com/open?id=1h4VpzyKvgyDNNcYVeW6ly6tOWqJOXtMs</v>
      </c>
      <c r="M163" s="22" t="str">
        <f>IFERROR(__xludf.DUMMYFUNCTION("""COMPUTED_VALUE"""),"https://drive.google.com/open?id=1RcZNsQ-1elCc1ADBnjl4hCbodpnOgm9-")</f>
        <v>https://drive.google.com/open?id=1RcZNsQ-1elCc1ADBnjl4hCbodpnOgm9-</v>
      </c>
      <c r="N163" s="21" t="str">
        <f>IFERROR(__xludf.DUMMYFUNCTION("""COMPUTED_VALUE"""),"Kaki V Jayapal Babu")</f>
        <v>Kaki V Jayapal Babu</v>
      </c>
      <c r="O163" s="21" t="str">
        <f>IFERROR(__xludf.DUMMYFUNCTION("""COMPUTED_VALUE"""),"DGM, CSD department, ECIL, Hyderabad.")</f>
        <v>DGM, CSD department, ECIL, Hyderabad.</v>
      </c>
      <c r="P163" s="21" t="str">
        <f>IFERROR(__xludf.DUMMYFUNCTION("""COMPUTED_VALUE"""),"Hyderabad ")</f>
        <v>Hyderabad </v>
      </c>
      <c r="Q163" s="21">
        <f>IFERROR(__xludf.DUMMYFUNCTION("""COMPUTED_VALUE"""),9.441666885E9)</f>
        <v>9441666885</v>
      </c>
      <c r="R163" s="21" t="str">
        <f>IFERROR(__xludf.DUMMYFUNCTION("""COMPUTED_VALUE"""),"N Yesumanimma")</f>
        <v>N Yesumanimma</v>
      </c>
      <c r="S163" s="21" t="str">
        <f>IFERROR(__xludf.DUMMYFUNCTION("""COMPUTED_VALUE"""),"Senior Assistant, Smt. Durgabai Deshmukh Government Women's Technical Training Institute of technology and science, Hyderabad")</f>
        <v>Senior Assistant, Smt. Durgabai Deshmukh Government Women's Technical Training Institute of technology and science, Hyderabad</v>
      </c>
      <c r="T163" s="21" t="str">
        <f>IFERROR(__xludf.DUMMYFUNCTION("""COMPUTED_VALUE"""),"Hyderabad ")</f>
        <v>Hyderabad </v>
      </c>
      <c r="U163" s="21">
        <f>IFERROR(__xludf.DUMMYFUNCTION("""COMPUTED_VALUE"""),9.246348343E9)</f>
        <v>9246348343</v>
      </c>
      <c r="V163" s="21">
        <f>IFERROR(__xludf.DUMMYFUNCTION("""COMPUTED_VALUE"""),2.0)</f>
        <v>2</v>
      </c>
      <c r="W163" s="21" t="str">
        <f>IFERROR(__xludf.DUMMYFUNCTION("""COMPUTED_VALUE"""),"Kaki V Jayapal Babu")</f>
        <v>Kaki V Jayapal Babu</v>
      </c>
      <c r="X163" s="21" t="str">
        <f>IFERROR(__xludf.DUMMYFUNCTION("""COMPUTED_VALUE"""),"Father ")</f>
        <v>Father </v>
      </c>
      <c r="Y163" s="21" t="str">
        <f>IFERROR(__xludf.DUMMYFUNCTION("""COMPUTED_VALUE"""),"N Yesumanimma")</f>
        <v>N Yesumanimma</v>
      </c>
      <c r="Z163" s="21" t="str">
        <f>IFERROR(__xludf.DUMMYFUNCTION("""COMPUTED_VALUE"""),"Mother")</f>
        <v>Mother</v>
      </c>
      <c r="AA163" s="21" t="str">
        <f>IFERROR(__xludf.DUMMYFUNCTION("""COMPUTED_VALUE"""),"Non-Veg")</f>
        <v>Non-Veg</v>
      </c>
      <c r="AB163" s="21" t="str">
        <f>IFERROR(__xludf.DUMMYFUNCTION("""COMPUTED_VALUE"""),"Non-Veg")</f>
        <v>Non-Veg</v>
      </c>
      <c r="AC163" s="21" t="str">
        <f>IFERROR(__xludf.DUMMYFUNCTION("""COMPUTED_VALUE"""),"Non-Veg")</f>
        <v>Non-Veg</v>
      </c>
      <c r="AD163" s="21" t="str">
        <f>IFERROR(__xludf.DUMMYFUNCTION("""COMPUTED_VALUE"""),"Bus Drop Service not needed")</f>
        <v>Bus Drop Service not needed</v>
      </c>
      <c r="AE163" s="21"/>
    </row>
    <row r="164" ht="22.5" customHeight="1">
      <c r="A164" s="18">
        <f>IFERROR(__xludf.DUMMYFUNCTION("""COMPUTED_VALUE"""),46258.79589826389)</f>
        <v>46258.7959</v>
      </c>
      <c r="B164" s="21" t="str">
        <f>IFERROR(__xludf.DUMMYFUNCTION("""COMPUTED_VALUE"""),"sandeepp.mbbs-2020@aiimskalyani.edu.in")</f>
        <v>sandeepp.mbbs-2020@aiimskalyani.edu.in</v>
      </c>
      <c r="C164" s="21" t="str">
        <f>IFERROR(__xludf.DUMMYFUNCTION("""COMPUTED_VALUE"""),"SANDEEP KUMAR PATRO ")</f>
        <v>SANDEEP KUMAR PATRO </v>
      </c>
      <c r="D164" s="21">
        <f>IFERROR(__xludf.DUMMYFUNCTION("""COMPUTED_VALUE"""),2.02001133E8)</f>
        <v>202001133</v>
      </c>
      <c r="E164" s="21" t="str">
        <f>IFERROR(__xludf.DUMMYFUNCTION("""COMPUTED_VALUE"""),"MBBS 2020")</f>
        <v>MBBS 2020</v>
      </c>
      <c r="F164" s="21">
        <f>IFERROR(__xludf.DUMMYFUNCTION("""COMPUTED_VALUE"""),7.205409551E9)</f>
        <v>7205409551</v>
      </c>
      <c r="G164" s="21" t="str">
        <f>IFERROR(__xludf.DUMMYFUNCTION("""COMPUTED_VALUE"""),"sandeepp.mbbs-2020@aiimskalyani.edu.in")</f>
        <v>sandeepp.mbbs-2020@aiimskalyani.edu.in</v>
      </c>
      <c r="H164" s="21" t="str">
        <f>IFERROR(__xludf.DUMMYFUNCTION("""COMPUTED_VALUE"""),"Yes")</f>
        <v>Yes</v>
      </c>
      <c r="I164" s="21" t="str">
        <f>IFERROR(__xludf.DUMMYFUNCTION("""COMPUTED_VALUE"""),"Swimming ")</f>
        <v>Swimming </v>
      </c>
      <c r="J164" s="21" t="str">
        <f>IFERROR(__xludf.DUMMYFUNCTION("""COMPUTED_VALUE"""),"Nothing ")</f>
        <v>Nothing </v>
      </c>
      <c r="K164" s="21" t="str">
        <f>IFERROR(__xludf.DUMMYFUNCTION("""COMPUTED_VALUE"""),"Bhubaneswar ")</f>
        <v>Bhubaneswar </v>
      </c>
      <c r="L164" s="22" t="str">
        <f>IFERROR(__xludf.DUMMYFUNCTION("""COMPUTED_VALUE"""),"https://drive.google.com/open?id=1eN9KhEi0TCm-OcRLJmS5rKVoLJwRf1mI")</f>
        <v>https://drive.google.com/open?id=1eN9KhEi0TCm-OcRLJmS5rKVoLJwRf1mI</v>
      </c>
      <c r="M164" s="22" t="str">
        <f>IFERROR(__xludf.DUMMYFUNCTION("""COMPUTED_VALUE"""),"https://drive.google.com/open?id=1Ri09OkjQVrb-B_-sNHrLb7K3aF2Lqv5V")</f>
        <v>https://drive.google.com/open?id=1Ri09OkjQVrb-B_-sNHrLb7K3aF2Lqv5V</v>
      </c>
      <c r="N164" s="21" t="str">
        <f>IFERROR(__xludf.DUMMYFUNCTION("""COMPUTED_VALUE"""),"Rabindra Nath Patro")</f>
        <v>Rabindra Nath Patro</v>
      </c>
      <c r="O164" s="21" t="str">
        <f>IFERROR(__xludf.DUMMYFUNCTION("""COMPUTED_VALUE"""),"Pharmacist ")</f>
        <v>Pharmacist </v>
      </c>
      <c r="P164" s="21" t="str">
        <f>IFERROR(__xludf.DUMMYFUNCTION("""COMPUTED_VALUE"""),"Bhubaneswar ")</f>
        <v>Bhubaneswar </v>
      </c>
      <c r="Q164" s="21">
        <f>IFERROR(__xludf.DUMMYFUNCTION("""COMPUTED_VALUE"""),9.438602542E9)</f>
        <v>9438602542</v>
      </c>
      <c r="R164" s="21" t="str">
        <f>IFERROR(__xludf.DUMMYFUNCTION("""COMPUTED_VALUE"""),"Sarita Patro")</f>
        <v>Sarita Patro</v>
      </c>
      <c r="S164" s="21" t="str">
        <f>IFERROR(__xludf.DUMMYFUNCTION("""COMPUTED_VALUE"""),"Housewife ")</f>
        <v>Housewife </v>
      </c>
      <c r="T164" s="21" t="str">
        <f>IFERROR(__xludf.DUMMYFUNCTION("""COMPUTED_VALUE"""),"Bhubaneswar ")</f>
        <v>Bhubaneswar </v>
      </c>
      <c r="U164" s="21">
        <f>IFERROR(__xludf.DUMMYFUNCTION("""COMPUTED_VALUE"""),9.692630419E9)</f>
        <v>9692630419</v>
      </c>
      <c r="V164" s="21">
        <f>IFERROR(__xludf.DUMMYFUNCTION("""COMPUTED_VALUE"""),2.0)</f>
        <v>2</v>
      </c>
      <c r="W164" s="21" t="str">
        <f>IFERROR(__xludf.DUMMYFUNCTION("""COMPUTED_VALUE"""),"Rabindra Nath Patro ")</f>
        <v>Rabindra Nath Patro </v>
      </c>
      <c r="X164" s="21" t="str">
        <f>IFERROR(__xludf.DUMMYFUNCTION("""COMPUTED_VALUE"""),"Father")</f>
        <v>Father</v>
      </c>
      <c r="Y164" s="21" t="str">
        <f>IFERROR(__xludf.DUMMYFUNCTION("""COMPUTED_VALUE"""),"Sarita Patro ")</f>
        <v>Sarita Patro </v>
      </c>
      <c r="Z164" s="21" t="str">
        <f>IFERROR(__xludf.DUMMYFUNCTION("""COMPUTED_VALUE"""),"Mother ")</f>
        <v>Mother </v>
      </c>
      <c r="AA164" s="21" t="str">
        <f>IFERROR(__xludf.DUMMYFUNCTION("""COMPUTED_VALUE"""),"Non-Veg")</f>
        <v>Non-Veg</v>
      </c>
      <c r="AB164" s="21" t="str">
        <f>IFERROR(__xludf.DUMMYFUNCTION("""COMPUTED_VALUE"""),"Non-Veg")</f>
        <v>Non-Veg</v>
      </c>
      <c r="AC164" s="21" t="str">
        <f>IFERROR(__xludf.DUMMYFUNCTION("""COMPUTED_VALUE"""),"Non-Veg")</f>
        <v>Non-Veg</v>
      </c>
      <c r="AD164" s="21" t="str">
        <f>IFERROR(__xludf.DUMMYFUNCTION("""COMPUTED_VALUE"""),"Drop at Kalyani Railway Station")</f>
        <v>Drop at Kalyani Railway Station</v>
      </c>
      <c r="AE164" s="21">
        <f>IFERROR(__xludf.DUMMYFUNCTION("""COMPUTED_VALUE"""),3.0)</f>
        <v>3</v>
      </c>
    </row>
    <row r="165" ht="22.5" customHeight="1">
      <c r="A165" s="18">
        <f>IFERROR(__xludf.DUMMYFUNCTION("""COMPUTED_VALUE"""),46258.79251377315)</f>
        <v>46258.79251</v>
      </c>
      <c r="B165" s="21" t="str">
        <f>IFERROR(__xludf.DUMMYFUNCTION("""COMPUTED_VALUE"""),"tanishabiswas2412@gmail.com")</f>
        <v>tanishabiswas2412@gmail.com</v>
      </c>
      <c r="C165" s="21" t="str">
        <f>IFERROR(__xludf.DUMMYFUNCTION("""COMPUTED_VALUE"""),"TANISHA BISWAS")</f>
        <v>TANISHA BISWAS</v>
      </c>
      <c r="D165" s="21">
        <f>IFERROR(__xludf.DUMMYFUNCTION("""COMPUTED_VALUE"""),2.0210256E7)</f>
        <v>20210256</v>
      </c>
      <c r="E165" s="21" t="str">
        <f>IFERROR(__xludf.DUMMYFUNCTION("""COMPUTED_VALUE"""),"B.Sc (Hons) Nursing 2021")</f>
        <v>B.Sc (Hons) Nursing 2021</v>
      </c>
      <c r="F165" s="21">
        <f>IFERROR(__xludf.DUMMYFUNCTION("""COMPUTED_VALUE"""),9.735901944E9)</f>
        <v>9735901944</v>
      </c>
      <c r="G165" s="21" t="str">
        <f>IFERROR(__xludf.DUMMYFUNCTION("""COMPUTED_VALUE"""),"tanishabiswas2412@gmail.com")</f>
        <v>tanishabiswas2412@gmail.com</v>
      </c>
      <c r="H165" s="21" t="str">
        <f>IFERROR(__xludf.DUMMYFUNCTION("""COMPUTED_VALUE"""),"Yes")</f>
        <v>Yes</v>
      </c>
      <c r="I165" s="21" t="str">
        <f>IFERROR(__xludf.DUMMYFUNCTION("""COMPUTED_VALUE"""),"I enjoy working out and staying active, with a particular interest in strength training and fitness. I also like cooking and art.")</f>
        <v>I enjoy working out and staying active, with a particular interest in strength training and fitness. I also like cooking and art.</v>
      </c>
      <c r="J165" s="21" t="str">
        <f>IFERROR(__xludf.DUMMYFUNCTION("""COMPUTED_VALUE"""),"I do like to play badminton (won badminton doubles in the college annual sports )")</f>
        <v>I do like to play badminton (won badminton doubles in the college annual sports )</v>
      </c>
      <c r="K165" s="21" t="str">
        <f>IFERROR(__xludf.DUMMYFUNCTION("""COMPUTED_VALUE"""),"Krishnanagar, Nadia")</f>
        <v>Krishnanagar, Nadia</v>
      </c>
      <c r="L165" s="22" t="str">
        <f>IFERROR(__xludf.DUMMYFUNCTION("""COMPUTED_VALUE"""),"https://drive.google.com/open?id=1NCOOa_8VmPy1X5FhFx0U4oSo3SKqIgY8")</f>
        <v>https://drive.google.com/open?id=1NCOOa_8VmPy1X5FhFx0U4oSo3SKqIgY8</v>
      </c>
      <c r="M165" s="22" t="str">
        <f>IFERROR(__xludf.DUMMYFUNCTION("""COMPUTED_VALUE"""),"https://drive.google.com/open?id=17i92BzKwyN2k5VhycQ5DI3h-7HMpDCX2")</f>
        <v>https://drive.google.com/open?id=17i92BzKwyN2k5VhycQ5DI3h-7HMpDCX2</v>
      </c>
      <c r="N165" s="21" t="str">
        <f>IFERROR(__xludf.DUMMYFUNCTION("""COMPUTED_VALUE"""),"TAPAN KUMAR BISWAS")</f>
        <v>TAPAN KUMAR BISWAS</v>
      </c>
      <c r="O165" s="21" t="str">
        <f>IFERROR(__xludf.DUMMYFUNCTION("""COMPUTED_VALUE"""),"Govt. Services ( Income Tax Office Superintendent ) ")</f>
        <v>Govt. Services ( Income Tax Office Superintendent ) </v>
      </c>
      <c r="P165" s="21" t="str">
        <f>IFERROR(__xludf.DUMMYFUNCTION("""COMPUTED_VALUE"""),"Krishnanagar, Nadia")</f>
        <v>Krishnanagar, Nadia</v>
      </c>
      <c r="Q165" s="21">
        <f>IFERROR(__xludf.DUMMYFUNCTION("""COMPUTED_VALUE"""),9.477330097E9)</f>
        <v>9477330097</v>
      </c>
      <c r="R165" s="21" t="str">
        <f>IFERROR(__xludf.DUMMYFUNCTION("""COMPUTED_VALUE"""),"SUPRIYA BISWAS ")</f>
        <v>SUPRIYA BISWAS </v>
      </c>
      <c r="S165" s="21" t="str">
        <f>IFERROR(__xludf.DUMMYFUNCTION("""COMPUTED_VALUE"""),"Home maker")</f>
        <v>Home maker</v>
      </c>
      <c r="T165" s="21" t="str">
        <f>IFERROR(__xludf.DUMMYFUNCTION("""COMPUTED_VALUE"""),"Krishnanagar ")</f>
        <v>Krishnanagar </v>
      </c>
      <c r="U165" s="21">
        <f>IFERROR(__xludf.DUMMYFUNCTION("""COMPUTED_VALUE"""),9.77552981E9)</f>
        <v>9775529810</v>
      </c>
      <c r="V165" s="21">
        <f>IFERROR(__xludf.DUMMYFUNCTION("""COMPUTED_VALUE"""),2.0)</f>
        <v>2</v>
      </c>
      <c r="W165" s="21" t="str">
        <f>IFERROR(__xludf.DUMMYFUNCTION("""COMPUTED_VALUE"""),"SUPRIYA BISWAS ")</f>
        <v>SUPRIYA BISWAS </v>
      </c>
      <c r="X165" s="21" t="str">
        <f>IFERROR(__xludf.DUMMYFUNCTION("""COMPUTED_VALUE"""),"Mother")</f>
        <v>Mother</v>
      </c>
      <c r="Y165" s="21" t="str">
        <f>IFERROR(__xludf.DUMMYFUNCTION("""COMPUTED_VALUE"""),"TAPAN KUMAR BISWAS")</f>
        <v>TAPAN KUMAR BISWAS</v>
      </c>
      <c r="Z165" s="21" t="str">
        <f>IFERROR(__xludf.DUMMYFUNCTION("""COMPUTED_VALUE"""),"Father")</f>
        <v>Father</v>
      </c>
      <c r="AA165" s="21" t="str">
        <f>IFERROR(__xludf.DUMMYFUNCTION("""COMPUTED_VALUE"""),"Non-Veg")</f>
        <v>Non-Veg</v>
      </c>
      <c r="AB165" s="21" t="str">
        <f>IFERROR(__xludf.DUMMYFUNCTION("""COMPUTED_VALUE"""),"Non-Veg")</f>
        <v>Non-Veg</v>
      </c>
      <c r="AC165" s="21" t="str">
        <f>IFERROR(__xludf.DUMMYFUNCTION("""COMPUTED_VALUE"""),"Non-Veg")</f>
        <v>Non-Veg</v>
      </c>
      <c r="AD165" s="21" t="str">
        <f>IFERROR(__xludf.DUMMYFUNCTION("""COMPUTED_VALUE"""),"Bus Drop Service not needed")</f>
        <v>Bus Drop Service not needed</v>
      </c>
      <c r="AE165" s="21">
        <f>IFERROR(__xludf.DUMMYFUNCTION("""COMPUTED_VALUE"""),0.0)</f>
        <v>0</v>
      </c>
    </row>
    <row r="166" ht="22.5" customHeight="1">
      <c r="A166" s="18">
        <f>IFERROR(__xludf.DUMMYFUNCTION("""COMPUTED_VALUE"""),46258.79097945602)</f>
        <v>46258.79098</v>
      </c>
      <c r="B166" s="21" t="str">
        <f>IFERROR(__xludf.DUMMYFUNCTION("""COMPUTED_VALUE"""),"aman2.mbbs-2020@aiimskalyani.edu.in")</f>
        <v>aman2.mbbs-2020@aiimskalyani.edu.in</v>
      </c>
      <c r="C166" s="21" t="str">
        <f>IFERROR(__xludf.DUMMYFUNCTION("""COMPUTED_VALUE"""),"AMAN KUMAR")</f>
        <v>AMAN KUMAR</v>
      </c>
      <c r="D166" s="21">
        <f>IFERROR(__xludf.DUMMYFUNCTION("""COMPUTED_VALUE"""),2.0200161E7)</f>
        <v>20200161</v>
      </c>
      <c r="E166" s="21" t="str">
        <f>IFERROR(__xludf.DUMMYFUNCTION("""COMPUTED_VALUE"""),"MBBS 2020")</f>
        <v>MBBS 2020</v>
      </c>
      <c r="F166" s="21">
        <f>IFERROR(__xludf.DUMMYFUNCTION("""COMPUTED_VALUE"""),8.63735731E9)</f>
        <v>8637357310</v>
      </c>
      <c r="G166" s="21" t="str">
        <f>IFERROR(__xludf.DUMMYFUNCTION("""COMPUTED_VALUE"""),"aman2.mbbs-2020@aiimskalyani.edu.in")</f>
        <v>aman2.mbbs-2020@aiimskalyani.edu.in</v>
      </c>
      <c r="H166" s="21" t="str">
        <f>IFERROR(__xludf.DUMMYFUNCTION("""COMPUTED_VALUE"""),"Yes")</f>
        <v>Yes</v>
      </c>
      <c r="I166" s="21" t="str">
        <f>IFERROR(__xludf.DUMMYFUNCTION("""COMPUTED_VALUE"""),"Making connections with people, making memes, organising events.")</f>
        <v>Making connections with people, making memes, organising events.</v>
      </c>
      <c r="J166" s="21" t="str">
        <f>IFERROR(__xludf.DUMMYFUNCTION("""COMPUTED_VALUE"""),"Worked as Cultural Representative for 1 year.")</f>
        <v>Worked as Cultural Representative for 1 year.</v>
      </c>
      <c r="K166" s="21" t="str">
        <f>IFERROR(__xludf.DUMMYFUNCTION("""COMPUTED_VALUE"""),"Samastipur")</f>
        <v>Samastipur</v>
      </c>
      <c r="L166" s="22" t="str">
        <f>IFERROR(__xludf.DUMMYFUNCTION("""COMPUTED_VALUE"""),"https://drive.google.com/open?id=1suZL-X0BxCLmYfcwzUijOzMezxZEVbSW")</f>
        <v>https://drive.google.com/open?id=1suZL-X0BxCLmYfcwzUijOzMezxZEVbSW</v>
      </c>
      <c r="M166" s="22" t="str">
        <f>IFERROR(__xludf.DUMMYFUNCTION("""COMPUTED_VALUE"""),"https://drive.google.com/open?id=1ReqtzHanLhryyFBG63TCBQgMGflMz5Pd")</f>
        <v>https://drive.google.com/open?id=1ReqtzHanLhryyFBG63TCBQgMGflMz5Pd</v>
      </c>
      <c r="N166" s="21" t="str">
        <f>IFERROR(__xludf.DUMMYFUNCTION("""COMPUTED_VALUE"""),"Ajay Kumar Yadav")</f>
        <v>Ajay Kumar Yadav</v>
      </c>
      <c r="O166" s="21" t="str">
        <f>IFERROR(__xludf.DUMMYFUNCTION("""COMPUTED_VALUE"""),"Lawyer")</f>
        <v>Lawyer</v>
      </c>
      <c r="P166" s="21" t="str">
        <f>IFERROR(__xludf.DUMMYFUNCTION("""COMPUTED_VALUE"""),"Samastipur, Bihar")</f>
        <v>Samastipur, Bihar</v>
      </c>
      <c r="Q166" s="21">
        <f>IFERROR(__xludf.DUMMYFUNCTION("""COMPUTED_VALUE"""),9.852206837E9)</f>
        <v>9852206837</v>
      </c>
      <c r="R166" s="21" t="str">
        <f>IFERROR(__xludf.DUMMYFUNCTION("""COMPUTED_VALUE"""),"Poonam Devi")</f>
        <v>Poonam Devi</v>
      </c>
      <c r="S166" s="21" t="str">
        <f>IFERROR(__xludf.DUMMYFUNCTION("""COMPUTED_VALUE"""),"Homemaker")</f>
        <v>Homemaker</v>
      </c>
      <c r="T166" s="21" t="str">
        <f>IFERROR(__xludf.DUMMYFUNCTION("""COMPUTED_VALUE"""),"Samastipur,Bihar")</f>
        <v>Samastipur,Bihar</v>
      </c>
      <c r="U166" s="21">
        <f>IFERROR(__xludf.DUMMYFUNCTION("""COMPUTED_VALUE"""),9.431815713E9)</f>
        <v>9431815713</v>
      </c>
      <c r="V166" s="21">
        <f>IFERROR(__xludf.DUMMYFUNCTION("""COMPUTED_VALUE"""),2.0)</f>
        <v>2</v>
      </c>
      <c r="W166" s="21" t="str">
        <f>IFERROR(__xludf.DUMMYFUNCTION("""COMPUTED_VALUE"""),"Ajay Kumar Yadav")</f>
        <v>Ajay Kumar Yadav</v>
      </c>
      <c r="X166" s="21" t="str">
        <f>IFERROR(__xludf.DUMMYFUNCTION("""COMPUTED_VALUE"""),"Father")</f>
        <v>Father</v>
      </c>
      <c r="Y166" s="21" t="str">
        <f>IFERROR(__xludf.DUMMYFUNCTION("""COMPUTED_VALUE"""),"Poonam Devi")</f>
        <v>Poonam Devi</v>
      </c>
      <c r="Z166" s="21" t="str">
        <f>IFERROR(__xludf.DUMMYFUNCTION("""COMPUTED_VALUE"""),"Mother")</f>
        <v>Mother</v>
      </c>
      <c r="AA166" s="21" t="str">
        <f>IFERROR(__xludf.DUMMYFUNCTION("""COMPUTED_VALUE"""),"Non-Veg")</f>
        <v>Non-Veg</v>
      </c>
      <c r="AB166" s="21" t="str">
        <f>IFERROR(__xludf.DUMMYFUNCTION("""COMPUTED_VALUE"""),"Non-Veg")</f>
        <v>Non-Veg</v>
      </c>
      <c r="AC166" s="21" t="str">
        <f>IFERROR(__xludf.DUMMYFUNCTION("""COMPUTED_VALUE"""),"Non-Veg")</f>
        <v>Non-Veg</v>
      </c>
      <c r="AD166" s="21" t="str">
        <f>IFERROR(__xludf.DUMMYFUNCTION("""COMPUTED_VALUE"""),"Drop at Kalyani Railway Station")</f>
        <v>Drop at Kalyani Railway Station</v>
      </c>
      <c r="AE166" s="21">
        <f>IFERROR(__xludf.DUMMYFUNCTION("""COMPUTED_VALUE"""),3.0)</f>
        <v>3</v>
      </c>
    </row>
    <row r="167" ht="22.5" customHeight="1">
      <c r="A167" s="18">
        <f>IFERROR(__xludf.DUMMYFUNCTION("""COMPUTED_VALUE"""),46258.78965519676)</f>
        <v>46258.78966</v>
      </c>
      <c r="B167" s="21" t="str">
        <f>IFERROR(__xludf.DUMMYFUNCTION("""COMPUTED_VALUE"""),"shivani.mbbs-2020@aiimskalyani.edu.in")</f>
        <v>shivani.mbbs-2020@aiimskalyani.edu.in</v>
      </c>
      <c r="C167" s="21" t="str">
        <f>IFERROR(__xludf.DUMMYFUNCTION("""COMPUTED_VALUE"""),"SHIVANI KUMARI")</f>
        <v>SHIVANI KUMARI</v>
      </c>
      <c r="D167" s="21">
        <f>IFERROR(__xludf.DUMMYFUNCTION("""COMPUTED_VALUE"""),2.02001142E8)</f>
        <v>202001142</v>
      </c>
      <c r="E167" s="21" t="str">
        <f>IFERROR(__xludf.DUMMYFUNCTION("""COMPUTED_VALUE"""),"MBBS 2020")</f>
        <v>MBBS 2020</v>
      </c>
      <c r="F167" s="21">
        <f>IFERROR(__xludf.DUMMYFUNCTION("""COMPUTED_VALUE"""),9.199180555E9)</f>
        <v>9199180555</v>
      </c>
      <c r="G167" s="21" t="str">
        <f>IFERROR(__xludf.DUMMYFUNCTION("""COMPUTED_VALUE"""),"shivani.mbbs-2020@aiimskalyani.edu.in")</f>
        <v>shivani.mbbs-2020@aiimskalyani.edu.in</v>
      </c>
      <c r="H167" s="21" t="str">
        <f>IFERROR(__xludf.DUMMYFUNCTION("""COMPUTED_VALUE"""),"Yes")</f>
        <v>Yes</v>
      </c>
      <c r="I167" s="21" t="str">
        <f>IFERROR(__xludf.DUMMYFUNCTION("""COMPUTED_VALUE"""),"Listening to music ")</f>
        <v>Listening to music </v>
      </c>
      <c r="J167" s="21"/>
      <c r="K167" s="21" t="str">
        <f>IFERROR(__xludf.DUMMYFUNCTION("""COMPUTED_VALUE"""),"Patna")</f>
        <v>Patna</v>
      </c>
      <c r="L167" s="22" t="str">
        <f>IFERROR(__xludf.DUMMYFUNCTION("""COMPUTED_VALUE"""),"https://drive.google.com/open?id=1RfJBGbLf99R16v5n9J2VAwbNPAdqNGMh")</f>
        <v>https://drive.google.com/open?id=1RfJBGbLf99R16v5n9J2VAwbNPAdqNGMh</v>
      </c>
      <c r="M167" s="22" t="str">
        <f>IFERROR(__xludf.DUMMYFUNCTION("""COMPUTED_VALUE"""),"https://drive.google.com/open?id=1STTeHRjW4WNongEoGig9psCiKAfLb4Xu")</f>
        <v>https://drive.google.com/open?id=1STTeHRjW4WNongEoGig9psCiKAfLb4Xu</v>
      </c>
      <c r="N167" s="21" t="str">
        <f>IFERROR(__xludf.DUMMYFUNCTION("""COMPUTED_VALUE"""),"Santosh Kumar ")</f>
        <v>Santosh Kumar </v>
      </c>
      <c r="O167" s="21" t="str">
        <f>IFERROR(__xludf.DUMMYFUNCTION("""COMPUTED_VALUE"""),"Business man")</f>
        <v>Business man</v>
      </c>
      <c r="P167" s="21" t="str">
        <f>IFERROR(__xludf.DUMMYFUNCTION("""COMPUTED_VALUE"""),"Patna")</f>
        <v>Patna</v>
      </c>
      <c r="Q167" s="21">
        <f>IFERROR(__xludf.DUMMYFUNCTION("""COMPUTED_VALUE"""),9.93480208E9)</f>
        <v>9934802080</v>
      </c>
      <c r="R167" s="21" t="str">
        <f>IFERROR(__xludf.DUMMYFUNCTION("""COMPUTED_VALUE"""),"Ruby Kumari ")</f>
        <v>Ruby Kumari </v>
      </c>
      <c r="S167" s="21" t="str">
        <f>IFERROR(__xludf.DUMMYFUNCTION("""COMPUTED_VALUE"""),"Housemaker")</f>
        <v>Housemaker</v>
      </c>
      <c r="T167" s="21" t="str">
        <f>IFERROR(__xludf.DUMMYFUNCTION("""COMPUTED_VALUE"""),"Patna")</f>
        <v>Patna</v>
      </c>
      <c r="U167" s="21">
        <f>IFERROR(__xludf.DUMMYFUNCTION("""COMPUTED_VALUE"""),7.857869034E9)</f>
        <v>7857869034</v>
      </c>
      <c r="V167" s="21">
        <f>IFERROR(__xludf.DUMMYFUNCTION("""COMPUTED_VALUE"""),2.0)</f>
        <v>2</v>
      </c>
      <c r="W167" s="21" t="str">
        <f>IFERROR(__xludf.DUMMYFUNCTION("""COMPUTED_VALUE"""),"Santosh Kumar ")</f>
        <v>Santosh Kumar </v>
      </c>
      <c r="X167" s="21" t="str">
        <f>IFERROR(__xludf.DUMMYFUNCTION("""COMPUTED_VALUE"""),"Father")</f>
        <v>Father</v>
      </c>
      <c r="Y167" s="21" t="str">
        <f>IFERROR(__xludf.DUMMYFUNCTION("""COMPUTED_VALUE"""),"Ruby kumari")</f>
        <v>Ruby kumari</v>
      </c>
      <c r="Z167" s="21" t="str">
        <f>IFERROR(__xludf.DUMMYFUNCTION("""COMPUTED_VALUE"""),"Mother")</f>
        <v>Mother</v>
      </c>
      <c r="AA167" s="21" t="str">
        <f>IFERROR(__xludf.DUMMYFUNCTION("""COMPUTED_VALUE"""),"Veg")</f>
        <v>Veg</v>
      </c>
      <c r="AB167" s="21" t="str">
        <f>IFERROR(__xludf.DUMMYFUNCTION("""COMPUTED_VALUE"""),"Veg")</f>
        <v>Veg</v>
      </c>
      <c r="AC167" s="21" t="str">
        <f>IFERROR(__xludf.DUMMYFUNCTION("""COMPUTED_VALUE"""),"Veg")</f>
        <v>Veg</v>
      </c>
      <c r="AD167" s="21" t="str">
        <f>IFERROR(__xludf.DUMMYFUNCTION("""COMPUTED_VALUE"""),"Bus Drop Service not needed")</f>
        <v>Bus Drop Service not needed</v>
      </c>
      <c r="AE167" s="21">
        <f>IFERROR(__xludf.DUMMYFUNCTION("""COMPUTED_VALUE"""),0.0)</f>
        <v>0</v>
      </c>
    </row>
    <row r="168" ht="22.5" customHeight="1">
      <c r="A168" s="18">
        <f>IFERROR(__xludf.DUMMYFUNCTION("""COMPUTED_VALUE"""),46258.78752990741)</f>
        <v>46258.78753</v>
      </c>
      <c r="B168" s="21" t="str">
        <f>IFERROR(__xludf.DUMMYFUNCTION("""COMPUTED_VALUE"""),"tutul.9711@gmail.com")</f>
        <v>tutul.9711@gmail.com</v>
      </c>
      <c r="C168" s="21" t="str">
        <f>IFERROR(__xludf.DUMMYFUNCTION("""COMPUTED_VALUE"""),"ARUNDHATI MUKHERJEE")</f>
        <v>ARUNDHATI MUKHERJEE</v>
      </c>
      <c r="D168" s="21">
        <f>IFERROR(__xludf.DUMMYFUNCTION("""COMPUTED_VALUE"""),2023032.0)</f>
        <v>2023032</v>
      </c>
      <c r="E168" s="21" t="str">
        <f>IFERROR(__xludf.DUMMYFUNCTION("""COMPUTED_VALUE"""),"MD/MS/MDS 2023")</f>
        <v>MD/MS/MDS 2023</v>
      </c>
      <c r="F168" s="21">
        <f>IFERROR(__xludf.DUMMYFUNCTION("""COMPUTED_VALUE"""),9.051909471E9)</f>
        <v>9051909471</v>
      </c>
      <c r="G168" s="21" t="str">
        <f>IFERROR(__xludf.DUMMYFUNCTION("""COMPUTED_VALUE"""),"tutul.9711@gmail.com")</f>
        <v>tutul.9711@gmail.com</v>
      </c>
      <c r="H168" s="21" t="str">
        <f>IFERROR(__xludf.DUMMYFUNCTION("""COMPUTED_VALUE"""),"Yes")</f>
        <v>Yes</v>
      </c>
      <c r="I168" s="21" t="str">
        <f>IFERROR(__xludf.DUMMYFUNCTION("""COMPUTED_VALUE"""),"Drawing/Painting, Singing, Writing and Reading")</f>
        <v>Drawing/Painting, Singing, Writing and Reading</v>
      </c>
      <c r="J168" s="21" t="str">
        <f>IFERROR(__xludf.DUMMYFUNCTION("""COMPUTED_VALUE"""),"ACHIEVEMENTS -
·   PAPERS PRESENTED
o   Presented at Late Brig. Prof. G.S. Gopal Award for Best Post-Graduate Research Paper at SEOCON 2025.
o   Presented at the Resident Paper Award at NESCON 2025.
o   Presented at the Dr. Sandra Nisha D’Souza PG Awa"&amp;"rd paper and the Dr. Anoop Raj and Dr. S.L. Chopra E-poster competitions at the 76th AOICON 2025 held at Kochi, Kerala.
o   Presented at Major KK Ghosh PGT paper presentation and E-poster presentation competitions at 52nd AOIWB 2025 held at Haldia, West "&amp;"Bengal.
o   Presented at Major KK Ghosh PGT paper presentation at 51st AOIWB, 2024 held at Kolkata.
·    AWARDS AND ACCOLADES
o   Participated at the 18th Dr. SM Sen and Dr. Tarun Palit Temporal Bone Dissection Competition by AOIWB, in March 2026 held"&amp;" at Kolkata.
o   Winner of RHINOAESTHETICON 2025, Quiz held at AIIMS Kalyani in November, 2025.
o   Winner of Late Brig. Prof. G.S. Gopal Award for Best Post-Graduate Research Paper at SEOCON 2025, held at Pune, Maharashtra.
o   Winner of SEOCON 2025 E"&amp;"NT quiz, held at Pune, Maharashtra.
o   Winner of NESCON 2025 Quiz competition.
o   2nd runner up in Resident Paper Award at NESCON 2025.
o   Winner of the Prof SN Choudhury and Dr. P Chatterjee, 52nd AOIWB ENT quiz 2025 held at Haldia, West Bengal.
o"&amp;"   Participated at the Rhinology quiz and the Dr. Prem Kakkar ENT quiz held at the 76th AOICON 2025 held at Kochi, Kerala.
o   Participated at the 17th Dr. SM Sen and Dr. Tarun Palit Temporal Bone Dissection Competition by AOIWB, in April 2025 held at Ko"&amp;"lkata.
o   Participated at the Prof SN Choudhury and Dr. P Chatterjee, 51st AOIWBCON ENT quiz 2024 at Kolkata, West Bengal
.    COMPETITIVE EXAMS: Achieved AML Rank 11 in INI-SS July, 2026 exams. Currently pursuing MCh Plastic Surgery and Reconstructive"&amp;" Surgery at AIIMS Raipur.
·  ACADEMIC ACHIEVEMENTS AND AWARDS
o   Honors in MBBS in the subjects of Biochemistry, Pathology, Pharmacology, Forensic Medicine and Technology, Otorhinolaryngology, Ophthalmology, Community and Family Medicine, General Medic"&amp;"ine, General Surgery and Paediatric Medicine and Neonatology.
o   Obtained highest marks and gold medals in MBBS in the subjects of Forensic Medicine and Technology, Otorhinolaryngology, Ophthalmology, Community and Family Medicine, General Medicine, Gen"&amp;"eral Surgery and Paediatric Medicine and Neonatology.
o   University topper in Paediatric medicine and Neonatology in MBBS.
o  Scored 75% in post-graduate exit exam for MS Otorhinolaryngology from AIIMS Kalyani
")</f>
        <v>ACHIEVEMENTS -
·   PAPERS PRESENTED
o   Presented at Late Brig. Prof. G.S. Gopal Award for Best Post-Graduate Research Paper at SEOCON 2025.
o   Presented at the Resident Paper Award at NESCON 2025.
o   Presented at the Dr. Sandra Nisha D’Souza PG Award paper and the Dr. Anoop Raj and Dr. S.L. Chopra E-poster competitions at the 76th AOICON 2025 held at Kochi, Kerala.
o   Presented at Major KK Ghosh PGT paper presentation and E-poster presentation competitions at 52nd AOIWB 2025 held at Haldia, West Bengal.
o   Presented at Major KK Ghosh PGT paper presentation at 51st AOIWB, 2024 held at Kolkata.
·    AWARDS AND ACCOLADES
o   Participated at the 18th Dr. SM Sen and Dr. Tarun Palit Temporal Bone Dissection Competition by AOIWB, in March 2026 held at Kolkata.
o   Winner of RHINOAESTHETICON 2025, Quiz held at AIIMS Kalyani in November, 2025.
o   Winner of Late Brig. Prof. G.S. Gopal Award for Best Post-Graduate Research Paper at SEOCON 2025, held at Pune, Maharashtra.
o   Winner of SEOCON 2025 ENT quiz, held at Pune, Maharashtra.
o   Winner of NESCON 2025 Quiz competition.
o   2nd runner up in Resident Paper Award at NESCON 2025.
o   Winner of the Prof SN Choudhury and Dr. P Chatterjee, 52nd AOIWB ENT quiz 2025 held at Haldia, West Bengal.
o   Participated at the Rhinology quiz and the Dr. Prem Kakkar ENT quiz held at the 76th AOICON 2025 held at Kochi, Kerala.
o   Participated at the 17th Dr. SM Sen and Dr. Tarun Palit Temporal Bone Dissection Competition by AOIWB, in April 2025 held at Kolkata.
o   Participated at the Prof SN Choudhury and Dr. P Chatterjee, 51st AOIWBCON ENT quiz 2024 at Kolkata, West Bengal
.    COMPETITIVE EXAMS: Achieved AML Rank 11 in INI-SS July, 2026 exams. Currently pursuing MCh Plastic Surgery and Reconstructive Surgery at AIIMS Raipur.
·  ACADEMIC ACHIEVEMENTS AND AWARDS
o   Honors in MBBS in the subjects of Biochemistry, Pathology, Pharmacology, Forensic Medicine and Technology, Otorhinolaryngology, Ophthalmology, Community and Family Medicine, General Medicine, General Surgery and Paediatric Medicine and Neonatology.
o   Obtained highest marks and gold medals in MBBS in the subjects of Forensic Medicine and Technology, Otorhinolaryngology, Ophthalmology, Community and Family Medicine, General Medicine, General Surgery and Paediatric Medicine and Neonatology.
o   University topper in Paediatric medicine and Neonatology in MBBS.
o  Scored 75% in post-graduate exit exam for MS Otorhinolaryngology from AIIMS Kalyani
</v>
      </c>
      <c r="K168" s="21" t="str">
        <f>IFERROR(__xludf.DUMMYFUNCTION("""COMPUTED_VALUE"""),"Kolkata")</f>
        <v>Kolkata</v>
      </c>
      <c r="L168" s="22" t="str">
        <f>IFERROR(__xludf.DUMMYFUNCTION("""COMPUTED_VALUE"""),"https://drive.google.com/open?id=1_j5e_JX1--W1J-lrq1oLNLFeWOWMawCh")</f>
        <v>https://drive.google.com/open?id=1_j5e_JX1--W1J-lrq1oLNLFeWOWMawCh</v>
      </c>
      <c r="M168" s="22" t="str">
        <f>IFERROR(__xludf.DUMMYFUNCTION("""COMPUTED_VALUE"""),"https://drive.google.com/open?id=1uY7TeX8m5oAoS51y5th6r-EeTDoPFDvM")</f>
        <v>https://drive.google.com/open?id=1uY7TeX8m5oAoS51y5th6r-EeTDoPFDvM</v>
      </c>
      <c r="N168" s="21" t="str">
        <f>IFERROR(__xludf.DUMMYFUNCTION("""COMPUTED_VALUE"""),"SAUBHIK MUKHERJEE")</f>
        <v>SAUBHIK MUKHERJEE</v>
      </c>
      <c r="O168" s="21" t="str">
        <f>IFERROR(__xludf.DUMMYFUNCTION("""COMPUTED_VALUE"""),"RETIRED")</f>
        <v>RETIRED</v>
      </c>
      <c r="P168" s="21" t="str">
        <f>IFERROR(__xludf.DUMMYFUNCTION("""COMPUTED_VALUE"""),"KOLKATA, WEST BENGAL")</f>
        <v>KOLKATA, WEST BENGAL</v>
      </c>
      <c r="Q168" s="21">
        <f>IFERROR(__xludf.DUMMYFUNCTION("""COMPUTED_VALUE"""),9.830298198E9)</f>
        <v>9830298198</v>
      </c>
      <c r="R168" s="21" t="str">
        <f>IFERROR(__xludf.DUMMYFUNCTION("""COMPUTED_VALUE"""),"BAISHAKHI MUKHERJEE")</f>
        <v>BAISHAKHI MUKHERJEE</v>
      </c>
      <c r="S168" s="21" t="str">
        <f>IFERROR(__xludf.DUMMYFUNCTION("""COMPUTED_VALUE"""),"HOMEMAKER")</f>
        <v>HOMEMAKER</v>
      </c>
      <c r="T168" s="21" t="str">
        <f>IFERROR(__xludf.DUMMYFUNCTION("""COMPUTED_VALUE"""),"KOLKATA, WEST BENGAL")</f>
        <v>KOLKATA, WEST BENGAL</v>
      </c>
      <c r="U168" s="21">
        <f>IFERROR(__xludf.DUMMYFUNCTION("""COMPUTED_VALUE"""),9.830108655E9)</f>
        <v>9830108655</v>
      </c>
      <c r="V168" s="21">
        <f>IFERROR(__xludf.DUMMYFUNCTION("""COMPUTED_VALUE"""),2.0)</f>
        <v>2</v>
      </c>
      <c r="W168" s="21" t="str">
        <f>IFERROR(__xludf.DUMMYFUNCTION("""COMPUTED_VALUE"""),"SAUBHIK MUKHERJEE")</f>
        <v>SAUBHIK MUKHERJEE</v>
      </c>
      <c r="X168" s="21" t="str">
        <f>IFERROR(__xludf.DUMMYFUNCTION("""COMPUTED_VALUE"""),"FATHER")</f>
        <v>FATHER</v>
      </c>
      <c r="Y168" s="21" t="str">
        <f>IFERROR(__xludf.DUMMYFUNCTION("""COMPUTED_VALUE"""),"BAISHAKHI MUKHERJEE")</f>
        <v>BAISHAKHI MUKHERJEE</v>
      </c>
      <c r="Z168" s="21" t="str">
        <f>IFERROR(__xludf.DUMMYFUNCTION("""COMPUTED_VALUE"""),"MOTHER")</f>
        <v>MOTHER</v>
      </c>
      <c r="AA168" s="21" t="str">
        <f>IFERROR(__xludf.DUMMYFUNCTION("""COMPUTED_VALUE"""),"Non-Veg")</f>
        <v>Non-Veg</v>
      </c>
      <c r="AB168" s="21" t="str">
        <f>IFERROR(__xludf.DUMMYFUNCTION("""COMPUTED_VALUE"""),"Non-Veg")</f>
        <v>Non-Veg</v>
      </c>
      <c r="AC168" s="21" t="str">
        <f>IFERROR(__xludf.DUMMYFUNCTION("""COMPUTED_VALUE"""),"Non-Veg")</f>
        <v>Non-Veg</v>
      </c>
      <c r="AD168" s="21" t="str">
        <f>IFERROR(__xludf.DUMMYFUNCTION("""COMPUTED_VALUE"""),"Bus Drop Service not needed")</f>
        <v>Bus Drop Service not needed</v>
      </c>
      <c r="AE168" s="21">
        <f>IFERROR(__xludf.DUMMYFUNCTION("""COMPUTED_VALUE"""),0.0)</f>
        <v>0</v>
      </c>
    </row>
    <row r="169" ht="22.5" customHeight="1">
      <c r="A169" s="18">
        <f>IFERROR(__xludf.DUMMYFUNCTION("""COMPUTED_VALUE"""),46258.7576296412)</f>
        <v>46258.75763</v>
      </c>
      <c r="B169" s="21" t="str">
        <f>IFERROR(__xludf.DUMMYFUNCTION("""COMPUTED_VALUE"""),"aryalekshmi.micro_pgt23@aiimskalyani.edu.in")</f>
        <v>aryalekshmi.micro_pgt23@aiimskalyani.edu.in</v>
      </c>
      <c r="C169" s="21" t="str">
        <f>IFERROR(__xludf.DUMMYFUNCTION("""COMPUTED_VALUE"""),"Dr. ARYALEKSHMI.  P")</f>
        <v>Dr. ARYALEKSHMI.  P</v>
      </c>
      <c r="D169" s="21">
        <f>IFERROR(__xludf.DUMMYFUNCTION("""COMPUTED_VALUE"""),2.0230317E7)</f>
        <v>20230317</v>
      </c>
      <c r="E169" s="21" t="str">
        <f>IFERROR(__xludf.DUMMYFUNCTION("""COMPUTED_VALUE"""),"MD/MS/MDS 2023")</f>
        <v>MD/MS/MDS 2023</v>
      </c>
      <c r="F169" s="21">
        <f>IFERROR(__xludf.DUMMYFUNCTION("""COMPUTED_VALUE"""),8.547621028E9)</f>
        <v>8547621028</v>
      </c>
      <c r="G169" s="21" t="str">
        <f>IFERROR(__xludf.DUMMYFUNCTION("""COMPUTED_VALUE"""),"draryalekshmi.p2020@gmail.com")</f>
        <v>draryalekshmi.p2020@gmail.com</v>
      </c>
      <c r="H169" s="21" t="str">
        <f>IFERROR(__xludf.DUMMYFUNCTION("""COMPUTED_VALUE"""),"Yes")</f>
        <v>Yes</v>
      </c>
      <c r="I169" s="21"/>
      <c r="J169" s="21"/>
      <c r="K169" s="21" t="str">
        <f>IFERROR(__xludf.DUMMYFUNCTION("""COMPUTED_VALUE"""),"Thiruvananthapuram")</f>
        <v>Thiruvananthapuram</v>
      </c>
      <c r="L169" s="22" t="str">
        <f>IFERROR(__xludf.DUMMYFUNCTION("""COMPUTED_VALUE"""),"https://drive.google.com/open?id=1Ve3rgelDyUKPtFnAdnGfSgKUXegGOroA")</f>
        <v>https://drive.google.com/open?id=1Ve3rgelDyUKPtFnAdnGfSgKUXegGOroA</v>
      </c>
      <c r="M169" s="22" t="str">
        <f>IFERROR(__xludf.DUMMYFUNCTION("""COMPUTED_VALUE"""),"https://drive.google.com/open?id=1hs75SNotCZp_qyhtSsg4KkQ1TyUXiwzD")</f>
        <v>https://drive.google.com/open?id=1hs75SNotCZp_qyhtSsg4KkQ1TyUXiwzD</v>
      </c>
      <c r="N169" s="21" t="str">
        <f>IFERROR(__xludf.DUMMYFUNCTION("""COMPUTED_VALUE"""),"K.R. Praveen Kumar ")</f>
        <v>K.R. Praveen Kumar </v>
      </c>
      <c r="O169" s="21" t="str">
        <f>IFERROR(__xludf.DUMMYFUNCTION("""COMPUTED_VALUE""")," Business")</f>
        <v> Business</v>
      </c>
      <c r="P169" s="21" t="str">
        <f>IFERROR(__xludf.DUMMYFUNCTION("""COMPUTED_VALUE"""),"Thiruvananthapuram ")</f>
        <v>Thiruvananthapuram </v>
      </c>
      <c r="Q169" s="21">
        <f>IFERROR(__xludf.DUMMYFUNCTION("""COMPUTED_VALUE"""),8.078178289E9)</f>
        <v>8078178289</v>
      </c>
      <c r="R169" s="21" t="str">
        <f>IFERROR(__xludf.DUMMYFUNCTION("""COMPUTED_VALUE"""),"S. Padmakumari Amma")</f>
        <v>S. Padmakumari Amma</v>
      </c>
      <c r="S169" s="21" t="str">
        <f>IFERROR(__xludf.DUMMYFUNCTION("""COMPUTED_VALUE"""),"Business ")</f>
        <v>Business </v>
      </c>
      <c r="T169" s="21" t="str">
        <f>IFERROR(__xludf.DUMMYFUNCTION("""COMPUTED_VALUE"""),"Thiruvananthapuram ")</f>
        <v>Thiruvananthapuram </v>
      </c>
      <c r="U169" s="21">
        <f>IFERROR(__xludf.DUMMYFUNCTION("""COMPUTED_VALUE"""),9.497639529E9)</f>
        <v>9497639529</v>
      </c>
      <c r="V169" s="21">
        <f>IFERROR(__xludf.DUMMYFUNCTION("""COMPUTED_VALUE"""),2.0)</f>
        <v>2</v>
      </c>
      <c r="W169" s="21" t="str">
        <f>IFERROR(__xludf.DUMMYFUNCTION("""COMPUTED_VALUE"""),"Dr. Kannan. V. B ")</f>
        <v>Dr. Kannan. V. B </v>
      </c>
      <c r="X169" s="21" t="str">
        <f>IFERROR(__xludf.DUMMYFUNCTION("""COMPUTED_VALUE"""),"Husband ")</f>
        <v>Husband </v>
      </c>
      <c r="Y169" s="21" t="str">
        <f>IFERROR(__xludf.DUMMYFUNCTION("""COMPUTED_VALUE"""),"Arjun. V. B")</f>
        <v>Arjun. V. B</v>
      </c>
      <c r="Z169" s="21" t="str">
        <f>IFERROR(__xludf.DUMMYFUNCTION("""COMPUTED_VALUE"""),"Brother ")</f>
        <v>Brother </v>
      </c>
      <c r="AA169" s="21" t="str">
        <f>IFERROR(__xludf.DUMMYFUNCTION("""COMPUTED_VALUE"""),"Non-Veg")</f>
        <v>Non-Veg</v>
      </c>
      <c r="AB169" s="21" t="str">
        <f>IFERROR(__xludf.DUMMYFUNCTION("""COMPUTED_VALUE"""),"Non-Veg")</f>
        <v>Non-Veg</v>
      </c>
      <c r="AC169" s="21" t="str">
        <f>IFERROR(__xludf.DUMMYFUNCTION("""COMPUTED_VALUE"""),"Non-Veg")</f>
        <v>Non-Veg</v>
      </c>
      <c r="AD169" s="21" t="str">
        <f>IFERROR(__xludf.DUMMYFUNCTION("""COMPUTED_VALUE"""),"Bus Drop Service not needed")</f>
        <v>Bus Drop Service not needed</v>
      </c>
      <c r="AE169" s="21">
        <f>IFERROR(__xludf.DUMMYFUNCTION("""COMPUTED_VALUE"""),0.0)</f>
        <v>0</v>
      </c>
    </row>
    <row r="170" ht="22.5" customHeight="1">
      <c r="A170" s="18"/>
    </row>
    <row r="171" ht="22.5" customHeight="1">
      <c r="A171" s="18"/>
    </row>
    <row r="172" ht="22.5" customHeight="1">
      <c r="A172" s="18"/>
    </row>
    <row r="173" ht="22.5" customHeight="1">
      <c r="A173" s="18"/>
    </row>
    <row r="174" ht="22.5" customHeight="1">
      <c r="A174" s="18"/>
    </row>
    <row r="175" ht="22.5" customHeight="1">
      <c r="A175" s="18"/>
    </row>
    <row r="176" ht="22.5" customHeight="1">
      <c r="A176" s="18"/>
    </row>
    <row r="177" ht="22.5" customHeight="1">
      <c r="A177" s="18"/>
    </row>
    <row r="178" ht="22.5" customHeight="1">
      <c r="A178" s="18"/>
    </row>
    <row r="179" ht="22.5" customHeight="1">
      <c r="A179" s="18"/>
    </row>
    <row r="180" ht="22.5" customHeight="1">
      <c r="A180" s="18"/>
    </row>
    <row r="181" ht="22.5" customHeight="1">
      <c r="A181" s="18"/>
    </row>
    <row r="182" ht="22.5" customHeight="1">
      <c r="A182" s="18"/>
    </row>
    <row r="183" ht="22.5" customHeight="1">
      <c r="A183" s="18"/>
    </row>
    <row r="184" ht="22.5" customHeight="1">
      <c r="A184" s="18"/>
    </row>
    <row r="185" ht="22.5" customHeight="1">
      <c r="A185" s="18"/>
    </row>
    <row r="186" ht="22.5" customHeight="1">
      <c r="A186" s="18"/>
    </row>
    <row r="187" ht="22.5" customHeight="1">
      <c r="A187" s="18"/>
    </row>
    <row r="188" ht="22.5" customHeight="1">
      <c r="A188" s="18"/>
    </row>
    <row r="189" ht="22.5" customHeight="1">
      <c r="A189" s="18"/>
    </row>
    <row r="190" ht="22.5" customHeight="1">
      <c r="A190" s="18"/>
    </row>
    <row r="191" ht="22.5" customHeight="1">
      <c r="A191" s="18"/>
    </row>
    <row r="192" ht="22.5" customHeight="1">
      <c r="A192" s="18"/>
    </row>
    <row r="193" ht="22.5" customHeight="1">
      <c r="A193" s="18"/>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 r:id="rId75" ref="L39"/>
    <hyperlink r:id="rId76" ref="M39"/>
    <hyperlink r:id="rId77" ref="L40"/>
    <hyperlink r:id="rId78" ref="M40"/>
    <hyperlink r:id="rId79" ref="L41"/>
    <hyperlink r:id="rId80" ref="M41"/>
    <hyperlink r:id="rId81" ref="L42"/>
    <hyperlink r:id="rId82" ref="M42"/>
    <hyperlink r:id="rId83" ref="L43"/>
    <hyperlink r:id="rId84" ref="M43"/>
    <hyperlink r:id="rId85" ref="L44"/>
    <hyperlink r:id="rId86" ref="M44"/>
    <hyperlink r:id="rId87" ref="L45"/>
    <hyperlink r:id="rId88" ref="M45"/>
    <hyperlink r:id="rId89" ref="L46"/>
    <hyperlink r:id="rId90" ref="M46"/>
    <hyperlink r:id="rId91" ref="L47"/>
    <hyperlink r:id="rId92" ref="M47"/>
    <hyperlink r:id="rId93" ref="L48"/>
    <hyperlink r:id="rId94" ref="M48"/>
    <hyperlink r:id="rId95" ref="L49"/>
    <hyperlink r:id="rId96" ref="M49"/>
    <hyperlink r:id="rId97" ref="L50"/>
    <hyperlink r:id="rId98" ref="M50"/>
    <hyperlink r:id="rId99" ref="L51"/>
    <hyperlink r:id="rId100" ref="M51"/>
    <hyperlink r:id="rId101" ref="L52"/>
    <hyperlink r:id="rId102" ref="M52"/>
    <hyperlink r:id="rId103" ref="L53"/>
    <hyperlink r:id="rId104" ref="M53"/>
    <hyperlink r:id="rId105" ref="L54"/>
    <hyperlink r:id="rId106" ref="M54"/>
    <hyperlink r:id="rId107" ref="L55"/>
    <hyperlink r:id="rId108" ref="M55"/>
    <hyperlink r:id="rId109" ref="L56"/>
    <hyperlink r:id="rId110" ref="M56"/>
    <hyperlink r:id="rId111" ref="L57"/>
    <hyperlink r:id="rId112" ref="M57"/>
    <hyperlink r:id="rId113" ref="L58"/>
    <hyperlink r:id="rId114" ref="M58"/>
    <hyperlink r:id="rId115" ref="L59"/>
    <hyperlink r:id="rId116" ref="M59"/>
    <hyperlink r:id="rId117" ref="L60"/>
    <hyperlink r:id="rId118" ref="M60"/>
    <hyperlink r:id="rId119" ref="L61"/>
    <hyperlink r:id="rId120" ref="M61"/>
    <hyperlink r:id="rId121" ref="L62"/>
    <hyperlink r:id="rId122" ref="M62"/>
    <hyperlink r:id="rId123" ref="L63"/>
    <hyperlink r:id="rId124" ref="M63"/>
    <hyperlink r:id="rId125" ref="L64"/>
    <hyperlink r:id="rId126" ref="M64"/>
    <hyperlink r:id="rId127" ref="L65"/>
    <hyperlink r:id="rId128" ref="M65"/>
    <hyperlink r:id="rId129" ref="L66"/>
    <hyperlink r:id="rId130" ref="M66"/>
    <hyperlink r:id="rId131" ref="L67"/>
    <hyperlink r:id="rId132" ref="M67"/>
    <hyperlink r:id="rId133" ref="L68"/>
    <hyperlink r:id="rId134" ref="M68"/>
    <hyperlink r:id="rId135" ref="L69"/>
    <hyperlink r:id="rId136" ref="M69"/>
    <hyperlink r:id="rId137" ref="L70"/>
    <hyperlink r:id="rId138" ref="M70"/>
    <hyperlink r:id="rId139" ref="L71"/>
    <hyperlink r:id="rId140" ref="M71"/>
    <hyperlink r:id="rId141" ref="L72"/>
    <hyperlink r:id="rId142" ref="M72"/>
    <hyperlink r:id="rId143" ref="L73"/>
    <hyperlink r:id="rId144" ref="M73"/>
    <hyperlink r:id="rId145" ref="L74"/>
    <hyperlink r:id="rId146" ref="M74"/>
    <hyperlink r:id="rId147" ref="L75"/>
    <hyperlink r:id="rId148" ref="M75"/>
    <hyperlink r:id="rId149" ref="L76"/>
    <hyperlink r:id="rId150" ref="M76"/>
    <hyperlink r:id="rId151" ref="L77"/>
    <hyperlink r:id="rId152" ref="M77"/>
    <hyperlink r:id="rId153" ref="L78"/>
    <hyperlink r:id="rId154" ref="M78"/>
    <hyperlink r:id="rId155" ref="L79"/>
    <hyperlink r:id="rId156" ref="M79"/>
    <hyperlink r:id="rId157" ref="L80"/>
    <hyperlink r:id="rId158" ref="M80"/>
    <hyperlink r:id="rId159" ref="L81"/>
    <hyperlink r:id="rId160" ref="M81"/>
    <hyperlink r:id="rId161" ref="L82"/>
    <hyperlink r:id="rId162" ref="M82"/>
    <hyperlink r:id="rId163" ref="L83"/>
    <hyperlink r:id="rId164" ref="M83"/>
    <hyperlink r:id="rId165" ref="L84"/>
    <hyperlink r:id="rId166" ref="M84"/>
    <hyperlink r:id="rId167" ref="L85"/>
    <hyperlink r:id="rId168" ref="M85"/>
    <hyperlink r:id="rId169" ref="L86"/>
    <hyperlink r:id="rId170" ref="M86"/>
    <hyperlink r:id="rId171" ref="L87"/>
    <hyperlink r:id="rId172" ref="M87"/>
    <hyperlink r:id="rId173" ref="L88"/>
    <hyperlink r:id="rId174" ref="M88"/>
    <hyperlink r:id="rId175" ref="L89"/>
    <hyperlink r:id="rId176" ref="M89"/>
    <hyperlink r:id="rId177" ref="L90"/>
    <hyperlink r:id="rId178" ref="M90"/>
    <hyperlink r:id="rId179" ref="L91"/>
    <hyperlink r:id="rId180" ref="M91"/>
    <hyperlink r:id="rId181" ref="L92"/>
    <hyperlink r:id="rId182" ref="M92"/>
    <hyperlink r:id="rId183" ref="L93"/>
    <hyperlink r:id="rId184" ref="M93"/>
    <hyperlink r:id="rId185" ref="L94"/>
    <hyperlink r:id="rId186" ref="M94"/>
    <hyperlink r:id="rId187" ref="L95"/>
    <hyperlink r:id="rId188" ref="M95"/>
    <hyperlink r:id="rId189" ref="L96"/>
    <hyperlink r:id="rId190" ref="M96"/>
    <hyperlink r:id="rId191" ref="L97"/>
    <hyperlink r:id="rId192" ref="M97"/>
    <hyperlink r:id="rId193" ref="L98"/>
    <hyperlink r:id="rId194" ref="M98"/>
    <hyperlink r:id="rId195" ref="L99"/>
    <hyperlink r:id="rId196" ref="M99"/>
    <hyperlink r:id="rId197" ref="L100"/>
    <hyperlink r:id="rId198" ref="M100"/>
    <hyperlink r:id="rId199" ref="L101"/>
    <hyperlink r:id="rId200" ref="M101"/>
    <hyperlink r:id="rId201" ref="L102"/>
    <hyperlink r:id="rId202" ref="M102"/>
    <hyperlink r:id="rId203" ref="L103"/>
    <hyperlink r:id="rId204" ref="M103"/>
    <hyperlink r:id="rId205" ref="L104"/>
    <hyperlink r:id="rId206" ref="M104"/>
    <hyperlink r:id="rId207" ref="L105"/>
    <hyperlink r:id="rId208" ref="M105"/>
    <hyperlink r:id="rId209" ref="L106"/>
    <hyperlink r:id="rId210" ref="M106"/>
    <hyperlink r:id="rId211" ref="L107"/>
    <hyperlink r:id="rId212" ref="M107"/>
    <hyperlink r:id="rId213" ref="L108"/>
    <hyperlink r:id="rId214" ref="M108"/>
    <hyperlink r:id="rId215" ref="L109"/>
    <hyperlink r:id="rId216" ref="M109"/>
    <hyperlink r:id="rId217" ref="L110"/>
    <hyperlink r:id="rId218" ref="M110"/>
    <hyperlink r:id="rId219" ref="L111"/>
    <hyperlink r:id="rId220" ref="M111"/>
    <hyperlink r:id="rId221" ref="L112"/>
    <hyperlink r:id="rId222" ref="M112"/>
    <hyperlink r:id="rId223" ref="L113"/>
    <hyperlink r:id="rId224" ref="M113"/>
    <hyperlink r:id="rId225" ref="L114"/>
    <hyperlink r:id="rId226" ref="M114"/>
    <hyperlink r:id="rId227" ref="L115"/>
    <hyperlink r:id="rId228" ref="M115"/>
    <hyperlink r:id="rId229" ref="L116"/>
    <hyperlink r:id="rId230" ref="M116"/>
    <hyperlink r:id="rId231" ref="L117"/>
    <hyperlink r:id="rId232" ref="M117"/>
    <hyperlink r:id="rId233" ref="L118"/>
    <hyperlink r:id="rId234" ref="M118"/>
    <hyperlink r:id="rId235" ref="L119"/>
    <hyperlink r:id="rId236" ref="M119"/>
    <hyperlink r:id="rId237" ref="L120"/>
    <hyperlink r:id="rId238" ref="M120"/>
    <hyperlink r:id="rId239" ref="L121"/>
    <hyperlink r:id="rId240" ref="M121"/>
    <hyperlink r:id="rId241" ref="L122"/>
    <hyperlink r:id="rId242" ref="M122"/>
    <hyperlink r:id="rId243" ref="L123"/>
    <hyperlink r:id="rId244" ref="M123"/>
    <hyperlink r:id="rId245" ref="L124"/>
    <hyperlink r:id="rId246" ref="M124"/>
    <hyperlink r:id="rId247" ref="L125"/>
    <hyperlink r:id="rId248" ref="M125"/>
    <hyperlink r:id="rId249" ref="L126"/>
    <hyperlink r:id="rId250" ref="M126"/>
    <hyperlink r:id="rId251" ref="L127"/>
    <hyperlink r:id="rId252" ref="M127"/>
    <hyperlink r:id="rId253" ref="L128"/>
    <hyperlink r:id="rId254" ref="M128"/>
    <hyperlink r:id="rId255" ref="L129"/>
    <hyperlink r:id="rId256" ref="M129"/>
    <hyperlink r:id="rId257" ref="L130"/>
    <hyperlink r:id="rId258" ref="M130"/>
    <hyperlink r:id="rId259" ref="L131"/>
    <hyperlink r:id="rId260" ref="M131"/>
    <hyperlink r:id="rId261" ref="L132"/>
    <hyperlink r:id="rId262" ref="M132"/>
    <hyperlink r:id="rId263" ref="L133"/>
    <hyperlink r:id="rId264" ref="M133"/>
    <hyperlink r:id="rId265" ref="L134"/>
    <hyperlink r:id="rId266" ref="M134"/>
    <hyperlink r:id="rId267" ref="L135"/>
    <hyperlink r:id="rId268" ref="M135"/>
    <hyperlink r:id="rId269" ref="L136"/>
    <hyperlink r:id="rId270" ref="M136"/>
    <hyperlink r:id="rId271" ref="L137"/>
    <hyperlink r:id="rId272" ref="M137"/>
    <hyperlink r:id="rId273" ref="L138"/>
    <hyperlink r:id="rId274" ref="M138"/>
    <hyperlink r:id="rId275" ref="L139"/>
    <hyperlink r:id="rId276" ref="M139"/>
    <hyperlink r:id="rId277" ref="L140"/>
    <hyperlink r:id="rId278" ref="M140"/>
    <hyperlink r:id="rId279" ref="L141"/>
    <hyperlink r:id="rId280" ref="M141"/>
    <hyperlink r:id="rId281" ref="L142"/>
    <hyperlink r:id="rId282" ref="M142"/>
    <hyperlink r:id="rId283" ref="L143"/>
    <hyperlink r:id="rId284" ref="M143"/>
    <hyperlink r:id="rId285" ref="L144"/>
    <hyperlink r:id="rId286" ref="M144"/>
    <hyperlink r:id="rId287" ref="L145"/>
    <hyperlink r:id="rId288" ref="M145"/>
    <hyperlink r:id="rId289" ref="L146"/>
    <hyperlink r:id="rId290" ref="M146"/>
    <hyperlink r:id="rId291" ref="L147"/>
    <hyperlink r:id="rId292" ref="M147"/>
    <hyperlink r:id="rId293" ref="L148"/>
    <hyperlink r:id="rId294" ref="M148"/>
    <hyperlink r:id="rId295" ref="L149"/>
    <hyperlink r:id="rId296" ref="M149"/>
    <hyperlink r:id="rId297" ref="L150"/>
    <hyperlink r:id="rId298" ref="M150"/>
    <hyperlink r:id="rId299" ref="L151"/>
    <hyperlink r:id="rId300" ref="M151"/>
    <hyperlink r:id="rId301" ref="L152"/>
    <hyperlink r:id="rId302" ref="M152"/>
    <hyperlink r:id="rId303" ref="L153"/>
    <hyperlink r:id="rId304" ref="M153"/>
    <hyperlink r:id="rId305" ref="L154"/>
    <hyperlink r:id="rId306" ref="M154"/>
    <hyperlink r:id="rId307" ref="L155"/>
    <hyperlink r:id="rId308" ref="M155"/>
    <hyperlink r:id="rId309" ref="L156"/>
    <hyperlink r:id="rId310" ref="M156"/>
    <hyperlink r:id="rId311" ref="L157"/>
    <hyperlink r:id="rId312" ref="M157"/>
    <hyperlink r:id="rId313" ref="L158"/>
    <hyperlink r:id="rId314" ref="M158"/>
    <hyperlink r:id="rId315" ref="L159"/>
    <hyperlink r:id="rId316" ref="M159"/>
    <hyperlink r:id="rId317" ref="L160"/>
    <hyperlink r:id="rId318" ref="M160"/>
    <hyperlink r:id="rId319" ref="L161"/>
    <hyperlink r:id="rId320" ref="M161"/>
    <hyperlink r:id="rId321" ref="L162"/>
    <hyperlink r:id="rId322" ref="M162"/>
    <hyperlink r:id="rId323" ref="L163"/>
    <hyperlink r:id="rId324" ref="M163"/>
    <hyperlink r:id="rId325" ref="L164"/>
    <hyperlink r:id="rId326" ref="M164"/>
    <hyperlink r:id="rId327" ref="L165"/>
    <hyperlink r:id="rId328" ref="M165"/>
    <hyperlink r:id="rId329" ref="L166"/>
    <hyperlink r:id="rId330" ref="M166"/>
    <hyperlink r:id="rId331" ref="L167"/>
    <hyperlink r:id="rId332" ref="M167"/>
    <hyperlink r:id="rId333" ref="L168"/>
    <hyperlink r:id="rId334" ref="M168"/>
    <hyperlink r:id="rId335" ref="L169"/>
    <hyperlink r:id="rId336" ref="M169"/>
  </hyperlinks>
  <drawing r:id="rId337"/>
  <tableParts count="1">
    <tablePart r:id="rId3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3" width="28.75"/>
  </cols>
  <sheetData>
    <row r="1">
      <c r="A1" s="1"/>
      <c r="B1" s="2" t="s">
        <v>0</v>
      </c>
      <c r="C1" s="2" t="s">
        <v>1</v>
      </c>
    </row>
    <row r="2">
      <c r="A2" s="3" t="s">
        <v>2</v>
      </c>
      <c r="B2" s="4">
        <v>2.0</v>
      </c>
      <c r="C2" s="5">
        <f>COUNTifs(Responses!E$2:E1000,A2)</f>
        <v>1</v>
      </c>
    </row>
    <row r="3">
      <c r="A3" s="3" t="s">
        <v>3</v>
      </c>
      <c r="B3" s="4">
        <v>117.0</v>
      </c>
      <c r="C3" s="5">
        <f>COUNTifs(Responses!E$2:E1000,A3)</f>
        <v>107</v>
      </c>
    </row>
    <row r="4">
      <c r="A4" s="3" t="s">
        <v>4</v>
      </c>
      <c r="B4" s="4">
        <v>19.0</v>
      </c>
      <c r="C4" s="5">
        <f>COUNTifs(Responses!E$2:E1000,A4)</f>
        <v>15</v>
      </c>
    </row>
    <row r="5">
      <c r="A5" s="3" t="s">
        <v>5</v>
      </c>
      <c r="B5" s="4">
        <v>56.0</v>
      </c>
      <c r="C5" s="5">
        <f>COUNTifs(Responses!E$2:E1000,A5)</f>
        <v>37</v>
      </c>
    </row>
    <row r="6">
      <c r="A6" s="3" t="s">
        <v>6</v>
      </c>
      <c r="B6" s="4">
        <v>4.0</v>
      </c>
      <c r="C6" s="5">
        <f>COUNTifs(Responses!E$2:E1000,A6)</f>
        <v>2</v>
      </c>
    </row>
    <row r="7">
      <c r="A7" s="3" t="s">
        <v>7</v>
      </c>
      <c r="B7" s="4">
        <v>6.0</v>
      </c>
      <c r="C7" s="5">
        <f>COUNTifs(Responses!E$2:E1000,A7)</f>
        <v>6</v>
      </c>
    </row>
    <row r="8">
      <c r="A8" s="6"/>
      <c r="B8" s="7">
        <f t="shared" ref="B8:C8" si="1">sum(B2:B7)</f>
        <v>204</v>
      </c>
      <c r="C8" s="7">
        <f t="shared" si="1"/>
        <v>168</v>
      </c>
    </row>
    <row r="9">
      <c r="B9" s="8"/>
      <c r="C9" s="8"/>
    </row>
    <row r="10">
      <c r="A10" s="9" t="s">
        <v>8</v>
      </c>
      <c r="B10" s="10" t="s">
        <v>9</v>
      </c>
      <c r="C10" s="8"/>
    </row>
    <row r="11">
      <c r="A11" s="11" t="s">
        <v>10</v>
      </c>
      <c r="B11" s="4">
        <f>sumifs(Responses!AE:AE,Responses!AD:AD,A11)</f>
        <v>65</v>
      </c>
      <c r="C11" s="8"/>
    </row>
    <row r="12">
      <c r="A12" s="11" t="s">
        <v>11</v>
      </c>
      <c r="B12" s="4">
        <f>sumifs(Responses!AE:AE,Responses!AD:AD,A12)</f>
        <v>40</v>
      </c>
      <c r="C12" s="8"/>
    </row>
    <row r="13">
      <c r="A13" s="6"/>
      <c r="B13" s="7">
        <f>sum(B11:B12)</f>
        <v>105</v>
      </c>
      <c r="C13" s="8"/>
    </row>
    <row r="14">
      <c r="B14" s="8"/>
      <c r="C14" s="8"/>
    </row>
    <row r="15">
      <c r="B15" s="8"/>
      <c r="C15" s="8"/>
    </row>
    <row r="16">
      <c r="B16" s="8"/>
      <c r="C16" s="8"/>
    </row>
    <row r="17">
      <c r="B17" s="8"/>
      <c r="C17" s="8"/>
    </row>
    <row r="18">
      <c r="B18" s="8"/>
      <c r="C18" s="8"/>
    </row>
    <row r="19">
      <c r="B19" s="8"/>
      <c r="C19" s="8"/>
    </row>
    <row r="20">
      <c r="B20" s="8"/>
      <c r="C20" s="8"/>
    </row>
    <row r="21">
      <c r="B21" s="8"/>
      <c r="C21" s="8"/>
    </row>
    <row r="22">
      <c r="B22" s="8"/>
      <c r="C22" s="8"/>
    </row>
    <row r="23">
      <c r="B23" s="8"/>
      <c r="C23" s="8"/>
    </row>
    <row r="24">
      <c r="B24" s="8"/>
      <c r="C24" s="8"/>
    </row>
    <row r="25">
      <c r="B25" s="8"/>
      <c r="C25" s="8"/>
    </row>
    <row r="26">
      <c r="B26" s="8"/>
      <c r="C26" s="8"/>
    </row>
    <row r="27">
      <c r="B27" s="8"/>
      <c r="C27" s="8"/>
    </row>
    <row r="28">
      <c r="B28" s="8"/>
      <c r="C28" s="8"/>
    </row>
    <row r="29">
      <c r="B29" s="8"/>
      <c r="C29" s="8"/>
    </row>
    <row r="30">
      <c r="B30" s="8"/>
      <c r="C30" s="8"/>
    </row>
    <row r="31">
      <c r="B31" s="8"/>
      <c r="C31" s="8"/>
    </row>
    <row r="32">
      <c r="B32" s="8"/>
      <c r="C32" s="8"/>
    </row>
    <row r="33">
      <c r="B33" s="8"/>
      <c r="C33" s="8"/>
    </row>
    <row r="34">
      <c r="B34" s="8"/>
      <c r="C34" s="8"/>
    </row>
    <row r="35">
      <c r="B35" s="8"/>
      <c r="C35" s="8"/>
    </row>
    <row r="36">
      <c r="B36" s="8"/>
      <c r="C36" s="8"/>
    </row>
    <row r="37">
      <c r="B37" s="8"/>
      <c r="C37" s="8"/>
    </row>
    <row r="38">
      <c r="B38" s="8"/>
      <c r="C38" s="8"/>
    </row>
    <row r="39">
      <c r="B39" s="8"/>
      <c r="C39" s="8"/>
    </row>
    <row r="40">
      <c r="B40" s="8"/>
      <c r="C40" s="8"/>
    </row>
    <row r="41">
      <c r="B41" s="8"/>
      <c r="C41" s="8"/>
    </row>
    <row r="42">
      <c r="B42" s="8"/>
      <c r="C42" s="8"/>
    </row>
    <row r="43">
      <c r="B43" s="8"/>
      <c r="C43" s="8"/>
    </row>
    <row r="44">
      <c r="B44" s="8"/>
      <c r="C44" s="8"/>
    </row>
    <row r="45">
      <c r="B45" s="8"/>
      <c r="C45" s="8"/>
    </row>
    <row r="46">
      <c r="B46" s="8"/>
      <c r="C46" s="8"/>
    </row>
    <row r="47">
      <c r="B47" s="8"/>
      <c r="C47" s="8"/>
    </row>
    <row r="48">
      <c r="B48" s="8"/>
      <c r="C48" s="8"/>
    </row>
    <row r="49">
      <c r="B49" s="8"/>
      <c r="C49" s="8"/>
    </row>
    <row r="50">
      <c r="B50" s="8"/>
      <c r="C50" s="8"/>
    </row>
    <row r="51">
      <c r="B51" s="8"/>
      <c r="C51" s="8"/>
    </row>
    <row r="52">
      <c r="B52" s="8"/>
      <c r="C52" s="8"/>
    </row>
    <row r="53">
      <c r="B53" s="8"/>
      <c r="C53" s="8"/>
    </row>
    <row r="54">
      <c r="B54" s="8"/>
      <c r="C54" s="8"/>
    </row>
    <row r="55">
      <c r="B55" s="8"/>
      <c r="C55" s="8"/>
    </row>
    <row r="56">
      <c r="B56" s="8"/>
      <c r="C56" s="8"/>
    </row>
    <row r="57">
      <c r="B57" s="8"/>
      <c r="C57" s="8"/>
    </row>
    <row r="58">
      <c r="B58" s="8"/>
      <c r="C58" s="8"/>
    </row>
    <row r="59">
      <c r="B59" s="8"/>
      <c r="C59" s="8"/>
    </row>
    <row r="60">
      <c r="B60" s="8"/>
      <c r="C60" s="8"/>
    </row>
    <row r="61">
      <c r="B61" s="8"/>
      <c r="C61" s="8"/>
    </row>
    <row r="62">
      <c r="B62" s="8"/>
      <c r="C62" s="8"/>
    </row>
    <row r="63">
      <c r="B63" s="8"/>
      <c r="C63" s="8"/>
    </row>
    <row r="64">
      <c r="B64" s="8"/>
      <c r="C64" s="8"/>
    </row>
    <row r="65">
      <c r="B65" s="8"/>
      <c r="C65" s="8"/>
    </row>
    <row r="66">
      <c r="B66" s="8"/>
      <c r="C66" s="8"/>
    </row>
    <row r="67">
      <c r="B67" s="8"/>
      <c r="C67" s="8"/>
    </row>
    <row r="68">
      <c r="B68" s="8"/>
      <c r="C68" s="8"/>
    </row>
    <row r="69">
      <c r="B69" s="8"/>
      <c r="C69" s="8"/>
    </row>
    <row r="70">
      <c r="B70" s="8"/>
      <c r="C70" s="8"/>
    </row>
    <row r="71">
      <c r="B71" s="8"/>
      <c r="C71" s="8"/>
    </row>
    <row r="72">
      <c r="B72" s="8"/>
      <c r="C72" s="8"/>
    </row>
    <row r="73">
      <c r="B73" s="8"/>
      <c r="C73" s="8"/>
    </row>
    <row r="74">
      <c r="B74" s="8"/>
      <c r="C74" s="8"/>
    </row>
    <row r="75">
      <c r="B75" s="8"/>
      <c r="C75" s="8"/>
    </row>
    <row r="76">
      <c r="B76" s="8"/>
      <c r="C76" s="8"/>
    </row>
    <row r="77">
      <c r="B77" s="8"/>
      <c r="C77" s="8"/>
    </row>
    <row r="78">
      <c r="B78" s="8"/>
      <c r="C78" s="8"/>
    </row>
    <row r="79">
      <c r="B79" s="8"/>
      <c r="C79" s="8"/>
    </row>
    <row r="80">
      <c r="B80" s="8"/>
      <c r="C80" s="8"/>
    </row>
    <row r="81">
      <c r="B81" s="8"/>
      <c r="C81" s="8"/>
    </row>
    <row r="82">
      <c r="B82" s="8"/>
      <c r="C82" s="8"/>
    </row>
    <row r="83">
      <c r="B83" s="8"/>
      <c r="C83" s="8"/>
    </row>
    <row r="84">
      <c r="B84" s="8"/>
      <c r="C84" s="8"/>
    </row>
    <row r="85">
      <c r="B85" s="8"/>
      <c r="C85" s="8"/>
    </row>
    <row r="86">
      <c r="B86" s="8"/>
      <c r="C86" s="8"/>
    </row>
    <row r="87">
      <c r="B87" s="8"/>
      <c r="C87" s="8"/>
    </row>
    <row r="88">
      <c r="B88" s="8"/>
      <c r="C88" s="8"/>
    </row>
    <row r="89">
      <c r="B89" s="8"/>
      <c r="C89" s="8"/>
    </row>
    <row r="90">
      <c r="B90" s="8"/>
      <c r="C90" s="8"/>
    </row>
    <row r="91">
      <c r="B91" s="8"/>
      <c r="C91" s="8"/>
    </row>
    <row r="92">
      <c r="B92" s="8"/>
      <c r="C92" s="8"/>
    </row>
    <row r="93">
      <c r="B93" s="8"/>
      <c r="C93" s="8"/>
    </row>
    <row r="94">
      <c r="B94" s="8"/>
      <c r="C94" s="8"/>
    </row>
    <row r="95">
      <c r="B95" s="8"/>
      <c r="C95" s="8"/>
    </row>
    <row r="96">
      <c r="B96" s="8"/>
      <c r="C96" s="8"/>
    </row>
    <row r="97">
      <c r="B97" s="8"/>
      <c r="C97" s="8"/>
    </row>
    <row r="98">
      <c r="B98" s="8"/>
      <c r="C98" s="8"/>
    </row>
    <row r="99">
      <c r="B99" s="8"/>
      <c r="C99" s="8"/>
    </row>
    <row r="100">
      <c r="B100" s="8"/>
      <c r="C100" s="8"/>
    </row>
    <row r="101">
      <c r="B101" s="8"/>
      <c r="C101" s="8"/>
    </row>
    <row r="102">
      <c r="B102" s="8"/>
      <c r="C102" s="8"/>
    </row>
    <row r="103">
      <c r="B103" s="8"/>
      <c r="C103" s="8"/>
    </row>
    <row r="104">
      <c r="B104" s="8"/>
      <c r="C104" s="8"/>
    </row>
    <row r="105">
      <c r="B105" s="8"/>
      <c r="C105" s="8"/>
    </row>
    <row r="106">
      <c r="B106" s="8"/>
      <c r="C106" s="8"/>
    </row>
    <row r="107">
      <c r="B107" s="8"/>
      <c r="C107" s="8"/>
    </row>
    <row r="108">
      <c r="B108" s="8"/>
      <c r="C108" s="8"/>
    </row>
    <row r="109">
      <c r="B109" s="8"/>
      <c r="C109" s="8"/>
    </row>
    <row r="110">
      <c r="B110" s="8"/>
      <c r="C110" s="8"/>
    </row>
    <row r="111">
      <c r="B111" s="8"/>
      <c r="C111" s="8"/>
    </row>
    <row r="112">
      <c r="B112" s="8"/>
      <c r="C112" s="8"/>
    </row>
    <row r="113">
      <c r="B113" s="8"/>
      <c r="C113" s="8"/>
    </row>
    <row r="114">
      <c r="B114" s="8"/>
      <c r="C114" s="8"/>
    </row>
    <row r="115">
      <c r="B115" s="8"/>
      <c r="C115" s="8"/>
    </row>
    <row r="116">
      <c r="B116" s="8"/>
      <c r="C116" s="8"/>
    </row>
    <row r="117">
      <c r="B117" s="8"/>
      <c r="C117" s="8"/>
    </row>
    <row r="118">
      <c r="B118" s="8"/>
      <c r="C118" s="8"/>
    </row>
    <row r="119">
      <c r="B119" s="8"/>
      <c r="C119" s="8"/>
    </row>
    <row r="120">
      <c r="B120" s="8"/>
      <c r="C120" s="8"/>
    </row>
    <row r="121">
      <c r="B121" s="8"/>
      <c r="C121" s="8"/>
    </row>
    <row r="122">
      <c r="B122" s="8"/>
      <c r="C122" s="8"/>
    </row>
    <row r="123">
      <c r="B123" s="8"/>
      <c r="C123" s="8"/>
    </row>
    <row r="124">
      <c r="B124" s="8"/>
      <c r="C124" s="8"/>
    </row>
    <row r="125">
      <c r="B125" s="8"/>
      <c r="C125" s="8"/>
    </row>
    <row r="126">
      <c r="B126" s="8"/>
      <c r="C126" s="8"/>
    </row>
    <row r="127">
      <c r="B127" s="8"/>
      <c r="C127" s="8"/>
    </row>
    <row r="128">
      <c r="B128" s="8"/>
      <c r="C128" s="8"/>
    </row>
    <row r="129">
      <c r="B129" s="8"/>
      <c r="C129" s="8"/>
    </row>
    <row r="130">
      <c r="B130" s="8"/>
      <c r="C130" s="8"/>
    </row>
    <row r="131">
      <c r="B131" s="8"/>
      <c r="C131" s="8"/>
    </row>
    <row r="132">
      <c r="B132" s="8"/>
      <c r="C132" s="8"/>
    </row>
    <row r="133">
      <c r="B133" s="8"/>
      <c r="C133" s="8"/>
    </row>
    <row r="134">
      <c r="B134" s="8"/>
      <c r="C134" s="8"/>
    </row>
    <row r="135">
      <c r="B135" s="8"/>
      <c r="C135" s="8"/>
    </row>
    <row r="136">
      <c r="B136" s="8"/>
      <c r="C136" s="8"/>
    </row>
    <row r="137">
      <c r="B137" s="8"/>
      <c r="C137" s="8"/>
    </row>
    <row r="138">
      <c r="B138" s="8"/>
      <c r="C138" s="8"/>
    </row>
    <row r="139">
      <c r="B139" s="8"/>
      <c r="C139" s="8"/>
    </row>
    <row r="140">
      <c r="B140" s="8"/>
      <c r="C140" s="8"/>
    </row>
    <row r="141">
      <c r="B141" s="8"/>
      <c r="C141" s="8"/>
    </row>
    <row r="142">
      <c r="B142" s="8"/>
      <c r="C142" s="8"/>
    </row>
    <row r="143">
      <c r="B143" s="8"/>
      <c r="C143" s="8"/>
    </row>
    <row r="144">
      <c r="B144" s="8"/>
      <c r="C144" s="8"/>
    </row>
    <row r="145">
      <c r="B145" s="8"/>
      <c r="C145" s="8"/>
    </row>
    <row r="146">
      <c r="B146" s="8"/>
      <c r="C146" s="8"/>
    </row>
    <row r="147">
      <c r="B147" s="8"/>
      <c r="C147" s="8"/>
    </row>
    <row r="148">
      <c r="B148" s="8"/>
      <c r="C148" s="8"/>
    </row>
    <row r="149">
      <c r="B149" s="8"/>
      <c r="C149" s="8"/>
    </row>
    <row r="150">
      <c r="B150" s="8"/>
      <c r="C150" s="8"/>
    </row>
    <row r="151">
      <c r="B151" s="8"/>
      <c r="C151" s="8"/>
    </row>
    <row r="152">
      <c r="B152" s="8"/>
      <c r="C152" s="8"/>
    </row>
    <row r="153">
      <c r="B153" s="8"/>
      <c r="C153" s="8"/>
    </row>
    <row r="154">
      <c r="B154" s="8"/>
      <c r="C154" s="8"/>
    </row>
    <row r="155">
      <c r="B155" s="8"/>
      <c r="C155" s="8"/>
    </row>
    <row r="156">
      <c r="B156" s="8"/>
      <c r="C156" s="8"/>
    </row>
    <row r="157">
      <c r="B157" s="8"/>
      <c r="C157" s="8"/>
    </row>
    <row r="158">
      <c r="B158" s="8"/>
      <c r="C158" s="8"/>
    </row>
    <row r="159">
      <c r="B159" s="8"/>
      <c r="C159" s="8"/>
    </row>
    <row r="160">
      <c r="B160" s="8"/>
      <c r="C160" s="8"/>
    </row>
    <row r="161">
      <c r="B161" s="8"/>
      <c r="C161" s="8"/>
    </row>
    <row r="162">
      <c r="B162" s="8"/>
      <c r="C162" s="8"/>
    </row>
    <row r="163">
      <c r="B163" s="8"/>
      <c r="C163" s="8"/>
    </row>
    <row r="164">
      <c r="B164" s="8"/>
      <c r="C164" s="8"/>
    </row>
    <row r="165">
      <c r="B165" s="8"/>
      <c r="C165" s="8"/>
    </row>
    <row r="166">
      <c r="B166" s="8"/>
      <c r="C166" s="8"/>
    </row>
    <row r="167">
      <c r="B167" s="8"/>
      <c r="C167" s="8"/>
    </row>
    <row r="168">
      <c r="B168" s="8"/>
      <c r="C168" s="8"/>
    </row>
    <row r="169">
      <c r="B169" s="8"/>
      <c r="C169" s="8"/>
    </row>
    <row r="170">
      <c r="B170" s="8"/>
      <c r="C170" s="8"/>
    </row>
    <row r="171">
      <c r="B171" s="8"/>
      <c r="C171" s="8"/>
    </row>
    <row r="172">
      <c r="B172" s="8"/>
      <c r="C172" s="8"/>
    </row>
    <row r="173">
      <c r="B173" s="8"/>
      <c r="C173" s="8"/>
    </row>
    <row r="174">
      <c r="B174" s="8"/>
      <c r="C174" s="8"/>
    </row>
    <row r="175">
      <c r="B175" s="8"/>
      <c r="C175" s="8"/>
    </row>
    <row r="176">
      <c r="B176" s="8"/>
      <c r="C176" s="8"/>
    </row>
    <row r="177">
      <c r="B177" s="8"/>
      <c r="C177" s="8"/>
    </row>
    <row r="178">
      <c r="B178" s="8"/>
      <c r="C178" s="8"/>
    </row>
    <row r="179">
      <c r="B179" s="8"/>
      <c r="C179" s="8"/>
    </row>
    <row r="180">
      <c r="B180" s="8"/>
      <c r="C180" s="8"/>
    </row>
    <row r="181">
      <c r="B181" s="8"/>
      <c r="C181" s="8"/>
    </row>
    <row r="182">
      <c r="B182" s="8"/>
      <c r="C182" s="8"/>
    </row>
    <row r="183">
      <c r="B183" s="8"/>
      <c r="C183" s="8"/>
    </row>
    <row r="184">
      <c r="B184" s="8"/>
      <c r="C184" s="8"/>
    </row>
    <row r="185">
      <c r="B185" s="8"/>
      <c r="C185" s="8"/>
    </row>
    <row r="186">
      <c r="B186" s="8"/>
      <c r="C186" s="8"/>
    </row>
    <row r="187">
      <c r="B187" s="8"/>
      <c r="C187" s="8"/>
    </row>
    <row r="188">
      <c r="B188" s="8"/>
      <c r="C188" s="8"/>
    </row>
    <row r="189">
      <c r="B189" s="8"/>
      <c r="C189" s="8"/>
    </row>
    <row r="190">
      <c r="B190" s="8"/>
      <c r="C190" s="8"/>
    </row>
    <row r="191">
      <c r="B191" s="8"/>
      <c r="C191" s="8"/>
    </row>
    <row r="192">
      <c r="B192" s="8"/>
      <c r="C192" s="8"/>
    </row>
    <row r="193">
      <c r="B193" s="8"/>
      <c r="C193" s="8"/>
    </row>
    <row r="194">
      <c r="B194" s="8"/>
      <c r="C194" s="8"/>
    </row>
    <row r="195">
      <c r="B195" s="8"/>
      <c r="C195" s="8"/>
    </row>
    <row r="196">
      <c r="B196" s="8"/>
      <c r="C196" s="8"/>
    </row>
    <row r="197">
      <c r="B197" s="8"/>
      <c r="C197" s="8"/>
    </row>
    <row r="198">
      <c r="B198" s="8"/>
      <c r="C198" s="8"/>
    </row>
    <row r="199">
      <c r="B199" s="8"/>
      <c r="C199" s="8"/>
    </row>
    <row r="200">
      <c r="B200" s="8"/>
      <c r="C200" s="8"/>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12" t="s">
        <v>12</v>
      </c>
      <c r="B1" s="12" t="s">
        <v>13</v>
      </c>
      <c r="C1" s="13" t="s">
        <v>14</v>
      </c>
      <c r="D1" s="13" t="s">
        <v>15</v>
      </c>
      <c r="E1" s="12" t="s">
        <v>16</v>
      </c>
      <c r="F1" s="13" t="s">
        <v>17</v>
      </c>
      <c r="G1" s="13" t="s">
        <v>18</v>
      </c>
      <c r="H1" s="13" t="s">
        <v>19</v>
      </c>
      <c r="I1" s="13" t="s">
        <v>20</v>
      </c>
      <c r="J1" s="13" t="s">
        <v>21</v>
      </c>
      <c r="K1" s="13" t="s">
        <v>22</v>
      </c>
      <c r="L1" s="13" t="s">
        <v>23</v>
      </c>
      <c r="M1" s="13" t="s">
        <v>24</v>
      </c>
      <c r="N1" s="13" t="s">
        <v>25</v>
      </c>
      <c r="O1" s="13" t="s">
        <v>26</v>
      </c>
      <c r="P1" s="13" t="s">
        <v>27</v>
      </c>
      <c r="Q1" s="13" t="s">
        <v>28</v>
      </c>
      <c r="R1" s="13" t="s">
        <v>29</v>
      </c>
      <c r="S1" s="12" t="s">
        <v>30</v>
      </c>
      <c r="T1" s="12" t="s">
        <v>31</v>
      </c>
      <c r="U1" s="12" t="s">
        <v>33</v>
      </c>
      <c r="V1" s="13" t="s">
        <v>35</v>
      </c>
      <c r="W1" s="13" t="s">
        <v>37</v>
      </c>
      <c r="X1" s="13" t="s">
        <v>39</v>
      </c>
      <c r="Y1" s="13" t="s">
        <v>41</v>
      </c>
      <c r="Z1" s="13" t="s">
        <v>42</v>
      </c>
      <c r="AA1" s="13" t="s">
        <v>44</v>
      </c>
      <c r="AB1" s="13" t="s">
        <v>45</v>
      </c>
      <c r="AC1" s="13" t="s">
        <v>46</v>
      </c>
      <c r="AD1" s="12" t="s">
        <v>47</v>
      </c>
      <c r="AE1" s="12" t="s">
        <v>48</v>
      </c>
    </row>
    <row r="2" ht="22.5" customHeight="1">
      <c r="A2" s="14">
        <f>IFERROR(__xludf.DUMMYFUNCTION("FILTER(Responses!A2:AE293, (Responses!E2:E293=""MBBS 2020"") + (Responses!E2:E293=""MBBS 2021""))"),46270.99212284722)</f>
        <v>46270.99212</v>
      </c>
      <c r="B2" s="15" t="str">
        <f>IFERROR(__xludf.DUMMYFUNCTION("""COMPUTED_VALUE"""),"patel.mbbs-2020@aiimskalyani.edu.in")</f>
        <v>patel.mbbs-2020@aiimskalyani.edu.in</v>
      </c>
      <c r="C2" s="15" t="str">
        <f>IFERROR(__xludf.DUMMYFUNCTION("""COMPUTED_VALUE"""),"PATEL SHRUTI RUTANJU ")</f>
        <v>PATEL SHRUTI RUTANJU </v>
      </c>
      <c r="D2" s="15">
        <f>IFERROR(__xludf.DUMMYFUNCTION("""COMPUTED_VALUE"""),2.02001117E8)</f>
        <v>202001117</v>
      </c>
      <c r="E2" s="15" t="str">
        <f>IFERROR(__xludf.DUMMYFUNCTION("""COMPUTED_VALUE"""),"MBBS 2020")</f>
        <v>MBBS 2020</v>
      </c>
      <c r="F2" s="15">
        <f>IFERROR(__xludf.DUMMYFUNCTION("""COMPUTED_VALUE"""),7.644977977E9)</f>
        <v>7644977977</v>
      </c>
      <c r="G2" s="15" t="str">
        <f>IFERROR(__xludf.DUMMYFUNCTION("""COMPUTED_VALUE"""),"starv2888@gmail.com")</f>
        <v>starv2888@gmail.com</v>
      </c>
      <c r="H2" s="15" t="str">
        <f>IFERROR(__xludf.DUMMYFUNCTION("""COMPUTED_VALUE"""),"Yes")</f>
        <v>Yes</v>
      </c>
      <c r="I2" s="16" t="str">
        <f>IFERROR(__xludf.DUMMYFUNCTION("""COMPUTED_VALUE"""),"I love diving into board games and lively debates, goofing around with dogs, dabbling in performance arts and acting, and enjoying a little baking and swimming. I also love hands-on activities like LEGO, macramé, diamond art, and puzzles.")</f>
        <v>I love diving into board games and lively debates, goofing around with dogs, dabbling in performance arts and acting, and enjoying a little baking and swimming. I also love hands-on activities like LEGO, macramé, diamond art, and puzzles.</v>
      </c>
      <c r="J2" s="16" t="str">
        <f>IFERROR(__xludf.DUMMYFUNCTION("""COMPUTED_VALUE"""),"Participated in debates 
Although I have never competed professionally, I thoroughly enjoy swimming.")</f>
        <v>Participated in debates 
Although I have never competed professionally, I thoroughly enjoy swimming.</v>
      </c>
      <c r="K2" s="15" t="str">
        <f>IFERROR(__xludf.DUMMYFUNCTION("""COMPUTED_VALUE"""),"Scarborough, Maine &amp; Anand, Gujarat")</f>
        <v>Scarborough, Maine &amp; Anand, Gujarat</v>
      </c>
      <c r="L2" s="17" t="str">
        <f>IFERROR(__xludf.DUMMYFUNCTION("""COMPUTED_VALUE"""),"https://drive.google.com/open?id=1wvVMWKrnUjVgP1CfYWdd_E0vchEM9pi3")</f>
        <v>https://drive.google.com/open?id=1wvVMWKrnUjVgP1CfYWdd_E0vchEM9pi3</v>
      </c>
      <c r="M2" s="17" t="str">
        <f>IFERROR(__xludf.DUMMYFUNCTION("""COMPUTED_VALUE"""),"https://drive.google.com/open?id=1FD55F3mUjSvviBFvT0lmlP5qs97Jo6Rq")</f>
        <v>https://drive.google.com/open?id=1FD55F3mUjSvviBFvT0lmlP5qs97Jo6Rq</v>
      </c>
      <c r="N2" s="15" t="str">
        <f>IFERROR(__xludf.DUMMYFUNCTION("""COMPUTED_VALUE"""),"Late Rutanju Patel ")</f>
        <v>Late Rutanju Patel </v>
      </c>
      <c r="O2" s="15" t="str">
        <f>IFERROR(__xludf.DUMMYFUNCTION("""COMPUTED_VALUE"""),"Certified Public Accountant (CPA) ;")</f>
        <v>Certified Public Accountant (CPA) ;</v>
      </c>
      <c r="P2" s="15" t="str">
        <f>IFERROR(__xludf.DUMMYFUNCTION("""COMPUTED_VALUE"""),"N/A ")</f>
        <v>N/A </v>
      </c>
      <c r="Q2" s="15">
        <f>IFERROR(__xludf.DUMMYFUNCTION("""COMPUTED_VALUE"""),9.999999999E9)</f>
        <v>9999999999</v>
      </c>
      <c r="R2" s="15" t="str">
        <f>IFERROR(__xludf.DUMMYFUNCTION("""COMPUTED_VALUE"""),"Trupti Patel ")</f>
        <v>Trupti Patel </v>
      </c>
      <c r="S2" s="15" t="str">
        <f>IFERROR(__xludf.DUMMYFUNCTION("""COMPUTED_VALUE"""),"Entrepreneur &amp; Business Owner")</f>
        <v>Entrepreneur &amp; Business Owner</v>
      </c>
      <c r="T2" s="15" t="str">
        <f>IFERROR(__xludf.DUMMYFUNCTION("""COMPUTED_VALUE"""),"Scarborough, Maine &amp; Anand, Gujarat ")</f>
        <v>Scarborough, Maine &amp; Anand, Gujarat </v>
      </c>
      <c r="U2" s="15">
        <f>IFERROR(__xludf.DUMMYFUNCTION("""COMPUTED_VALUE"""),9.429181978E9)</f>
        <v>9429181978</v>
      </c>
      <c r="V2" s="15">
        <f>IFERROR(__xludf.DUMMYFUNCTION("""COMPUTED_VALUE"""),2.0)</f>
        <v>2</v>
      </c>
      <c r="W2" s="15" t="str">
        <f>IFERROR(__xludf.DUMMYFUNCTION("""COMPUTED_VALUE"""),"Trupti Patel")</f>
        <v>Trupti Patel</v>
      </c>
      <c r="X2" s="15" t="str">
        <f>IFERROR(__xludf.DUMMYFUNCTION("""COMPUTED_VALUE"""),"Mother ")</f>
        <v>Mother </v>
      </c>
      <c r="Y2" s="15" t="str">
        <f>IFERROR(__xludf.DUMMYFUNCTION("""COMPUTED_VALUE"""),"Pranathi Nambiar ")</f>
        <v>Pranathi Nambiar </v>
      </c>
      <c r="Z2" s="15" t="str">
        <f>IFERROR(__xludf.DUMMYFUNCTION("""COMPUTED_VALUE"""),"Cousin")</f>
        <v>Cousin</v>
      </c>
      <c r="AA2" s="15" t="str">
        <f>IFERROR(__xludf.DUMMYFUNCTION("""COMPUTED_VALUE"""),"Veg")</f>
        <v>Veg</v>
      </c>
      <c r="AB2" s="15" t="str">
        <f>IFERROR(__xludf.DUMMYFUNCTION("""COMPUTED_VALUE"""),"Veg")</f>
        <v>Veg</v>
      </c>
      <c r="AC2" s="15" t="str">
        <f>IFERROR(__xludf.DUMMYFUNCTION("""COMPUTED_VALUE"""),"Non-Veg")</f>
        <v>Non-Veg</v>
      </c>
      <c r="AD2" s="15" t="str">
        <f>IFERROR(__xludf.DUMMYFUNCTION("""COMPUTED_VALUE"""),"Drop at Kolkata Airport")</f>
        <v>Drop at Kolkata Airport</v>
      </c>
      <c r="AE2" s="15">
        <f>IFERROR(__xludf.DUMMYFUNCTION("""COMPUTED_VALUE"""),2.0)</f>
        <v>2</v>
      </c>
    </row>
    <row r="3" ht="22.5" customHeight="1">
      <c r="A3" s="18">
        <f>IFERROR(__xludf.DUMMYFUNCTION("""COMPUTED_VALUE"""),46266.996902349536)</f>
        <v>46266.9969</v>
      </c>
      <c r="B3" s="21" t="str">
        <f>IFERROR(__xludf.DUMMYFUNCTION("""COMPUTED_VALUE"""),"sharmistha.mbbs-2020@aiimskalyani.edu.in")</f>
        <v>sharmistha.mbbs-2020@aiimskalyani.edu.in</v>
      </c>
      <c r="C3" s="21" t="str">
        <f>IFERROR(__xludf.DUMMYFUNCTION("""COMPUTED_VALUE"""),"SHARMISTHA ROUT")</f>
        <v>SHARMISTHA ROUT</v>
      </c>
      <c r="D3" s="21">
        <f>IFERROR(__xludf.DUMMYFUNCTION("""COMPUTED_VALUE"""),2.02001139E8)</f>
        <v>202001139</v>
      </c>
      <c r="E3" s="21" t="str">
        <f>IFERROR(__xludf.DUMMYFUNCTION("""COMPUTED_VALUE"""),"MBBS 2020")</f>
        <v>MBBS 2020</v>
      </c>
      <c r="F3" s="21">
        <f>IFERROR(__xludf.DUMMYFUNCTION("""COMPUTED_VALUE"""),8.905157891E9)</f>
        <v>8905157891</v>
      </c>
      <c r="G3" s="21" t="str">
        <f>IFERROR(__xludf.DUMMYFUNCTION("""COMPUTED_VALUE"""),"sharmistha.mbbs-2020@aiimskalyani.edu.in")</f>
        <v>sharmistha.mbbs-2020@aiimskalyani.edu.in</v>
      </c>
      <c r="H3" s="21" t="str">
        <f>IFERROR(__xludf.DUMMYFUNCTION("""COMPUTED_VALUE"""),"Yes")</f>
        <v>Yes</v>
      </c>
      <c r="I3" s="21" t="str">
        <f>IFERROR(__xludf.DUMMYFUNCTION("""COMPUTED_VALUE"""),"My hobbies include painting , public speaking and academic quizzing .")</f>
        <v>My hobbies include painting , public speaking and academic quizzing .</v>
      </c>
      <c r="J3" s="21"/>
      <c r="K3" s="21" t="str">
        <f>IFERROR(__xludf.DUMMYFUNCTION("""COMPUTED_VALUE"""),"Bhubaneswar ")</f>
        <v>Bhubaneswar </v>
      </c>
      <c r="L3" s="22" t="str">
        <f>IFERROR(__xludf.DUMMYFUNCTION("""COMPUTED_VALUE"""),"https://drive.google.com/open?id=1nVM8n8zHwMihrktdkrp1SMFAISMWQPh3")</f>
        <v>https://drive.google.com/open?id=1nVM8n8zHwMihrktdkrp1SMFAISMWQPh3</v>
      </c>
      <c r="M3" s="22" t="str">
        <f>IFERROR(__xludf.DUMMYFUNCTION("""COMPUTED_VALUE"""),"https://drive.google.com/open?id=16kxxoRKzyYMnXX9WcQjINwavwF-UhTEN")</f>
        <v>https://drive.google.com/open?id=16kxxoRKzyYMnXX9WcQjINwavwF-UhTEN</v>
      </c>
      <c r="N3" s="21" t="str">
        <f>IFERROR(__xludf.DUMMYFUNCTION("""COMPUTED_VALUE"""),"Surendra Kumar Rout")</f>
        <v>Surendra Kumar Rout</v>
      </c>
      <c r="O3" s="21" t="str">
        <f>IFERROR(__xludf.DUMMYFUNCTION("""COMPUTED_VALUE"""),"Retired general manager at NTPC, Kaniha")</f>
        <v>Retired general manager at NTPC, Kaniha</v>
      </c>
      <c r="P3" s="21" t="str">
        <f>IFERROR(__xludf.DUMMYFUNCTION("""COMPUTED_VALUE"""),"Bhubaneswar ")</f>
        <v>Bhubaneswar </v>
      </c>
      <c r="Q3" s="21">
        <f>IFERROR(__xludf.DUMMYFUNCTION("""COMPUTED_VALUE"""),8.905157891E9)</f>
        <v>8905157891</v>
      </c>
      <c r="R3" s="21" t="str">
        <f>IFERROR(__xludf.DUMMYFUNCTION("""COMPUTED_VALUE"""),"Dr.Krishna Patro")</f>
        <v>Dr.Krishna Patro</v>
      </c>
      <c r="S3" s="21" t="str">
        <f>IFERROR(__xludf.DUMMYFUNCTION("""COMPUTED_VALUE"""),"Associate professor at Department of Ophthalmology, PGIMER Bhubaneswar ")</f>
        <v>Associate professor at Department of Ophthalmology, PGIMER Bhubaneswar </v>
      </c>
      <c r="T3" s="21" t="str">
        <f>IFERROR(__xludf.DUMMYFUNCTION("""COMPUTED_VALUE"""),"Bhubaneswar ")</f>
        <v>Bhubaneswar </v>
      </c>
      <c r="U3" s="21">
        <f>IFERROR(__xludf.DUMMYFUNCTION("""COMPUTED_VALUE"""),8.905157891E9)</f>
        <v>8905157891</v>
      </c>
      <c r="V3" s="21">
        <f>IFERROR(__xludf.DUMMYFUNCTION("""COMPUTED_VALUE"""),2.0)</f>
        <v>2</v>
      </c>
      <c r="W3" s="21" t="str">
        <f>IFERROR(__xludf.DUMMYFUNCTION("""COMPUTED_VALUE"""),"Surendra Kumar Rout")</f>
        <v>Surendra Kumar Rout</v>
      </c>
      <c r="X3" s="21" t="str">
        <f>IFERROR(__xludf.DUMMYFUNCTION("""COMPUTED_VALUE"""),"Father")</f>
        <v>Father</v>
      </c>
      <c r="Y3" s="21" t="str">
        <f>IFERROR(__xludf.DUMMYFUNCTION("""COMPUTED_VALUE"""),"Dr.Krishna Patro")</f>
        <v>Dr.Krishna Patro</v>
      </c>
      <c r="Z3" s="21" t="str">
        <f>IFERROR(__xludf.DUMMYFUNCTION("""COMPUTED_VALUE"""),"Mother")</f>
        <v>Mother</v>
      </c>
      <c r="AA3" s="21" t="str">
        <f>IFERROR(__xludf.DUMMYFUNCTION("""COMPUTED_VALUE"""),"Non-Veg")</f>
        <v>Non-Veg</v>
      </c>
      <c r="AB3" s="21" t="str">
        <f>IFERROR(__xludf.DUMMYFUNCTION("""COMPUTED_VALUE"""),"Non-Veg")</f>
        <v>Non-Veg</v>
      </c>
      <c r="AC3" s="21" t="str">
        <f>IFERROR(__xludf.DUMMYFUNCTION("""COMPUTED_VALUE"""),"Non-Veg")</f>
        <v>Non-Veg</v>
      </c>
      <c r="AD3" s="21" t="str">
        <f>IFERROR(__xludf.DUMMYFUNCTION("""COMPUTED_VALUE"""),"Bus Drop Service not needed")</f>
        <v>Bus Drop Service not needed</v>
      </c>
      <c r="AE3" s="21">
        <f>IFERROR(__xludf.DUMMYFUNCTION("""COMPUTED_VALUE"""),0.0)</f>
        <v>0</v>
      </c>
    </row>
    <row r="4" ht="22.5" customHeight="1">
      <c r="A4" s="18">
        <f>IFERROR(__xludf.DUMMYFUNCTION("""COMPUTED_VALUE"""),46266.935814675926)</f>
        <v>46266.93581</v>
      </c>
      <c r="B4" s="21" t="str">
        <f>IFERROR(__xludf.DUMMYFUNCTION("""COMPUTED_VALUE"""),"chongtham.mbbs-2020@aiimskalyani.edu.in")</f>
        <v>chongtham.mbbs-2020@aiimskalyani.edu.in</v>
      </c>
      <c r="C4" s="21" t="str">
        <f>IFERROR(__xludf.DUMMYFUNCTION("""COMPUTED_VALUE"""),"CHONGTHAM PARITIYA SINGH")</f>
        <v>CHONGTHAM PARITIYA SINGH</v>
      </c>
      <c r="D4" s="21">
        <f>IFERROR(__xludf.DUMMYFUNCTION("""COMPUTED_VALUE"""),2.0200188E7)</f>
        <v>20200188</v>
      </c>
      <c r="E4" s="21" t="str">
        <f>IFERROR(__xludf.DUMMYFUNCTION("""COMPUTED_VALUE"""),"MBBS 2020")</f>
        <v>MBBS 2020</v>
      </c>
      <c r="F4" s="21">
        <f>IFERROR(__xludf.DUMMYFUNCTION("""COMPUTED_VALUE"""),7.011342677E9)</f>
        <v>7011342677</v>
      </c>
      <c r="G4" s="21" t="str">
        <f>IFERROR(__xludf.DUMMYFUNCTION("""COMPUTED_VALUE"""),"chongtham.mbbs-2020@aiimskalyani.edu.in")</f>
        <v>chongtham.mbbs-2020@aiimskalyani.edu.in</v>
      </c>
      <c r="H4" s="21" t="str">
        <f>IFERROR(__xludf.DUMMYFUNCTION("""COMPUTED_VALUE"""),"Yes")</f>
        <v>Yes</v>
      </c>
      <c r="I4" s="21" t="str">
        <f>IFERROR(__xludf.DUMMYFUNCTION("""COMPUTED_VALUE"""),"Reading books, Watching anime")</f>
        <v>Reading books, Watching anime</v>
      </c>
      <c r="J4" s="21" t="str">
        <f>IFERROR(__xludf.DUMMYFUNCTION("""COMPUTED_VALUE"""),"Participated in and hosted multiple Quiz events")</f>
        <v>Participated in and hosted multiple Quiz events</v>
      </c>
      <c r="K4" s="21" t="str">
        <f>IFERROR(__xludf.DUMMYFUNCTION("""COMPUTED_VALUE"""),"Imphal, Manipur")</f>
        <v>Imphal, Manipur</v>
      </c>
      <c r="L4" s="22" t="str">
        <f>IFERROR(__xludf.DUMMYFUNCTION("""COMPUTED_VALUE"""),"https://drive.google.com/open?id=1N44T7YnTBgmkiTbItQKtEUNpjEDd0EUh")</f>
        <v>https://drive.google.com/open?id=1N44T7YnTBgmkiTbItQKtEUNpjEDd0EUh</v>
      </c>
      <c r="M4" s="22" t="str">
        <f>IFERROR(__xludf.DUMMYFUNCTION("""COMPUTED_VALUE"""),"https://drive.google.com/open?id=17f6tVYwvx4UzQXlhJ9Z6B_eDtJe69uqQ")</f>
        <v>https://drive.google.com/open?id=17f6tVYwvx4UzQXlhJ9Z6B_eDtJe69uqQ</v>
      </c>
      <c r="N4" s="21" t="str">
        <f>IFERROR(__xludf.DUMMYFUNCTION("""COMPUTED_VALUE"""),"Chongtham Pureihanba Singh ")</f>
        <v>Chongtham Pureihanba Singh </v>
      </c>
      <c r="O4" s="21" t="str">
        <f>IFERROR(__xludf.DUMMYFUNCTION("""COMPUTED_VALUE"""),"Assistant Director, FSL Delhi")</f>
        <v>Assistant Director, FSL Delhi</v>
      </c>
      <c r="P4" s="21" t="str">
        <f>IFERROR(__xludf.DUMMYFUNCTION("""COMPUTED_VALUE"""),"Rohini, Delhi")</f>
        <v>Rohini, Delhi</v>
      </c>
      <c r="Q4" s="21">
        <f>IFERROR(__xludf.DUMMYFUNCTION("""COMPUTED_VALUE"""),9.717515666E9)</f>
        <v>9717515666</v>
      </c>
      <c r="R4" s="21" t="str">
        <f>IFERROR(__xludf.DUMMYFUNCTION("""COMPUTED_VALUE"""),"Chongtham Lenjibala Devi")</f>
        <v>Chongtham Lenjibala Devi</v>
      </c>
      <c r="S4" s="21" t="str">
        <f>IFERROR(__xludf.DUMMYFUNCTION("""COMPUTED_VALUE"""),"Homemaker")</f>
        <v>Homemaker</v>
      </c>
      <c r="T4" s="21" t="str">
        <f>IFERROR(__xludf.DUMMYFUNCTION("""COMPUTED_VALUE"""),"Rohini, Delhi")</f>
        <v>Rohini, Delhi</v>
      </c>
      <c r="U4" s="21">
        <f>IFERROR(__xludf.DUMMYFUNCTION("""COMPUTED_VALUE"""),9.968443102E9)</f>
        <v>9968443102</v>
      </c>
      <c r="V4" s="21">
        <f>IFERROR(__xludf.DUMMYFUNCTION("""COMPUTED_VALUE"""),2.0)</f>
        <v>2</v>
      </c>
      <c r="W4" s="21" t="str">
        <f>IFERROR(__xludf.DUMMYFUNCTION("""COMPUTED_VALUE"""),"Chongtham Pureihanba Singh ")</f>
        <v>Chongtham Pureihanba Singh </v>
      </c>
      <c r="X4" s="21" t="str">
        <f>IFERROR(__xludf.DUMMYFUNCTION("""COMPUTED_VALUE"""),"Father")</f>
        <v>Father</v>
      </c>
      <c r="Y4" s="21" t="str">
        <f>IFERROR(__xludf.DUMMYFUNCTION("""COMPUTED_VALUE"""),"Sreeja Sarkar")</f>
        <v>Sreeja Sarkar</v>
      </c>
      <c r="Z4" s="21" t="str">
        <f>IFERROR(__xludf.DUMMYFUNCTION("""COMPUTED_VALUE"""),"Cousin")</f>
        <v>Cousin</v>
      </c>
      <c r="AA4" s="21" t="str">
        <f>IFERROR(__xludf.DUMMYFUNCTION("""COMPUTED_VALUE"""),"Non-Veg")</f>
        <v>Non-Veg</v>
      </c>
      <c r="AB4" s="21" t="str">
        <f>IFERROR(__xludf.DUMMYFUNCTION("""COMPUTED_VALUE"""),"Non-Veg")</f>
        <v>Non-Veg</v>
      </c>
      <c r="AC4" s="21" t="str">
        <f>IFERROR(__xludf.DUMMYFUNCTION("""COMPUTED_VALUE"""),"Non-Veg")</f>
        <v>Non-Veg</v>
      </c>
      <c r="AD4" s="21" t="str">
        <f>IFERROR(__xludf.DUMMYFUNCTION("""COMPUTED_VALUE"""),"Bus Drop Service not needed")</f>
        <v>Bus Drop Service not needed</v>
      </c>
      <c r="AE4" s="21">
        <f>IFERROR(__xludf.DUMMYFUNCTION("""COMPUTED_VALUE"""),0.0)</f>
        <v>0</v>
      </c>
    </row>
    <row r="5" ht="22.5" customHeight="1">
      <c r="A5" s="18">
        <f>IFERROR(__xludf.DUMMYFUNCTION("""COMPUTED_VALUE"""),46266.558665578705)</f>
        <v>46266.55867</v>
      </c>
      <c r="B5" s="21" t="str">
        <f>IFERROR(__xludf.DUMMYFUNCTION("""COMPUTED_VALUE"""),"zinadzidan04@gmail.com")</f>
        <v>zinadzidan04@gmail.com</v>
      </c>
      <c r="C5" s="21" t="str">
        <f>IFERROR(__xludf.DUMMYFUNCTION("""COMPUTED_VALUE"""),"Zinadin Zidan T K")</f>
        <v>Zinadin Zidan T K</v>
      </c>
      <c r="D5" s="21">
        <f>IFERROR(__xludf.DUMMYFUNCTION("""COMPUTED_VALUE"""),115.0)</f>
        <v>115</v>
      </c>
      <c r="E5" s="21" t="str">
        <f>IFERROR(__xludf.DUMMYFUNCTION("""COMPUTED_VALUE"""),"MBBS 2020")</f>
        <v>MBBS 2020</v>
      </c>
      <c r="F5" s="21">
        <f>IFERROR(__xludf.DUMMYFUNCTION("""COMPUTED_VALUE"""),9.633760376E9)</f>
        <v>9633760376</v>
      </c>
      <c r="G5" s="21" t="str">
        <f>IFERROR(__xludf.DUMMYFUNCTION("""COMPUTED_VALUE"""),"zinadzidan04@gmail.com")</f>
        <v>zinadzidan04@gmail.com</v>
      </c>
      <c r="H5" s="21" t="str">
        <f>IFERROR(__xludf.DUMMYFUNCTION("""COMPUTED_VALUE"""),"Yes")</f>
        <v>Yes</v>
      </c>
      <c r="I5" s="21" t="str">
        <f>IFERROR(__xludf.DUMMYFUNCTION("""COMPUTED_VALUE"""),"Sports, Arts, Music")</f>
        <v>Sports, Arts, Music</v>
      </c>
      <c r="J5" s="21" t="str">
        <f>IFERROR(__xludf.DUMMYFUNCTION("""COMPUTED_VALUE"""),"Football ")</f>
        <v>Football </v>
      </c>
      <c r="K5" s="21" t="str">
        <f>IFERROR(__xludf.DUMMYFUNCTION("""COMPUTED_VALUE"""),"Kerala")</f>
        <v>Kerala</v>
      </c>
      <c r="L5" s="22" t="str">
        <f>IFERROR(__xludf.DUMMYFUNCTION("""COMPUTED_VALUE"""),"https://drive.google.com/open?id=1M-D4W3wo5ygIcbAyfOurXfqgDnkj9rSQ")</f>
        <v>https://drive.google.com/open?id=1M-D4W3wo5ygIcbAyfOurXfqgDnkj9rSQ</v>
      </c>
      <c r="M5" s="22" t="str">
        <f>IFERROR(__xludf.DUMMYFUNCTION("""COMPUTED_VALUE"""),"https://drive.google.com/open?id=1989rqVJ9nuAXRtx40x4Jix1B8K1W6Ps5")</f>
        <v>https://drive.google.com/open?id=1989rqVJ9nuAXRtx40x4Jix1B8K1W6Ps5</v>
      </c>
      <c r="N5" s="21" t="str">
        <f>IFERROR(__xludf.DUMMYFUNCTION("""COMPUTED_VALUE"""),"Hamza T K")</f>
        <v>Hamza T K</v>
      </c>
      <c r="O5" s="21" t="str">
        <f>IFERROR(__xludf.DUMMYFUNCTION("""COMPUTED_VALUE"""),"Doctor")</f>
        <v>Doctor</v>
      </c>
      <c r="P5" s="21" t="str">
        <f>IFERROR(__xludf.DUMMYFUNCTION("""COMPUTED_VALUE"""),"Pattambi, Palakkad , Kerala")</f>
        <v>Pattambi, Palakkad , Kerala</v>
      </c>
      <c r="Q5" s="21">
        <f>IFERROR(__xludf.DUMMYFUNCTION("""COMPUTED_VALUE"""),9.567736799E9)</f>
        <v>9567736799</v>
      </c>
      <c r="R5" s="21" t="str">
        <f>IFERROR(__xludf.DUMMYFUNCTION("""COMPUTED_VALUE"""),"Rajeens K K")</f>
        <v>Rajeens K K</v>
      </c>
      <c r="S5" s="21" t="str">
        <f>IFERROR(__xludf.DUMMYFUNCTION("""COMPUTED_VALUE"""),"Administrator")</f>
        <v>Administrator</v>
      </c>
      <c r="T5" s="21" t="str">
        <f>IFERROR(__xludf.DUMMYFUNCTION("""COMPUTED_VALUE"""),"Pattambi, Palakkad , Kerala")</f>
        <v>Pattambi, Palakkad , Kerala</v>
      </c>
      <c r="U5" s="21">
        <f>IFERROR(__xludf.DUMMYFUNCTION("""COMPUTED_VALUE"""),9.746380679E9)</f>
        <v>9746380679</v>
      </c>
      <c r="V5" s="21">
        <f>IFERROR(__xludf.DUMMYFUNCTION("""COMPUTED_VALUE"""),2.0)</f>
        <v>2</v>
      </c>
      <c r="W5" s="21" t="str">
        <f>IFERROR(__xludf.DUMMYFUNCTION("""COMPUTED_VALUE"""),"Hamza T K")</f>
        <v>Hamza T K</v>
      </c>
      <c r="X5" s="21" t="str">
        <f>IFERROR(__xludf.DUMMYFUNCTION("""COMPUTED_VALUE"""),"Father")</f>
        <v>Father</v>
      </c>
      <c r="Y5" s="21" t="str">
        <f>IFERROR(__xludf.DUMMYFUNCTION("""COMPUTED_VALUE"""),"Rajeena  K K")</f>
        <v>Rajeena  K K</v>
      </c>
      <c r="Z5" s="21" t="str">
        <f>IFERROR(__xludf.DUMMYFUNCTION("""COMPUTED_VALUE"""),"Mother")</f>
        <v>Mother</v>
      </c>
      <c r="AA5" s="21" t="str">
        <f>IFERROR(__xludf.DUMMYFUNCTION("""COMPUTED_VALUE"""),"Non-Veg")</f>
        <v>Non-Veg</v>
      </c>
      <c r="AB5" s="21" t="str">
        <f>IFERROR(__xludf.DUMMYFUNCTION("""COMPUTED_VALUE"""),"Non-Veg")</f>
        <v>Non-Veg</v>
      </c>
      <c r="AC5" s="21" t="str">
        <f>IFERROR(__xludf.DUMMYFUNCTION("""COMPUTED_VALUE"""),"Non-Veg")</f>
        <v>Non-Veg</v>
      </c>
      <c r="AD5" s="21" t="str">
        <f>IFERROR(__xludf.DUMMYFUNCTION("""COMPUTED_VALUE"""),"Bus Drop Service not needed")</f>
        <v>Bus Drop Service not needed</v>
      </c>
      <c r="AE5" s="21">
        <f>IFERROR(__xludf.DUMMYFUNCTION("""COMPUTED_VALUE"""),0.0)</f>
        <v>0</v>
      </c>
    </row>
    <row r="6" ht="22.5" customHeight="1">
      <c r="A6" s="18">
        <f>IFERROR(__xludf.DUMMYFUNCTION("""COMPUTED_VALUE"""),46266.481394965274)</f>
        <v>46266.48139</v>
      </c>
      <c r="B6" s="21" t="str">
        <f>IFERROR(__xludf.DUMMYFUNCTION("""COMPUTED_VALUE"""),"siddharth.mbbs-2020@aiimskalyani.edu.in")</f>
        <v>siddharth.mbbs-2020@aiimskalyani.edu.in</v>
      </c>
      <c r="C6" s="21" t="str">
        <f>IFERROR(__xludf.DUMMYFUNCTION("""COMPUTED_VALUE"""),"VADDE SIDDHARTH ROY")</f>
        <v>VADDE SIDDHARTH ROY</v>
      </c>
      <c r="D6" s="21" t="str">
        <f>IFERROR(__xludf.DUMMYFUNCTION("""COMPUTED_VALUE"""),"109/ 202001159")</f>
        <v>109/ 202001159</v>
      </c>
      <c r="E6" s="21" t="str">
        <f>IFERROR(__xludf.DUMMYFUNCTION("""COMPUTED_VALUE"""),"MBBS 2020")</f>
        <v>MBBS 2020</v>
      </c>
      <c r="F6" s="21">
        <f>IFERROR(__xludf.DUMMYFUNCTION("""COMPUTED_VALUE"""),9.866469739E9)</f>
        <v>9866469739</v>
      </c>
      <c r="G6" s="21" t="str">
        <f>IFERROR(__xludf.DUMMYFUNCTION("""COMPUTED_VALUE"""),"imsidroy1@gmail.com")</f>
        <v>imsidroy1@gmail.com</v>
      </c>
      <c r="H6" s="21" t="str">
        <f>IFERROR(__xludf.DUMMYFUNCTION("""COMPUTED_VALUE"""),"Yes")</f>
        <v>Yes</v>
      </c>
      <c r="I6" s="21"/>
      <c r="J6" s="21"/>
      <c r="K6" s="21" t="str">
        <f>IFERROR(__xludf.DUMMYFUNCTION("""COMPUTED_VALUE"""),"Visakhapatnam")</f>
        <v>Visakhapatnam</v>
      </c>
      <c r="L6" s="22" t="str">
        <f>IFERROR(__xludf.DUMMYFUNCTION("""COMPUTED_VALUE"""),"https://drive.google.com/open?id=10xhv7vy3irtFqB4uwlalaHDfwFIwiAco")</f>
        <v>https://drive.google.com/open?id=10xhv7vy3irtFqB4uwlalaHDfwFIwiAco</v>
      </c>
      <c r="M6" s="22" t="str">
        <f>IFERROR(__xludf.DUMMYFUNCTION("""COMPUTED_VALUE"""),"https://drive.google.com/open?id=1i3I0yBWBZAUnQQN5VFngO53ZQQxoBL9S")</f>
        <v>https://drive.google.com/open?id=1i3I0yBWBZAUnQQN5VFngO53ZQQxoBL9S</v>
      </c>
      <c r="N6" s="21" t="str">
        <f>IFERROR(__xludf.DUMMYFUNCTION("""COMPUTED_VALUE"""),"DR VC SEKHAR")</f>
        <v>DR VC SEKHAR</v>
      </c>
      <c r="O6" s="21" t="str">
        <f>IFERROR(__xludf.DUMMYFUNCTION("""COMPUTED_VALUE"""),"DOCTOR, ADDITIONAL PROFESSOR, FMT, AIIMS DEOGARH")</f>
        <v>DOCTOR, ADDITIONAL PROFESSOR, FMT, AIIMS DEOGARH</v>
      </c>
      <c r="P6" s="21" t="str">
        <f>IFERROR(__xludf.DUMMYFUNCTION("""COMPUTED_VALUE"""),"Deogarh")</f>
        <v>Deogarh</v>
      </c>
      <c r="Q6" s="21">
        <f>IFERROR(__xludf.DUMMYFUNCTION("""COMPUTED_VALUE"""),9.985360834E9)</f>
        <v>9985360834</v>
      </c>
      <c r="R6" s="21" t="str">
        <f>IFERROR(__xludf.DUMMYFUNCTION("""COMPUTED_VALUE"""),"VADDE SHILA ROY")</f>
        <v>VADDE SHILA ROY</v>
      </c>
      <c r="S6" s="21" t="str">
        <f>IFERROR(__xludf.DUMMYFUNCTION("""COMPUTED_VALUE"""),"HOUSEWIFE")</f>
        <v>HOUSEWIFE</v>
      </c>
      <c r="T6" s="21" t="str">
        <f>IFERROR(__xludf.DUMMYFUNCTION("""COMPUTED_VALUE"""),"Kolkata")</f>
        <v>Kolkata</v>
      </c>
      <c r="U6" s="21">
        <f>IFERROR(__xludf.DUMMYFUNCTION("""COMPUTED_VALUE"""),9.392563015E9)</f>
        <v>9392563015</v>
      </c>
      <c r="V6" s="21">
        <f>IFERROR(__xludf.DUMMYFUNCTION("""COMPUTED_VALUE"""),2.0)</f>
        <v>2</v>
      </c>
      <c r="W6" s="21" t="str">
        <f>IFERROR(__xludf.DUMMYFUNCTION("""COMPUTED_VALUE"""),"Dr VC Sekhar")</f>
        <v>Dr VC Sekhar</v>
      </c>
      <c r="X6" s="21" t="str">
        <f>IFERROR(__xludf.DUMMYFUNCTION("""COMPUTED_VALUE"""),"Father")</f>
        <v>Father</v>
      </c>
      <c r="Y6" s="21" t="str">
        <f>IFERROR(__xludf.DUMMYFUNCTION("""COMPUTED_VALUE"""),"V Shila Roy")</f>
        <v>V Shila Roy</v>
      </c>
      <c r="Z6" s="21" t="str">
        <f>IFERROR(__xludf.DUMMYFUNCTION("""COMPUTED_VALUE"""),"Mother")</f>
        <v>Mother</v>
      </c>
      <c r="AA6" s="21" t="str">
        <f>IFERROR(__xludf.DUMMYFUNCTION("""COMPUTED_VALUE"""),"Non-Veg")</f>
        <v>Non-Veg</v>
      </c>
      <c r="AB6" s="21" t="str">
        <f>IFERROR(__xludf.DUMMYFUNCTION("""COMPUTED_VALUE"""),"Non-Veg")</f>
        <v>Non-Veg</v>
      </c>
      <c r="AC6" s="21" t="str">
        <f>IFERROR(__xludf.DUMMYFUNCTION("""COMPUTED_VALUE"""),"Non-Veg")</f>
        <v>Non-Veg</v>
      </c>
      <c r="AD6" s="21" t="str">
        <f>IFERROR(__xludf.DUMMYFUNCTION("""COMPUTED_VALUE"""),"Bus Drop Service not needed")</f>
        <v>Bus Drop Service not needed</v>
      </c>
      <c r="AE6" s="21">
        <f>IFERROR(__xludf.DUMMYFUNCTION("""COMPUTED_VALUE"""),0.0)</f>
        <v>0</v>
      </c>
    </row>
    <row r="7" ht="22.5" customHeight="1">
      <c r="A7" s="18">
        <f>IFERROR(__xludf.DUMMYFUNCTION("""COMPUTED_VALUE"""),46266.46422628472)</f>
        <v>46266.46423</v>
      </c>
      <c r="B7" s="21" t="str">
        <f>IFERROR(__xludf.DUMMYFUNCTION("""COMPUTED_VALUE"""),"sony.mbbs-2020@aiimskalyani.edu.in")</f>
        <v>sony.mbbs-2020@aiimskalyani.edu.in</v>
      </c>
      <c r="C7" s="21" t="str">
        <f>IFERROR(__xludf.DUMMYFUNCTION("""COMPUTED_VALUE"""),"SONY KHATOON ")</f>
        <v>SONY KHATOON </v>
      </c>
      <c r="D7" s="21" t="str">
        <f>IFERROR(__xludf.DUMMYFUNCTION("""COMPUTED_VALUE"""),"97/202001147")</f>
        <v>97/202001147</v>
      </c>
      <c r="E7" s="21" t="str">
        <f>IFERROR(__xludf.DUMMYFUNCTION("""COMPUTED_VALUE"""),"MBBS 2020")</f>
        <v>MBBS 2020</v>
      </c>
      <c r="F7" s="21">
        <f>IFERROR(__xludf.DUMMYFUNCTION("""COMPUTED_VALUE"""),8.709565947E9)</f>
        <v>8709565947</v>
      </c>
      <c r="G7" s="21" t="str">
        <f>IFERROR(__xludf.DUMMYFUNCTION("""COMPUTED_VALUE"""),"sony.mbbs-2020@aiimskalyani.edu.in")</f>
        <v>sony.mbbs-2020@aiimskalyani.edu.in</v>
      </c>
      <c r="H7" s="21" t="str">
        <f>IFERROR(__xludf.DUMMYFUNCTION("""COMPUTED_VALUE"""),"Yes")</f>
        <v>Yes</v>
      </c>
      <c r="I7" s="21" t="str">
        <f>IFERROR(__xludf.DUMMYFUNCTION("""COMPUTED_VALUE"""),"Gyming and dance")</f>
        <v>Gyming and dance</v>
      </c>
      <c r="J7" s="21" t="str">
        <f>IFERROR(__xludf.DUMMYFUNCTION("""COMPUTED_VALUE"""),"Marathons ")</f>
        <v>Marathons </v>
      </c>
      <c r="K7" s="21" t="str">
        <f>IFERROR(__xludf.DUMMYFUNCTION("""COMPUTED_VALUE"""),"Siwan")</f>
        <v>Siwan</v>
      </c>
      <c r="L7" s="22" t="str">
        <f>IFERROR(__xludf.DUMMYFUNCTION("""COMPUTED_VALUE"""),"https://drive.google.com/open?id=1CZRSnWf_Tvwz_LZCA7mBxfN3PmHu60v-")</f>
        <v>https://drive.google.com/open?id=1CZRSnWf_Tvwz_LZCA7mBxfN3PmHu60v-</v>
      </c>
      <c r="M7" s="22" t="str">
        <f>IFERROR(__xludf.DUMMYFUNCTION("""COMPUTED_VALUE"""),"https://drive.google.com/open?id=1-0aJHuCjtlKlezrTUbLXkRpkdhAF4M-v")</f>
        <v>https://drive.google.com/open?id=1-0aJHuCjtlKlezrTUbLXkRpkdhAF4M-v</v>
      </c>
      <c r="N7" s="21" t="str">
        <f>IFERROR(__xludf.DUMMYFUNCTION("""COMPUTED_VALUE"""),"MD Aslam ")</f>
        <v>MD Aslam </v>
      </c>
      <c r="O7" s="21" t="str">
        <f>IFERROR(__xludf.DUMMYFUNCTION("""COMPUTED_VALUE"""),"Business man")</f>
        <v>Business man</v>
      </c>
      <c r="P7" s="21" t="str">
        <f>IFERROR(__xludf.DUMMYFUNCTION("""COMPUTED_VALUE"""),"Siwan")</f>
        <v>Siwan</v>
      </c>
      <c r="Q7" s="21">
        <f>IFERROR(__xludf.DUMMYFUNCTION("""COMPUTED_VALUE"""),8.084542094E9)</f>
        <v>8084542094</v>
      </c>
      <c r="R7" s="21" t="str">
        <f>IFERROR(__xludf.DUMMYFUNCTION("""COMPUTED_VALUE"""),"Husan tara khatoon")</f>
        <v>Husan tara khatoon</v>
      </c>
      <c r="S7" s="21" t="str">
        <f>IFERROR(__xludf.DUMMYFUNCTION("""COMPUTED_VALUE"""),"Housewife ")</f>
        <v>Housewife </v>
      </c>
      <c r="T7" s="21" t="str">
        <f>IFERROR(__xludf.DUMMYFUNCTION("""COMPUTED_VALUE"""),"Siwan ")</f>
        <v>Siwan </v>
      </c>
      <c r="U7" s="21">
        <f>IFERROR(__xludf.DUMMYFUNCTION("""COMPUTED_VALUE"""),7.739530495E9)</f>
        <v>7739530495</v>
      </c>
      <c r="V7" s="21">
        <f>IFERROR(__xludf.DUMMYFUNCTION("""COMPUTED_VALUE"""),2.0)</f>
        <v>2</v>
      </c>
      <c r="W7" s="21" t="str">
        <f>IFERROR(__xludf.DUMMYFUNCTION("""COMPUTED_VALUE"""),"MD Aslam ")</f>
        <v>MD Aslam </v>
      </c>
      <c r="X7" s="21" t="str">
        <f>IFERROR(__xludf.DUMMYFUNCTION("""COMPUTED_VALUE"""),"Father ")</f>
        <v>Father </v>
      </c>
      <c r="Y7" s="21" t="str">
        <f>IFERROR(__xludf.DUMMYFUNCTION("""COMPUTED_VALUE"""),"Husan tara khatoon ")</f>
        <v>Husan tara khatoon </v>
      </c>
      <c r="Z7" s="21" t="str">
        <f>IFERROR(__xludf.DUMMYFUNCTION("""COMPUTED_VALUE"""),"Mother ")</f>
        <v>Mother </v>
      </c>
      <c r="AA7" s="21" t="str">
        <f>IFERROR(__xludf.DUMMYFUNCTION("""COMPUTED_VALUE"""),"Non-Veg")</f>
        <v>Non-Veg</v>
      </c>
      <c r="AB7" s="21" t="str">
        <f>IFERROR(__xludf.DUMMYFUNCTION("""COMPUTED_VALUE"""),"Non-Veg")</f>
        <v>Non-Veg</v>
      </c>
      <c r="AC7" s="21" t="str">
        <f>IFERROR(__xludf.DUMMYFUNCTION("""COMPUTED_VALUE"""),"Non-Veg")</f>
        <v>Non-Veg</v>
      </c>
      <c r="AD7" s="21" t="str">
        <f>IFERROR(__xludf.DUMMYFUNCTION("""COMPUTED_VALUE"""),"Bus Drop Service not needed")</f>
        <v>Bus Drop Service not needed</v>
      </c>
      <c r="AE7" s="21">
        <f>IFERROR(__xludf.DUMMYFUNCTION("""COMPUTED_VALUE"""),0.0)</f>
        <v>0</v>
      </c>
    </row>
    <row r="8" ht="22.5" customHeight="1">
      <c r="A8" s="18">
        <f>IFERROR(__xludf.DUMMYFUNCTION("""COMPUTED_VALUE"""),46266.00153799768)</f>
        <v>46266.00154</v>
      </c>
      <c r="B8" s="21" t="str">
        <f>IFERROR(__xludf.DUMMYFUNCTION("""COMPUTED_VALUE"""),"tanmay.mbbs-2020@aiimskalyani.edu.in")</f>
        <v>tanmay.mbbs-2020@aiimskalyani.edu.in</v>
      </c>
      <c r="C8" s="21" t="str">
        <f>IFERROR(__xludf.DUMMYFUNCTION("""COMPUTED_VALUE"""),"TANMAY SAHA")</f>
        <v>TANMAY SAHA</v>
      </c>
      <c r="D8" s="21" t="str">
        <f>IFERROR(__xludf.DUMMYFUNCTION("""COMPUTED_VALUE"""),"105/202001155")</f>
        <v>105/202001155</v>
      </c>
      <c r="E8" s="21" t="str">
        <f>IFERROR(__xludf.DUMMYFUNCTION("""COMPUTED_VALUE"""),"MBBS 2020")</f>
        <v>MBBS 2020</v>
      </c>
      <c r="F8" s="21">
        <f>IFERROR(__xludf.DUMMYFUNCTION("""COMPUTED_VALUE"""),6.290905708E9)</f>
        <v>6290905708</v>
      </c>
      <c r="G8" s="21" t="str">
        <f>IFERROR(__xludf.DUMMYFUNCTION("""COMPUTED_VALUE"""),"tanmay.mbbs-2020@aiimskalyani.edu.in")</f>
        <v>tanmay.mbbs-2020@aiimskalyani.edu.in</v>
      </c>
      <c r="H8" s="21" t="str">
        <f>IFERROR(__xludf.DUMMYFUNCTION("""COMPUTED_VALUE"""),"Yes")</f>
        <v>Yes</v>
      </c>
      <c r="I8" s="21" t="str">
        <f>IFERROR(__xludf.DUMMYFUNCTION("""COMPUTED_VALUE"""),"Playing cricket and listening to songs ")</f>
        <v>Playing cricket and listening to songs </v>
      </c>
      <c r="J8" s="21" t="str">
        <f>IFERROR(__xludf.DUMMYFUNCTION("""COMPUTED_VALUE"""),"Cricket , football ")</f>
        <v>Cricket , football </v>
      </c>
      <c r="K8" s="21" t="str">
        <f>IFERROR(__xludf.DUMMYFUNCTION("""COMPUTED_VALUE"""),"Kolkata")</f>
        <v>Kolkata</v>
      </c>
      <c r="L8" s="22" t="str">
        <f>IFERROR(__xludf.DUMMYFUNCTION("""COMPUTED_VALUE"""),"https://drive.google.com/open?id=11goryPOB2TYIacdjkzHvRVM6d1KfI3y1")</f>
        <v>https://drive.google.com/open?id=11goryPOB2TYIacdjkzHvRVM6d1KfI3y1</v>
      </c>
      <c r="M8" s="22" t="str">
        <f>IFERROR(__xludf.DUMMYFUNCTION("""COMPUTED_VALUE"""),"https://drive.google.com/open?id=1FHcUgE3Nn-ylYv8bQf9lYQNBHDDDEIGg")</f>
        <v>https://drive.google.com/open?id=1FHcUgE3Nn-ylYv8bQf9lYQNBHDDDEIGg</v>
      </c>
      <c r="N8" s="21" t="str">
        <f>IFERROR(__xludf.DUMMYFUNCTION("""COMPUTED_VALUE"""),"Goutam Saha")</f>
        <v>Goutam Saha</v>
      </c>
      <c r="O8" s="21" t="str">
        <f>IFERROR(__xludf.DUMMYFUNCTION("""COMPUTED_VALUE"""),"Businessman ")</f>
        <v>Businessman </v>
      </c>
      <c r="P8" s="21" t="str">
        <f>IFERROR(__xludf.DUMMYFUNCTION("""COMPUTED_VALUE"""),"Kolkata")</f>
        <v>Kolkata</v>
      </c>
      <c r="Q8" s="21">
        <f>IFERROR(__xludf.DUMMYFUNCTION("""COMPUTED_VALUE"""),9.051969119E9)</f>
        <v>9051969119</v>
      </c>
      <c r="R8" s="21" t="str">
        <f>IFERROR(__xludf.DUMMYFUNCTION("""COMPUTED_VALUE"""),"Uma Saha")</f>
        <v>Uma Saha</v>
      </c>
      <c r="S8" s="21" t="str">
        <f>IFERROR(__xludf.DUMMYFUNCTION("""COMPUTED_VALUE"""),"Housewife")</f>
        <v>Housewife</v>
      </c>
      <c r="T8" s="21" t="str">
        <f>IFERROR(__xludf.DUMMYFUNCTION("""COMPUTED_VALUE"""),"Kolkata")</f>
        <v>Kolkata</v>
      </c>
      <c r="U8" s="21">
        <f>IFERROR(__xludf.DUMMYFUNCTION("""COMPUTED_VALUE"""),7.003264069E9)</f>
        <v>7003264069</v>
      </c>
      <c r="V8" s="21">
        <f>IFERROR(__xludf.DUMMYFUNCTION("""COMPUTED_VALUE"""),2.0)</f>
        <v>2</v>
      </c>
      <c r="W8" s="21" t="str">
        <f>IFERROR(__xludf.DUMMYFUNCTION("""COMPUTED_VALUE"""),"Goutam Saha")</f>
        <v>Goutam Saha</v>
      </c>
      <c r="X8" s="21" t="str">
        <f>IFERROR(__xludf.DUMMYFUNCTION("""COMPUTED_VALUE"""),"Father")</f>
        <v>Father</v>
      </c>
      <c r="Y8" s="21" t="str">
        <f>IFERROR(__xludf.DUMMYFUNCTION("""COMPUTED_VALUE"""),"Uma Saha")</f>
        <v>Uma Saha</v>
      </c>
      <c r="Z8" s="21" t="str">
        <f>IFERROR(__xludf.DUMMYFUNCTION("""COMPUTED_VALUE"""),"Mother")</f>
        <v>Mother</v>
      </c>
      <c r="AA8" s="21" t="str">
        <f>IFERROR(__xludf.DUMMYFUNCTION("""COMPUTED_VALUE"""),"Non-Veg")</f>
        <v>Non-Veg</v>
      </c>
      <c r="AB8" s="21" t="str">
        <f>IFERROR(__xludf.DUMMYFUNCTION("""COMPUTED_VALUE"""),"Non-Veg")</f>
        <v>Non-Veg</v>
      </c>
      <c r="AC8" s="21" t="str">
        <f>IFERROR(__xludf.DUMMYFUNCTION("""COMPUTED_VALUE"""),"Non-Veg")</f>
        <v>Non-Veg</v>
      </c>
      <c r="AD8" s="21" t="str">
        <f>IFERROR(__xludf.DUMMYFUNCTION("""COMPUTED_VALUE"""),"Bus Drop Service not needed")</f>
        <v>Bus Drop Service not needed</v>
      </c>
      <c r="AE8" s="21"/>
    </row>
    <row r="9" ht="22.5" customHeight="1">
      <c r="A9" s="18">
        <f>IFERROR(__xludf.DUMMYFUNCTION("""COMPUTED_VALUE"""),46265.99744195602)</f>
        <v>46265.99744</v>
      </c>
      <c r="B9" s="21" t="str">
        <f>IFERROR(__xludf.DUMMYFUNCTION("""COMPUTED_VALUE"""),"ambuj.mbbs-2020@aiimskalyani.edu.in")</f>
        <v>ambuj.mbbs-2020@aiimskalyani.edu.in</v>
      </c>
      <c r="C9" s="21" t="str">
        <f>IFERROR(__xludf.DUMMYFUNCTION("""COMPUTED_VALUE"""),"AMBUJ PANDEY ")</f>
        <v>AMBUJ PANDEY </v>
      </c>
      <c r="D9" s="21" t="str">
        <f>IFERROR(__xludf.DUMMYFUNCTION("""COMPUTED_VALUE"""),"12/20200162")</f>
        <v>12/20200162</v>
      </c>
      <c r="E9" s="21" t="str">
        <f>IFERROR(__xludf.DUMMYFUNCTION("""COMPUTED_VALUE"""),"MBBS 2020")</f>
        <v>MBBS 2020</v>
      </c>
      <c r="F9" s="21">
        <f>IFERROR(__xludf.DUMMYFUNCTION("""COMPUTED_VALUE"""),8.858150858E9)</f>
        <v>8858150858</v>
      </c>
      <c r="G9" s="21" t="str">
        <f>IFERROR(__xludf.DUMMYFUNCTION("""COMPUTED_VALUE"""),"ambuj.mbbs-2020@aiimskalyani.edu.in")</f>
        <v>ambuj.mbbs-2020@aiimskalyani.edu.in</v>
      </c>
      <c r="H9" s="21" t="str">
        <f>IFERROR(__xludf.DUMMYFUNCTION("""COMPUTED_VALUE"""),"Yes")</f>
        <v>Yes</v>
      </c>
      <c r="I9" s="21" t="str">
        <f>IFERROR(__xludf.DUMMYFUNCTION("""COMPUTED_VALUE"""),"Poem writing and traveling ")</f>
        <v>Poem writing and traveling </v>
      </c>
      <c r="J9" s="21" t="str">
        <f>IFERROR(__xludf.DUMMYFUNCTION("""COMPUTED_VALUE"""),"Badminton and cricket ")</f>
        <v>Badminton and cricket </v>
      </c>
      <c r="K9" s="21" t="str">
        <f>IFERROR(__xludf.DUMMYFUNCTION("""COMPUTED_VALUE"""),"Pratapgarh Uttar Pradesh ")</f>
        <v>Pratapgarh Uttar Pradesh </v>
      </c>
      <c r="L9" s="22" t="str">
        <f>IFERROR(__xludf.DUMMYFUNCTION("""COMPUTED_VALUE"""),"https://drive.google.com/open?id=1yxXcQgKHp03sbWdJCsMI1uVsI9eGmgzX")</f>
        <v>https://drive.google.com/open?id=1yxXcQgKHp03sbWdJCsMI1uVsI9eGmgzX</v>
      </c>
      <c r="M9" s="22" t="str">
        <f>IFERROR(__xludf.DUMMYFUNCTION("""COMPUTED_VALUE"""),"https://drive.google.com/open?id=1a5dDewq0XyzTJdj2lmkaQFredhPZ8oiu")</f>
        <v>https://drive.google.com/open?id=1a5dDewq0XyzTJdj2lmkaQFredhPZ8oiu</v>
      </c>
      <c r="N9" s="21" t="str">
        <f>IFERROR(__xludf.DUMMYFUNCTION("""COMPUTED_VALUE"""),"Rakesh kumar pandey ")</f>
        <v>Rakesh kumar pandey </v>
      </c>
      <c r="O9" s="21" t="str">
        <f>IFERROR(__xludf.DUMMYFUNCTION("""COMPUTED_VALUE"""),"UP government teacher ")</f>
        <v>UP government teacher </v>
      </c>
      <c r="P9" s="21" t="str">
        <f>IFERROR(__xludf.DUMMYFUNCTION("""COMPUTED_VALUE"""),"Pratapgarh Uttar Pradesh ")</f>
        <v>Pratapgarh Uttar Pradesh </v>
      </c>
      <c r="Q9" s="21">
        <f>IFERROR(__xludf.DUMMYFUNCTION("""COMPUTED_VALUE"""),9.452691066E9)</f>
        <v>9452691066</v>
      </c>
      <c r="R9" s="21" t="str">
        <f>IFERROR(__xludf.DUMMYFUNCTION("""COMPUTED_VALUE"""),"Anita Pandey ")</f>
        <v>Anita Pandey </v>
      </c>
      <c r="S9" s="21" t="str">
        <f>IFERROR(__xludf.DUMMYFUNCTION("""COMPUTED_VALUE"""),"Homemaker ")</f>
        <v>Homemaker </v>
      </c>
      <c r="T9" s="21" t="str">
        <f>IFERROR(__xludf.DUMMYFUNCTION("""COMPUTED_VALUE"""),"Pratapgarh Uttar Pradesh ")</f>
        <v>Pratapgarh Uttar Pradesh </v>
      </c>
      <c r="U9" s="21">
        <f>IFERROR(__xludf.DUMMYFUNCTION("""COMPUTED_VALUE"""),7.880797519E9)</f>
        <v>7880797519</v>
      </c>
      <c r="V9" s="21">
        <f>IFERROR(__xludf.DUMMYFUNCTION("""COMPUTED_VALUE"""),0.0)</f>
        <v>0</v>
      </c>
      <c r="W9" s="21"/>
      <c r="X9" s="21"/>
      <c r="Y9" s="21"/>
      <c r="Z9" s="21"/>
      <c r="AA9" s="21" t="str">
        <f>IFERROR(__xludf.DUMMYFUNCTION("""COMPUTED_VALUE"""),"Veg")</f>
        <v>Veg</v>
      </c>
      <c r="AB9" s="21"/>
      <c r="AC9" s="21"/>
      <c r="AD9" s="21" t="str">
        <f>IFERROR(__xludf.DUMMYFUNCTION("""COMPUTED_VALUE"""),"Bus Drop Service not needed")</f>
        <v>Bus Drop Service not needed</v>
      </c>
      <c r="AE9" s="21">
        <f>IFERROR(__xludf.DUMMYFUNCTION("""COMPUTED_VALUE"""),0.0)</f>
        <v>0</v>
      </c>
    </row>
    <row r="10" ht="22.5" customHeight="1">
      <c r="A10" s="18">
        <f>IFERROR(__xludf.DUMMYFUNCTION("""COMPUTED_VALUE"""),46265.986441030094)</f>
        <v>46265.98644</v>
      </c>
      <c r="B10" s="21" t="str">
        <f>IFERROR(__xludf.DUMMYFUNCTION("""COMPUTED_VALUE"""),"shruti.mbbs-2020@aiimskalyani.edu.in")</f>
        <v>shruti.mbbs-2020@aiimskalyani.edu.in</v>
      </c>
      <c r="C10" s="21" t="str">
        <f>IFERROR(__xludf.DUMMYFUNCTION("""COMPUTED_VALUE"""),"SHRUTI JOSHI")</f>
        <v>SHRUTI JOSHI</v>
      </c>
      <c r="D10" s="21">
        <f>IFERROR(__xludf.DUMMYFUNCTION("""COMPUTED_VALUE"""),94.0)</f>
        <v>94</v>
      </c>
      <c r="E10" s="21" t="str">
        <f>IFERROR(__xludf.DUMMYFUNCTION("""COMPUTED_VALUE"""),"MBBS 2020")</f>
        <v>MBBS 2020</v>
      </c>
      <c r="F10" s="21">
        <f>IFERROR(__xludf.DUMMYFUNCTION("""COMPUTED_VALUE"""),8.696426826E9)</f>
        <v>8696426826</v>
      </c>
      <c r="G10" s="21" t="str">
        <f>IFERROR(__xludf.DUMMYFUNCTION("""COMPUTED_VALUE"""),"shrutijoshi0304@gmail.com")</f>
        <v>shrutijoshi0304@gmail.com</v>
      </c>
      <c r="H10" s="21" t="str">
        <f>IFERROR(__xludf.DUMMYFUNCTION("""COMPUTED_VALUE"""),"Yes")</f>
        <v>Yes</v>
      </c>
      <c r="I10" s="21" t="str">
        <f>IFERROR(__xludf.DUMMYFUNCTION("""COMPUTED_VALUE"""),"I enjoy music, travelling, and discovering new cultures. Exploring new places and perspectives is something I find both enriching and inspiring.")</f>
        <v>I enjoy music, travelling, and discovering new cultures. Exploring new places and perspectives is something I find both enriching and inspiring.</v>
      </c>
      <c r="J10" s="21" t="str">
        <f>IFERROR(__xludf.DUMMYFUNCTION("""COMPUTED_VALUE"""),"I actively engaged in Table Tennis and Volleyball, while also participating in debates and academic seminars.")</f>
        <v>I actively engaged in Table Tennis and Volleyball, while also participating in debates and academic seminars.</v>
      </c>
      <c r="K10" s="21" t="str">
        <f>IFERROR(__xludf.DUMMYFUNCTION("""COMPUTED_VALUE"""),"Sriganganagar ")</f>
        <v>Sriganganagar </v>
      </c>
      <c r="L10" s="22" t="str">
        <f>IFERROR(__xludf.DUMMYFUNCTION("""COMPUTED_VALUE"""),"https://drive.google.com/open?id=1Iuo0d78nvubtjbvAZTUSrp3IIgHANyga")</f>
        <v>https://drive.google.com/open?id=1Iuo0d78nvubtjbvAZTUSrp3IIgHANyga</v>
      </c>
      <c r="M10" s="22" t="str">
        <f>IFERROR(__xludf.DUMMYFUNCTION("""COMPUTED_VALUE"""),"https://drive.google.com/open?id=1YRsoLSkvFvuYI3QOjozfRsPJ7tcT5nOU")</f>
        <v>https://drive.google.com/open?id=1YRsoLSkvFvuYI3QOjozfRsPJ7tcT5nOU</v>
      </c>
      <c r="N10" s="21" t="str">
        <f>IFERROR(__xludf.DUMMYFUNCTION("""COMPUTED_VALUE"""),"Ramesh Kumar Joshi")</f>
        <v>Ramesh Kumar Joshi</v>
      </c>
      <c r="O10" s="21" t="str">
        <f>IFERROR(__xludf.DUMMYFUNCTION("""COMPUTED_VALUE"""),"Business Manager")</f>
        <v>Business Manager</v>
      </c>
      <c r="P10" s="21" t="str">
        <f>IFERROR(__xludf.DUMMYFUNCTION("""COMPUTED_VALUE"""),"Sriganganagar ")</f>
        <v>Sriganganagar </v>
      </c>
      <c r="Q10" s="21">
        <f>IFERROR(__xludf.DUMMYFUNCTION("""COMPUTED_VALUE"""),9.414948421E9)</f>
        <v>9414948421</v>
      </c>
      <c r="R10" s="21" t="str">
        <f>IFERROR(__xludf.DUMMYFUNCTION("""COMPUTED_VALUE"""),"Harsha Joshi")</f>
        <v>Harsha Joshi</v>
      </c>
      <c r="S10" s="21" t="str">
        <f>IFERROR(__xludf.DUMMYFUNCTION("""COMPUTED_VALUE"""),"Homemaker")</f>
        <v>Homemaker</v>
      </c>
      <c r="T10" s="21" t="str">
        <f>IFERROR(__xludf.DUMMYFUNCTION("""COMPUTED_VALUE"""),"Sriganganagar")</f>
        <v>Sriganganagar</v>
      </c>
      <c r="U10" s="21">
        <f>IFERROR(__xludf.DUMMYFUNCTION("""COMPUTED_VALUE"""),8.005540019E9)</f>
        <v>8005540019</v>
      </c>
      <c r="V10" s="21">
        <f>IFERROR(__xludf.DUMMYFUNCTION("""COMPUTED_VALUE"""),2.0)</f>
        <v>2</v>
      </c>
      <c r="W10" s="21" t="str">
        <f>IFERROR(__xludf.DUMMYFUNCTION("""COMPUTED_VALUE"""),"Ramesh Kumar Joshi ")</f>
        <v>Ramesh Kumar Joshi </v>
      </c>
      <c r="X10" s="21" t="str">
        <f>IFERROR(__xludf.DUMMYFUNCTION("""COMPUTED_VALUE"""),"Father ")</f>
        <v>Father </v>
      </c>
      <c r="Y10" s="21" t="str">
        <f>IFERROR(__xludf.DUMMYFUNCTION("""COMPUTED_VALUE"""),"Harsha Joshi ")</f>
        <v>Harsha Joshi </v>
      </c>
      <c r="Z10" s="21" t="str">
        <f>IFERROR(__xludf.DUMMYFUNCTION("""COMPUTED_VALUE"""),"Mother")</f>
        <v>Mother</v>
      </c>
      <c r="AA10" s="21" t="str">
        <f>IFERROR(__xludf.DUMMYFUNCTION("""COMPUTED_VALUE"""),"Veg")</f>
        <v>Veg</v>
      </c>
      <c r="AB10" s="21" t="str">
        <f>IFERROR(__xludf.DUMMYFUNCTION("""COMPUTED_VALUE"""),"Veg")</f>
        <v>Veg</v>
      </c>
      <c r="AC10" s="21" t="str">
        <f>IFERROR(__xludf.DUMMYFUNCTION("""COMPUTED_VALUE"""),"Veg")</f>
        <v>Veg</v>
      </c>
      <c r="AD10" s="21" t="str">
        <f>IFERROR(__xludf.DUMMYFUNCTION("""COMPUTED_VALUE"""),"Drop at Kolkata Airport")</f>
        <v>Drop at Kolkata Airport</v>
      </c>
      <c r="AE10" s="21">
        <f>IFERROR(__xludf.DUMMYFUNCTION("""COMPUTED_VALUE"""),3.0)</f>
        <v>3</v>
      </c>
    </row>
    <row r="11" ht="22.5" customHeight="1">
      <c r="A11" s="18">
        <f>IFERROR(__xludf.DUMMYFUNCTION("""COMPUTED_VALUE"""),46265.98223854166)</f>
        <v>46265.98224</v>
      </c>
      <c r="B11" s="21" t="str">
        <f>IFERROR(__xludf.DUMMYFUNCTION("""COMPUTED_VALUE"""),"anurag.mbbs-2020@aiimskalyani.edu.in")</f>
        <v>anurag.mbbs-2020@aiimskalyani.edu.in</v>
      </c>
      <c r="C11" s="21" t="str">
        <f>IFERROR(__xludf.DUMMYFUNCTION("""COMPUTED_VALUE"""),"ANURAG DASH")</f>
        <v>ANURAG DASH</v>
      </c>
      <c r="D11" s="21" t="str">
        <f>IFERROR(__xludf.DUMMYFUNCTION("""COMPUTED_VALUE"""),"20/20200170")</f>
        <v>20/20200170</v>
      </c>
      <c r="E11" s="21" t="str">
        <f>IFERROR(__xludf.DUMMYFUNCTION("""COMPUTED_VALUE"""),"MBBS 2020")</f>
        <v>MBBS 2020</v>
      </c>
      <c r="F11" s="21">
        <f>IFERROR(__xludf.DUMMYFUNCTION("""COMPUTED_VALUE"""),6.372093986E9)</f>
        <v>6372093986</v>
      </c>
      <c r="G11" s="21" t="str">
        <f>IFERROR(__xludf.DUMMYFUNCTION("""COMPUTED_VALUE"""),"anurag.mbbs-2020@aiimskalyani.edu.in")</f>
        <v>anurag.mbbs-2020@aiimskalyani.edu.in</v>
      </c>
      <c r="H11" s="21" t="str">
        <f>IFERROR(__xludf.DUMMYFUNCTION("""COMPUTED_VALUE"""),"Yes")</f>
        <v>Yes</v>
      </c>
      <c r="I11" s="21" t="str">
        <f>IFERROR(__xludf.DUMMYFUNCTION("""COMPUTED_VALUE"""),"Playing chess")</f>
        <v>Playing chess</v>
      </c>
      <c r="J11" s="21" t="str">
        <f>IFERROR(__xludf.DUMMYFUNCTION("""COMPUTED_VALUE"""),"Quizzes ")</f>
        <v>Quizzes </v>
      </c>
      <c r="K11" s="21" t="str">
        <f>IFERROR(__xludf.DUMMYFUNCTION("""COMPUTED_VALUE"""),"Berhampur, Odisha")</f>
        <v>Berhampur, Odisha</v>
      </c>
      <c r="L11" s="22" t="str">
        <f>IFERROR(__xludf.DUMMYFUNCTION("""COMPUTED_VALUE"""),"https://drive.google.com/open?id=186LcgNOSkGAlU3RLkMn2rUPaWAjK7isa")</f>
        <v>https://drive.google.com/open?id=186LcgNOSkGAlU3RLkMn2rUPaWAjK7isa</v>
      </c>
      <c r="M11" s="22" t="str">
        <f>IFERROR(__xludf.DUMMYFUNCTION("""COMPUTED_VALUE"""),"https://drive.google.com/open?id=1gxavYVwvB4XMS9LExB-QV4jEsZX5sR-S")</f>
        <v>https://drive.google.com/open?id=1gxavYVwvB4XMS9LExB-QV4jEsZX5sR-S</v>
      </c>
      <c r="N11" s="21" t="str">
        <f>IFERROR(__xludf.DUMMYFUNCTION("""COMPUTED_VALUE"""),"Sushanta Kumar Dash")</f>
        <v>Sushanta Kumar Dash</v>
      </c>
      <c r="O11" s="21" t="str">
        <f>IFERROR(__xludf.DUMMYFUNCTION("""COMPUTED_VALUE"""),"Pensioner")</f>
        <v>Pensioner</v>
      </c>
      <c r="P11" s="21" t="str">
        <f>IFERROR(__xludf.DUMMYFUNCTION("""COMPUTED_VALUE"""),"Berhampur")</f>
        <v>Berhampur</v>
      </c>
      <c r="Q11" s="21">
        <f>IFERROR(__xludf.DUMMYFUNCTION("""COMPUTED_VALUE"""),9.437927325E9)</f>
        <v>9437927325</v>
      </c>
      <c r="R11" s="21" t="str">
        <f>IFERROR(__xludf.DUMMYFUNCTION("""COMPUTED_VALUE"""),"Swarnalata Dash")</f>
        <v>Swarnalata Dash</v>
      </c>
      <c r="S11" s="21" t="str">
        <f>IFERROR(__xludf.DUMMYFUNCTION("""COMPUTED_VALUE"""),"Homemaker")</f>
        <v>Homemaker</v>
      </c>
      <c r="T11" s="21" t="str">
        <f>IFERROR(__xludf.DUMMYFUNCTION("""COMPUTED_VALUE"""),"Berhampur")</f>
        <v>Berhampur</v>
      </c>
      <c r="U11" s="21">
        <f>IFERROR(__xludf.DUMMYFUNCTION("""COMPUTED_VALUE"""),9.438617625E9)</f>
        <v>9438617625</v>
      </c>
      <c r="V11" s="21">
        <f>IFERROR(__xludf.DUMMYFUNCTION("""COMPUTED_VALUE"""),2.0)</f>
        <v>2</v>
      </c>
      <c r="W11" s="21" t="str">
        <f>IFERROR(__xludf.DUMMYFUNCTION("""COMPUTED_VALUE"""),"Sushanta Kumar Dash")</f>
        <v>Sushanta Kumar Dash</v>
      </c>
      <c r="X11" s="21" t="str">
        <f>IFERROR(__xludf.DUMMYFUNCTION("""COMPUTED_VALUE"""),"Father")</f>
        <v>Father</v>
      </c>
      <c r="Y11" s="21" t="str">
        <f>IFERROR(__xludf.DUMMYFUNCTION("""COMPUTED_VALUE"""),"Swarnalata Dash")</f>
        <v>Swarnalata Dash</v>
      </c>
      <c r="Z11" s="21" t="str">
        <f>IFERROR(__xludf.DUMMYFUNCTION("""COMPUTED_VALUE"""),"Mother")</f>
        <v>Mother</v>
      </c>
      <c r="AA11" s="21" t="str">
        <f>IFERROR(__xludf.DUMMYFUNCTION("""COMPUTED_VALUE"""),"Non-Veg")</f>
        <v>Non-Veg</v>
      </c>
      <c r="AB11" s="21" t="str">
        <f>IFERROR(__xludf.DUMMYFUNCTION("""COMPUTED_VALUE"""),"Veg")</f>
        <v>Veg</v>
      </c>
      <c r="AC11" s="21" t="str">
        <f>IFERROR(__xludf.DUMMYFUNCTION("""COMPUTED_VALUE"""),"Veg")</f>
        <v>Veg</v>
      </c>
      <c r="AD11" s="21" t="str">
        <f>IFERROR(__xludf.DUMMYFUNCTION("""COMPUTED_VALUE"""),"Bus Drop Service not needed")</f>
        <v>Bus Drop Service not needed</v>
      </c>
      <c r="AE11" s="21">
        <f>IFERROR(__xludf.DUMMYFUNCTION("""COMPUTED_VALUE"""),0.0)</f>
        <v>0</v>
      </c>
    </row>
    <row r="12" ht="22.5" customHeight="1">
      <c r="A12" s="18">
        <f>IFERROR(__xludf.DUMMYFUNCTION("""COMPUTED_VALUE"""),46265.98220789352)</f>
        <v>46265.98221</v>
      </c>
      <c r="B12" s="21" t="str">
        <f>IFERROR(__xludf.DUMMYFUNCTION("""COMPUTED_VALUE"""),"devi.mbbs-2020@aiimskalyani.edu.in")</f>
        <v>devi.mbbs-2020@aiimskalyani.edu.in</v>
      </c>
      <c r="C12" s="21" t="str">
        <f>IFERROR(__xludf.DUMMYFUNCTION("""COMPUTED_VALUE"""),"DEVI NAMBIAR")</f>
        <v>DEVI NAMBIAR</v>
      </c>
      <c r="D12" s="21">
        <f>IFERROR(__xludf.DUMMYFUNCTION("""COMPUTED_VALUE"""),2.0200193E7)</f>
        <v>20200193</v>
      </c>
      <c r="E12" s="21" t="str">
        <f>IFERROR(__xludf.DUMMYFUNCTION("""COMPUTED_VALUE"""),"MBBS 2020")</f>
        <v>MBBS 2020</v>
      </c>
      <c r="F12" s="21">
        <f>IFERROR(__xludf.DUMMYFUNCTION("""COMPUTED_VALUE"""),7.356912559E9)</f>
        <v>7356912559</v>
      </c>
      <c r="G12" s="21" t="str">
        <f>IFERROR(__xludf.DUMMYFUNCTION("""COMPUTED_VALUE"""),"devi.d.nambiar@gmail.com")</f>
        <v>devi.d.nambiar@gmail.com</v>
      </c>
      <c r="H12" s="21" t="str">
        <f>IFERROR(__xludf.DUMMYFUNCTION("""COMPUTED_VALUE"""),"Yes")</f>
        <v>Yes</v>
      </c>
      <c r="I12" s="21" t="str">
        <f>IFERROR(__xludf.DUMMYFUNCTION("""COMPUTED_VALUE"""),"Bharatnatyam 
watercolor painting
Cat lover 
Literature
Quizzing
Swimming 
Tennis
")</f>
        <v>Bharatnatyam 
watercolor painting
Cat lover 
Literature
Quizzing
Swimming 
Tennis
</v>
      </c>
      <c r="J12" s="21" t="str">
        <f>IFERROR(__xludf.DUMMYFUNCTION("""COMPUTED_VALUE"""),"Ex Cultural secretary 
Ex SPIC MACAY Secretary 
Multiple intra college awards for Bharatnatyam 
watercolor painting Literature Quizzing
Ted x patna first prize poster making competition ")</f>
        <v>Ex Cultural secretary 
Ex SPIC MACAY Secretary 
Multiple intra college awards for Bharatnatyam 
watercolor painting Literature Quizzing
Ted x patna first prize poster making competition </v>
      </c>
      <c r="K12" s="21" t="str">
        <f>IFERROR(__xludf.DUMMYFUNCTION("""COMPUTED_VALUE"""),"BANGALORE ")</f>
        <v>BANGALORE </v>
      </c>
      <c r="L12" s="22" t="str">
        <f>IFERROR(__xludf.DUMMYFUNCTION("""COMPUTED_VALUE"""),"https://drive.google.com/open?id=1Y2dZr6oqriAc0VBw54p-NnkUfKaydew5")</f>
        <v>https://drive.google.com/open?id=1Y2dZr6oqriAc0VBw54p-NnkUfKaydew5</v>
      </c>
      <c r="M12" s="22" t="str">
        <f>IFERROR(__xludf.DUMMYFUNCTION("""COMPUTED_VALUE"""),"https://drive.google.com/open?id=11dQChh1KE1x2YIy-noS9o1we8DGi7Mfv")</f>
        <v>https://drive.google.com/open?id=11dQChh1KE1x2YIy-noS9o1we8DGi7Mfv</v>
      </c>
      <c r="N12" s="21" t="str">
        <f>IFERROR(__xludf.DUMMYFUNCTION("""COMPUTED_VALUE"""),"DILEEP PURAVANKARA ")</f>
        <v>DILEEP PURAVANKARA </v>
      </c>
      <c r="O12" s="21" t="str">
        <f>IFERROR(__xludf.DUMMYFUNCTION("""COMPUTED_VALUE"""),"SOFTWARE ENGINEER ")</f>
        <v>SOFTWARE ENGINEER </v>
      </c>
      <c r="P12" s="21" t="str">
        <f>IFERROR(__xludf.DUMMYFUNCTION("""COMPUTED_VALUE"""),"BANGALORE ")</f>
        <v>BANGALORE </v>
      </c>
      <c r="Q12" s="21">
        <f>IFERROR(__xludf.DUMMYFUNCTION("""COMPUTED_VALUE"""),9.88617735E9)</f>
        <v>9886177350</v>
      </c>
      <c r="R12" s="21" t="str">
        <f>IFERROR(__xludf.DUMMYFUNCTION("""COMPUTED_VALUE"""),"VEENA S N ")</f>
        <v>VEENA S N </v>
      </c>
      <c r="S12" s="21" t="str">
        <f>IFERROR(__xludf.DUMMYFUNCTION("""COMPUTED_VALUE"""),"CIVIL ENGINEER")</f>
        <v>CIVIL ENGINEER</v>
      </c>
      <c r="T12" s="21" t="str">
        <f>IFERROR(__xludf.DUMMYFUNCTION("""COMPUTED_VALUE"""),"BANGALORE ")</f>
        <v>BANGALORE </v>
      </c>
      <c r="U12" s="21">
        <f>IFERROR(__xludf.DUMMYFUNCTION("""COMPUTED_VALUE"""),9.886101921E9)</f>
        <v>9886101921</v>
      </c>
      <c r="V12" s="21">
        <f>IFERROR(__xludf.DUMMYFUNCTION("""COMPUTED_VALUE"""),2.0)</f>
        <v>2</v>
      </c>
      <c r="W12" s="21" t="str">
        <f>IFERROR(__xludf.DUMMYFUNCTION("""COMPUTED_VALUE"""),"VEENA S N")</f>
        <v>VEENA S N</v>
      </c>
      <c r="X12" s="21" t="str">
        <f>IFERROR(__xludf.DUMMYFUNCTION("""COMPUTED_VALUE"""),"MOTHER")</f>
        <v>MOTHER</v>
      </c>
      <c r="Y12" s="21" t="str">
        <f>IFERROR(__xludf.DUMMYFUNCTION("""COMPUTED_VALUE"""),"DILEEP PURAVANKARA ")</f>
        <v>DILEEP PURAVANKARA </v>
      </c>
      <c r="Z12" s="21" t="str">
        <f>IFERROR(__xludf.DUMMYFUNCTION("""COMPUTED_VALUE"""),"FATHER ")</f>
        <v>FATHER </v>
      </c>
      <c r="AA12" s="21" t="str">
        <f>IFERROR(__xludf.DUMMYFUNCTION("""COMPUTED_VALUE"""),"Non-Veg")</f>
        <v>Non-Veg</v>
      </c>
      <c r="AB12" s="21" t="str">
        <f>IFERROR(__xludf.DUMMYFUNCTION("""COMPUTED_VALUE"""),"Non-Veg")</f>
        <v>Non-Veg</v>
      </c>
      <c r="AC12" s="21" t="str">
        <f>IFERROR(__xludf.DUMMYFUNCTION("""COMPUTED_VALUE"""),"Veg")</f>
        <v>Veg</v>
      </c>
      <c r="AD12" s="21" t="str">
        <f>IFERROR(__xludf.DUMMYFUNCTION("""COMPUTED_VALUE"""),"Drop at Kolkata Airport")</f>
        <v>Drop at Kolkata Airport</v>
      </c>
      <c r="AE12" s="21"/>
    </row>
    <row r="13" ht="22.5" customHeight="1">
      <c r="A13" s="18">
        <f>IFERROR(__xludf.DUMMYFUNCTION("""COMPUTED_VALUE"""),46265.97097018518)</f>
        <v>46265.97097</v>
      </c>
      <c r="B13" s="21" t="str">
        <f>IFERROR(__xludf.DUMMYFUNCTION("""COMPUTED_VALUE"""),"meenakshi.mbbs-2020@aiimskalyani.edu.in")</f>
        <v>meenakshi.mbbs-2020@aiimskalyani.edu.in</v>
      </c>
      <c r="C13" s="21" t="str">
        <f>IFERROR(__xludf.DUMMYFUNCTION("""COMPUTED_VALUE"""),"MEENAKSHI MINA")</f>
        <v>MEENAKSHI MINA</v>
      </c>
      <c r="D13" s="21">
        <f>IFERROR(__xludf.DUMMYFUNCTION("""COMPUTED_VALUE"""),2.02001111E8)</f>
        <v>202001111</v>
      </c>
      <c r="E13" s="21" t="str">
        <f>IFERROR(__xludf.DUMMYFUNCTION("""COMPUTED_VALUE"""),"MBBS 2020")</f>
        <v>MBBS 2020</v>
      </c>
      <c r="F13" s="21">
        <f>IFERROR(__xludf.DUMMYFUNCTION("""COMPUTED_VALUE"""),6.367552915E9)</f>
        <v>6367552915</v>
      </c>
      <c r="G13" s="21" t="str">
        <f>IFERROR(__xludf.DUMMYFUNCTION("""COMPUTED_VALUE"""),"meenakshi.mbbs-2020@aiimskalyani.edu.in")</f>
        <v>meenakshi.mbbs-2020@aiimskalyani.edu.in</v>
      </c>
      <c r="H13" s="21" t="str">
        <f>IFERROR(__xludf.DUMMYFUNCTION("""COMPUTED_VALUE"""),"Yes")</f>
        <v>Yes</v>
      </c>
      <c r="I13" s="21" t="str">
        <f>IFERROR(__xludf.DUMMYFUNCTION("""COMPUTED_VALUE"""),"Arts , painting ")</f>
        <v>Arts , painting </v>
      </c>
      <c r="J13" s="21" t="str">
        <f>IFERROR(__xludf.DUMMYFUNCTION("""COMPUTED_VALUE"""),"Running, swiming,badminton ")</f>
        <v>Running, swiming,badminton </v>
      </c>
      <c r="K13" s="21" t="str">
        <f>IFERROR(__xludf.DUMMYFUNCTION("""COMPUTED_VALUE"""),"Jhalawar ")</f>
        <v>Jhalawar </v>
      </c>
      <c r="L13" s="22" t="str">
        <f>IFERROR(__xludf.DUMMYFUNCTION("""COMPUTED_VALUE"""),"https://drive.google.com/open?id=1Tpl57DoaUPa_GxVxbIOx1j_egxVgcI7H")</f>
        <v>https://drive.google.com/open?id=1Tpl57DoaUPa_GxVxbIOx1j_egxVgcI7H</v>
      </c>
      <c r="M13" s="22" t="str">
        <f>IFERROR(__xludf.DUMMYFUNCTION("""COMPUTED_VALUE"""),"https://drive.google.com/open?id=1HzBSs6YLa97rZJUyb8eoZBRTlxP_rFt8")</f>
        <v>https://drive.google.com/open?id=1HzBSs6YLa97rZJUyb8eoZBRTlxP_rFt8</v>
      </c>
      <c r="N13" s="21" t="str">
        <f>IFERROR(__xludf.DUMMYFUNCTION("""COMPUTED_VALUE"""),"Madan lal mina")</f>
        <v>Madan lal mina</v>
      </c>
      <c r="O13" s="21" t="str">
        <f>IFERROR(__xludf.DUMMYFUNCTION("""COMPUTED_VALUE"""),"Business")</f>
        <v>Business</v>
      </c>
      <c r="P13" s="21" t="str">
        <f>IFERROR(__xludf.DUMMYFUNCTION("""COMPUTED_VALUE"""),"Jhalawar ")</f>
        <v>Jhalawar </v>
      </c>
      <c r="Q13" s="21">
        <f>IFERROR(__xludf.DUMMYFUNCTION("""COMPUTED_VALUE"""),9.829809231E9)</f>
        <v>9829809231</v>
      </c>
      <c r="R13" s="21" t="str">
        <f>IFERROR(__xludf.DUMMYFUNCTION("""COMPUTED_VALUE"""),"Sona mina")</f>
        <v>Sona mina</v>
      </c>
      <c r="S13" s="21" t="str">
        <f>IFERROR(__xludf.DUMMYFUNCTION("""COMPUTED_VALUE"""),"Housemaker ")</f>
        <v>Housemaker </v>
      </c>
      <c r="T13" s="21" t="str">
        <f>IFERROR(__xludf.DUMMYFUNCTION("""COMPUTED_VALUE"""),"Jhalawar ")</f>
        <v>Jhalawar </v>
      </c>
      <c r="U13" s="21">
        <f>IFERROR(__xludf.DUMMYFUNCTION("""COMPUTED_VALUE"""),7.625789646E9)</f>
        <v>7625789646</v>
      </c>
      <c r="V13" s="21">
        <f>IFERROR(__xludf.DUMMYFUNCTION("""COMPUTED_VALUE"""),2.0)</f>
        <v>2</v>
      </c>
      <c r="W13" s="21" t="str">
        <f>IFERROR(__xludf.DUMMYFUNCTION("""COMPUTED_VALUE"""),"Madan lal mina ")</f>
        <v>Madan lal mina </v>
      </c>
      <c r="X13" s="21" t="str">
        <f>IFERROR(__xludf.DUMMYFUNCTION("""COMPUTED_VALUE"""),"Father")</f>
        <v>Father</v>
      </c>
      <c r="Y13" s="21" t="str">
        <f>IFERROR(__xludf.DUMMYFUNCTION("""COMPUTED_VALUE"""),"Sona mina")</f>
        <v>Sona mina</v>
      </c>
      <c r="Z13" s="21" t="str">
        <f>IFERROR(__xludf.DUMMYFUNCTION("""COMPUTED_VALUE"""),"Mother ")</f>
        <v>Mother </v>
      </c>
      <c r="AA13" s="21" t="str">
        <f>IFERROR(__xludf.DUMMYFUNCTION("""COMPUTED_VALUE"""),"Veg")</f>
        <v>Veg</v>
      </c>
      <c r="AB13" s="21" t="str">
        <f>IFERROR(__xludf.DUMMYFUNCTION("""COMPUTED_VALUE"""),"Veg")</f>
        <v>Veg</v>
      </c>
      <c r="AC13" s="21" t="str">
        <f>IFERROR(__xludf.DUMMYFUNCTION("""COMPUTED_VALUE"""),"Veg")</f>
        <v>Veg</v>
      </c>
      <c r="AD13" s="21" t="str">
        <f>IFERROR(__xludf.DUMMYFUNCTION("""COMPUTED_VALUE"""),"Bus Drop Service not needed")</f>
        <v>Bus Drop Service not needed</v>
      </c>
      <c r="AE13" s="21">
        <f>IFERROR(__xludf.DUMMYFUNCTION("""COMPUTED_VALUE"""),0.0)</f>
        <v>0</v>
      </c>
    </row>
    <row r="14" ht="22.5" customHeight="1">
      <c r="A14" s="18">
        <f>IFERROR(__xludf.DUMMYFUNCTION("""COMPUTED_VALUE"""),46265.96833175926)</f>
        <v>46265.96833</v>
      </c>
      <c r="B14" s="21" t="str">
        <f>IFERROR(__xludf.DUMMYFUNCTION("""COMPUTED_VALUE"""),"dannana.mbbs-2020@aiimskalyani.edu.in")</f>
        <v>dannana.mbbs-2020@aiimskalyani.edu.in</v>
      </c>
      <c r="C14" s="21" t="str">
        <f>IFERROR(__xludf.DUMMYFUNCTION("""COMPUTED_VALUE"""),"DANNANA GAYATHRI ")</f>
        <v>DANNANA GAYATHRI </v>
      </c>
      <c r="D14" s="21">
        <f>IFERROR(__xludf.DUMMYFUNCTION("""COMPUTED_VALUE"""),2.020019E7)</f>
        <v>20200190</v>
      </c>
      <c r="E14" s="21" t="str">
        <f>IFERROR(__xludf.DUMMYFUNCTION("""COMPUTED_VALUE"""),"MBBS 2020")</f>
        <v>MBBS 2020</v>
      </c>
      <c r="F14" s="21">
        <f>IFERROR(__xludf.DUMMYFUNCTION("""COMPUTED_VALUE"""),9.381481345E9)</f>
        <v>9381481345</v>
      </c>
      <c r="G14" s="21" t="str">
        <f>IFERROR(__xludf.DUMMYFUNCTION("""COMPUTED_VALUE"""),"dannana.mbbs-2020@aiimskalyani.edu.in")</f>
        <v>dannana.mbbs-2020@aiimskalyani.edu.in</v>
      </c>
      <c r="H14" s="21" t="str">
        <f>IFERROR(__xludf.DUMMYFUNCTION("""COMPUTED_VALUE"""),"Yes")</f>
        <v>Yes</v>
      </c>
      <c r="I14" s="21" t="str">
        <f>IFERROR(__xludf.DUMMYFUNCTION("""COMPUTED_VALUE"""),"Playing badminton, reading novels")</f>
        <v>Playing badminton, reading novels</v>
      </c>
      <c r="J14" s="21"/>
      <c r="K14" s="21" t="str">
        <f>IFERROR(__xludf.DUMMYFUNCTION("""COMPUTED_VALUE"""),"Srikakulam ")</f>
        <v>Srikakulam </v>
      </c>
      <c r="L14" s="22" t="str">
        <f>IFERROR(__xludf.DUMMYFUNCTION("""COMPUTED_VALUE"""),"https://drive.google.com/open?id=1QgNvJRjBx2uD2u8FCp2CWvw3gahNBdsB")</f>
        <v>https://drive.google.com/open?id=1QgNvJRjBx2uD2u8FCp2CWvw3gahNBdsB</v>
      </c>
      <c r="M14" s="22" t="str">
        <f>IFERROR(__xludf.DUMMYFUNCTION("""COMPUTED_VALUE"""),"https://drive.google.com/open?id=1w81KoCwLdyLKxJ-F8wznvKmVk_OBhZuK")</f>
        <v>https://drive.google.com/open?id=1w81KoCwLdyLKxJ-F8wznvKmVk_OBhZuK</v>
      </c>
      <c r="N14" s="21" t="str">
        <f>IFERROR(__xludf.DUMMYFUNCTION("""COMPUTED_VALUE"""),"D Gurunadham Naidu")</f>
        <v>D Gurunadham Naidu</v>
      </c>
      <c r="O14" s="21" t="str">
        <f>IFERROR(__xludf.DUMMYFUNCTION("""COMPUTED_VALUE"""),"Govt employe (police dept)")</f>
        <v>Govt employe (police dept)</v>
      </c>
      <c r="P14" s="21" t="str">
        <f>IFERROR(__xludf.DUMMYFUNCTION("""COMPUTED_VALUE"""),"Srikakulam ")</f>
        <v>Srikakulam </v>
      </c>
      <c r="Q14" s="21">
        <f>IFERROR(__xludf.DUMMYFUNCTION("""COMPUTED_VALUE"""),9.701578607E9)</f>
        <v>9701578607</v>
      </c>
      <c r="R14" s="21" t="str">
        <f>IFERROR(__xludf.DUMMYFUNCTION("""COMPUTED_VALUE"""),"D Bhanumathi")</f>
        <v>D Bhanumathi</v>
      </c>
      <c r="S14" s="21" t="str">
        <f>IFERROR(__xludf.DUMMYFUNCTION("""COMPUTED_VALUE"""),"Home maker")</f>
        <v>Home maker</v>
      </c>
      <c r="T14" s="21" t="str">
        <f>IFERROR(__xludf.DUMMYFUNCTION("""COMPUTED_VALUE"""),"Srikakulam ")</f>
        <v>Srikakulam </v>
      </c>
      <c r="U14" s="21">
        <f>IFERROR(__xludf.DUMMYFUNCTION("""COMPUTED_VALUE"""),8.520932901E9)</f>
        <v>8520932901</v>
      </c>
      <c r="V14" s="21">
        <f>IFERROR(__xludf.DUMMYFUNCTION("""COMPUTED_VALUE"""),2.0)</f>
        <v>2</v>
      </c>
      <c r="W14" s="21" t="str">
        <f>IFERROR(__xludf.DUMMYFUNCTION("""COMPUTED_VALUE"""),"D Gurunadham naidu")</f>
        <v>D Gurunadham naidu</v>
      </c>
      <c r="X14" s="21" t="str">
        <f>IFERROR(__xludf.DUMMYFUNCTION("""COMPUTED_VALUE"""),"Father")</f>
        <v>Father</v>
      </c>
      <c r="Y14" s="21" t="str">
        <f>IFERROR(__xludf.DUMMYFUNCTION("""COMPUTED_VALUE"""),"D Tarun kumar")</f>
        <v>D Tarun kumar</v>
      </c>
      <c r="Z14" s="21" t="str">
        <f>IFERROR(__xludf.DUMMYFUNCTION("""COMPUTED_VALUE"""),"Brother")</f>
        <v>Brother</v>
      </c>
      <c r="AA14" s="21" t="str">
        <f>IFERROR(__xludf.DUMMYFUNCTION("""COMPUTED_VALUE"""),"Non-Veg")</f>
        <v>Non-Veg</v>
      </c>
      <c r="AB14" s="21" t="str">
        <f>IFERROR(__xludf.DUMMYFUNCTION("""COMPUTED_VALUE"""),"Non-Veg")</f>
        <v>Non-Veg</v>
      </c>
      <c r="AC14" s="21" t="str">
        <f>IFERROR(__xludf.DUMMYFUNCTION("""COMPUTED_VALUE"""),"Non-Veg")</f>
        <v>Non-Veg</v>
      </c>
      <c r="AD14" s="21" t="str">
        <f>IFERROR(__xludf.DUMMYFUNCTION("""COMPUTED_VALUE"""),"Bus Drop Service not needed")</f>
        <v>Bus Drop Service not needed</v>
      </c>
      <c r="AE14" s="21"/>
    </row>
    <row r="15" ht="22.5" customHeight="1">
      <c r="A15" s="18">
        <f>IFERROR(__xludf.DUMMYFUNCTION("""COMPUTED_VALUE"""),46265.95055366898)</f>
        <v>46265.95055</v>
      </c>
      <c r="B15" s="21" t="str">
        <f>IFERROR(__xludf.DUMMYFUNCTION("""COMPUTED_VALUE"""),"sadia.mbbs-2020@aiimskalyani.edu.in")</f>
        <v>sadia.mbbs-2020@aiimskalyani.edu.in</v>
      </c>
      <c r="C15" s="21" t="str">
        <f>IFERROR(__xludf.DUMMYFUNCTION("""COMPUTED_VALUE"""),"SADIA ASAD")</f>
        <v>SADIA ASAD</v>
      </c>
      <c r="D15" s="21">
        <f>IFERROR(__xludf.DUMMYFUNCTION("""COMPUTED_VALUE"""),81.0)</f>
        <v>81</v>
      </c>
      <c r="E15" s="21" t="str">
        <f>IFERROR(__xludf.DUMMYFUNCTION("""COMPUTED_VALUE"""),"MBBS 2020")</f>
        <v>MBBS 2020</v>
      </c>
      <c r="F15" s="21">
        <f>IFERROR(__xludf.DUMMYFUNCTION("""COMPUTED_VALUE"""),9.334519662E9)</f>
        <v>9334519662</v>
      </c>
      <c r="G15" s="21" t="str">
        <f>IFERROR(__xludf.DUMMYFUNCTION("""COMPUTED_VALUE"""),"asad.sadia145@gmail.com")</f>
        <v>asad.sadia145@gmail.com</v>
      </c>
      <c r="H15" s="21" t="str">
        <f>IFERROR(__xludf.DUMMYFUNCTION("""COMPUTED_VALUE"""),"Yes")</f>
        <v>Yes</v>
      </c>
      <c r="I15" s="21" t="str">
        <f>IFERROR(__xludf.DUMMYFUNCTION("""COMPUTED_VALUE"""),"Reading")</f>
        <v>Reading</v>
      </c>
      <c r="J15" s="21"/>
      <c r="K15" s="21" t="str">
        <f>IFERROR(__xludf.DUMMYFUNCTION("""COMPUTED_VALUE"""),"Patna")</f>
        <v>Patna</v>
      </c>
      <c r="L15" s="22" t="str">
        <f>IFERROR(__xludf.DUMMYFUNCTION("""COMPUTED_VALUE"""),"https://drive.google.com/open?id=1OboaLdslWSE_VFpgS6LQ6bbGtwL4HwVZ")</f>
        <v>https://drive.google.com/open?id=1OboaLdslWSE_VFpgS6LQ6bbGtwL4HwVZ</v>
      </c>
      <c r="M15" s="22" t="str">
        <f>IFERROR(__xludf.DUMMYFUNCTION("""COMPUTED_VALUE"""),"https://drive.google.com/open?id=1M4hyYkBu6Cwfqdle_Jz4K-P6tWLEcVKj")</f>
        <v>https://drive.google.com/open?id=1M4hyYkBu6Cwfqdle_Jz4K-P6tWLEcVKj</v>
      </c>
      <c r="N15" s="21" t="str">
        <f>IFERROR(__xludf.DUMMYFUNCTION("""COMPUTED_VALUE"""),"Asad Ahmad")</f>
        <v>Asad Ahmad</v>
      </c>
      <c r="O15" s="21" t="str">
        <f>IFERROR(__xludf.DUMMYFUNCTION("""COMPUTED_VALUE"""),"Business man")</f>
        <v>Business man</v>
      </c>
      <c r="P15" s="21" t="str">
        <f>IFERROR(__xludf.DUMMYFUNCTION("""COMPUTED_VALUE"""),"Patna")</f>
        <v>Patna</v>
      </c>
      <c r="Q15" s="21">
        <f>IFERROR(__xludf.DUMMYFUNCTION("""COMPUTED_VALUE"""),7.992436561E9)</f>
        <v>7992436561</v>
      </c>
      <c r="R15" s="21" t="str">
        <f>IFERROR(__xludf.DUMMYFUNCTION("""COMPUTED_VALUE"""),"NIKHAT SULTANA")</f>
        <v>NIKHAT SULTANA</v>
      </c>
      <c r="S15" s="21" t="str">
        <f>IFERROR(__xludf.DUMMYFUNCTION("""COMPUTED_VALUE"""),"Homemaker")</f>
        <v>Homemaker</v>
      </c>
      <c r="T15" s="21" t="str">
        <f>IFERROR(__xludf.DUMMYFUNCTION("""COMPUTED_VALUE"""),"Patna")</f>
        <v>Patna</v>
      </c>
      <c r="U15" s="21">
        <f>IFERROR(__xludf.DUMMYFUNCTION("""COMPUTED_VALUE"""),7.563980622E9)</f>
        <v>7563980622</v>
      </c>
      <c r="V15" s="21">
        <f>IFERROR(__xludf.DUMMYFUNCTION("""COMPUTED_VALUE"""),2.0)</f>
        <v>2</v>
      </c>
      <c r="W15" s="21" t="str">
        <f>IFERROR(__xludf.DUMMYFUNCTION("""COMPUTED_VALUE"""),"Asad Ahmad")</f>
        <v>Asad Ahmad</v>
      </c>
      <c r="X15" s="21" t="str">
        <f>IFERROR(__xludf.DUMMYFUNCTION("""COMPUTED_VALUE"""),"Father")</f>
        <v>Father</v>
      </c>
      <c r="Y15" s="21" t="str">
        <f>IFERROR(__xludf.DUMMYFUNCTION("""COMPUTED_VALUE"""),"Nikhat Sultana")</f>
        <v>Nikhat Sultana</v>
      </c>
      <c r="Z15" s="21" t="str">
        <f>IFERROR(__xludf.DUMMYFUNCTION("""COMPUTED_VALUE"""),"Mother")</f>
        <v>Mother</v>
      </c>
      <c r="AA15" s="21" t="str">
        <f>IFERROR(__xludf.DUMMYFUNCTION("""COMPUTED_VALUE"""),"Non-Veg")</f>
        <v>Non-Veg</v>
      </c>
      <c r="AB15" s="21" t="str">
        <f>IFERROR(__xludf.DUMMYFUNCTION("""COMPUTED_VALUE"""),"Non-Veg")</f>
        <v>Non-Veg</v>
      </c>
      <c r="AC15" s="21" t="str">
        <f>IFERROR(__xludf.DUMMYFUNCTION("""COMPUTED_VALUE"""),"Non-Veg")</f>
        <v>Non-Veg</v>
      </c>
      <c r="AD15" s="21"/>
      <c r="AE15" s="21"/>
    </row>
    <row r="16" ht="22.5" customHeight="1">
      <c r="A16" s="18">
        <f>IFERROR(__xludf.DUMMYFUNCTION("""COMPUTED_VALUE"""),46265.93915467593)</f>
        <v>46265.93915</v>
      </c>
      <c r="B16" s="21" t="str">
        <f>IFERROR(__xludf.DUMMYFUNCTION("""COMPUTED_VALUE"""),"raghav.mbbs-2020@aiimskalyani.edu.in")</f>
        <v>raghav.mbbs-2020@aiimskalyani.edu.in</v>
      </c>
      <c r="C16" s="21" t="str">
        <f>IFERROR(__xludf.DUMMYFUNCTION("""COMPUTED_VALUE"""),"Jajoo Raghav Bhushan")</f>
        <v>Jajoo Raghav Bhushan</v>
      </c>
      <c r="D16" s="21">
        <f>IFERROR(__xludf.DUMMYFUNCTION("""COMPUTED_VALUE"""),2.02001104E8)</f>
        <v>202001104</v>
      </c>
      <c r="E16" s="21" t="str">
        <f>IFERROR(__xludf.DUMMYFUNCTION("""COMPUTED_VALUE"""),"MBBS 2020")</f>
        <v>MBBS 2020</v>
      </c>
      <c r="F16" s="21">
        <f>IFERROR(__xludf.DUMMYFUNCTION("""COMPUTED_VALUE"""),9.028844721E9)</f>
        <v>9028844721</v>
      </c>
      <c r="G16" s="21" t="str">
        <f>IFERROR(__xludf.DUMMYFUNCTION("""COMPUTED_VALUE"""),"dr.raghavjajoo@gmail.com")</f>
        <v>dr.raghavjajoo@gmail.com</v>
      </c>
      <c r="H16" s="21" t="str">
        <f>IFERROR(__xludf.DUMMYFUNCTION("""COMPUTED_VALUE"""),"Yes")</f>
        <v>Yes</v>
      </c>
      <c r="I16" s="21" t="str">
        <f>IFERROR(__xludf.DUMMYFUNCTION("""COMPUTED_VALUE"""),"Reading comics, learning about latest technological advancements")</f>
        <v>Reading comics, learning about latest technological advancements</v>
      </c>
      <c r="J16" s="21"/>
      <c r="K16" s="21" t="str">
        <f>IFERROR(__xludf.DUMMYFUNCTION("""COMPUTED_VALUE"""),"Akola, Maharashtra")</f>
        <v>Akola, Maharashtra</v>
      </c>
      <c r="L16" s="22" t="str">
        <f>IFERROR(__xludf.DUMMYFUNCTION("""COMPUTED_VALUE"""),"https://drive.google.com/open?id=1w-dlCL4gT0_WB-hCqveVhpyrCUzzYjUY")</f>
        <v>https://drive.google.com/open?id=1w-dlCL4gT0_WB-hCqveVhpyrCUzzYjUY</v>
      </c>
      <c r="M16" s="22" t="str">
        <f>IFERROR(__xludf.DUMMYFUNCTION("""COMPUTED_VALUE"""),"https://drive.google.com/open?id=1_RQbsyY23VX7jkJaUt516rn0AUuD56It")</f>
        <v>https://drive.google.com/open?id=1_RQbsyY23VX7jkJaUt516rn0AUuD56It</v>
      </c>
      <c r="N16" s="21" t="str">
        <f>IFERROR(__xludf.DUMMYFUNCTION("""COMPUTED_VALUE"""),"Bhushan Shyamsunder Jajoo")</f>
        <v>Bhushan Shyamsunder Jajoo</v>
      </c>
      <c r="O16" s="21" t="str">
        <f>IFERROR(__xludf.DUMMYFUNCTION("""COMPUTED_VALUE"""),"Chartered Accountant")</f>
        <v>Chartered Accountant</v>
      </c>
      <c r="P16" s="21" t="str">
        <f>IFERROR(__xludf.DUMMYFUNCTION("""COMPUTED_VALUE"""),"Akola, Maharashtra")</f>
        <v>Akola, Maharashtra</v>
      </c>
      <c r="Q16" s="21">
        <f>IFERROR(__xludf.DUMMYFUNCTION("""COMPUTED_VALUE"""),9.422164721E9)</f>
        <v>9422164721</v>
      </c>
      <c r="R16" s="21" t="str">
        <f>IFERROR(__xludf.DUMMYFUNCTION("""COMPUTED_VALUE"""),"Rakhee Bhushan Jajoo")</f>
        <v>Rakhee Bhushan Jajoo</v>
      </c>
      <c r="S16" s="21" t="str">
        <f>IFERROR(__xludf.DUMMYFUNCTION("""COMPUTED_VALUE"""),"Homemaker")</f>
        <v>Homemaker</v>
      </c>
      <c r="T16" s="21" t="str">
        <f>IFERROR(__xludf.DUMMYFUNCTION("""COMPUTED_VALUE"""),"Akola, Maharashtra")</f>
        <v>Akola, Maharashtra</v>
      </c>
      <c r="U16" s="21">
        <f>IFERROR(__xludf.DUMMYFUNCTION("""COMPUTED_VALUE"""),9.42258866E9)</f>
        <v>9422588660</v>
      </c>
      <c r="V16" s="21">
        <f>IFERROR(__xludf.DUMMYFUNCTION("""COMPUTED_VALUE"""),2.0)</f>
        <v>2</v>
      </c>
      <c r="W16" s="21" t="str">
        <f>IFERROR(__xludf.DUMMYFUNCTION("""COMPUTED_VALUE"""),"Bhushan Shyamsunder Jajoo")</f>
        <v>Bhushan Shyamsunder Jajoo</v>
      </c>
      <c r="X16" s="21" t="str">
        <f>IFERROR(__xludf.DUMMYFUNCTION("""COMPUTED_VALUE"""),"Father")</f>
        <v>Father</v>
      </c>
      <c r="Y16" s="21" t="str">
        <f>IFERROR(__xludf.DUMMYFUNCTION("""COMPUTED_VALUE"""),"Rakhee Bhushan Jajoo")</f>
        <v>Rakhee Bhushan Jajoo</v>
      </c>
      <c r="Z16" s="21" t="str">
        <f>IFERROR(__xludf.DUMMYFUNCTION("""COMPUTED_VALUE"""),"Mother")</f>
        <v>Mother</v>
      </c>
      <c r="AA16" s="21" t="str">
        <f>IFERROR(__xludf.DUMMYFUNCTION("""COMPUTED_VALUE"""),"Veg")</f>
        <v>Veg</v>
      </c>
      <c r="AB16" s="21" t="str">
        <f>IFERROR(__xludf.DUMMYFUNCTION("""COMPUTED_VALUE"""),"Veg")</f>
        <v>Veg</v>
      </c>
      <c r="AC16" s="21" t="str">
        <f>IFERROR(__xludf.DUMMYFUNCTION("""COMPUTED_VALUE"""),"Veg")</f>
        <v>Veg</v>
      </c>
      <c r="AD16" s="21" t="str">
        <f>IFERROR(__xludf.DUMMYFUNCTION("""COMPUTED_VALUE"""),"Bus Drop Service not needed")</f>
        <v>Bus Drop Service not needed</v>
      </c>
      <c r="AE16" s="21">
        <f>IFERROR(__xludf.DUMMYFUNCTION("""COMPUTED_VALUE"""),0.0)</f>
        <v>0</v>
      </c>
    </row>
    <row r="17" ht="22.5" customHeight="1">
      <c r="A17" s="18">
        <f>IFERROR(__xludf.DUMMYFUNCTION("""COMPUTED_VALUE"""),46265.92654341435)</f>
        <v>46265.92654</v>
      </c>
      <c r="B17" s="21" t="str">
        <f>IFERROR(__xludf.DUMMYFUNCTION("""COMPUTED_VALUE"""),"dilshana.mbbs-2020@aiimskalyani.edu.in")</f>
        <v>dilshana.mbbs-2020@aiimskalyani.edu.in</v>
      </c>
      <c r="C17" s="21" t="str">
        <f>IFERROR(__xludf.DUMMYFUNCTION("""COMPUTED_VALUE"""),"DILSHANA")</f>
        <v>DILSHANA</v>
      </c>
      <c r="D17" s="21">
        <f>IFERROR(__xludf.DUMMYFUNCTION("""COMPUTED_VALUE"""),2.0200196E7)</f>
        <v>20200196</v>
      </c>
      <c r="E17" s="21" t="str">
        <f>IFERROR(__xludf.DUMMYFUNCTION("""COMPUTED_VALUE"""),"MBBS 2020")</f>
        <v>MBBS 2020</v>
      </c>
      <c r="F17" s="21">
        <f>IFERROR(__xludf.DUMMYFUNCTION("""COMPUTED_VALUE"""),9.048548253E9)</f>
        <v>9048548253</v>
      </c>
      <c r="G17" s="21" t="str">
        <f>IFERROR(__xludf.DUMMYFUNCTION("""COMPUTED_VALUE"""),"dilshana.mbbs-2020@aiimskalyani.edu.in")</f>
        <v>dilshana.mbbs-2020@aiimskalyani.edu.in</v>
      </c>
      <c r="H17" s="21" t="str">
        <f>IFERROR(__xludf.DUMMYFUNCTION("""COMPUTED_VALUE"""),"Yes")</f>
        <v>Yes</v>
      </c>
      <c r="I17" s="21" t="str">
        <f>IFERROR(__xludf.DUMMYFUNCTION("""COMPUTED_VALUE"""),"Reading books, watching movies and series, and travelling.")</f>
        <v>Reading books, watching movies and series, and travelling.</v>
      </c>
      <c r="J17" s="21" t="str">
        <f>IFERROR(__xludf.DUMMYFUNCTION("""COMPUTED_VALUE"""),"Quiz competitions")</f>
        <v>Quiz competitions</v>
      </c>
      <c r="K17" s="21" t="str">
        <f>IFERROR(__xludf.DUMMYFUNCTION("""COMPUTED_VALUE"""),"Manjeri ")</f>
        <v>Manjeri </v>
      </c>
      <c r="L17" s="22" t="str">
        <f>IFERROR(__xludf.DUMMYFUNCTION("""COMPUTED_VALUE"""),"https://drive.google.com/open?id=1mwvfinyTu_GlNS7PFEptZd9hpZlvKQt7")</f>
        <v>https://drive.google.com/open?id=1mwvfinyTu_GlNS7PFEptZd9hpZlvKQt7</v>
      </c>
      <c r="M17" s="22" t="str">
        <f>IFERROR(__xludf.DUMMYFUNCTION("""COMPUTED_VALUE"""),"https://drive.google.com/open?id=1uR5vsOrSI85HE4CPSUghFcqzikifUj7l")</f>
        <v>https://drive.google.com/open?id=1uR5vsOrSI85HE4CPSUghFcqzikifUj7l</v>
      </c>
      <c r="N17" s="21" t="str">
        <f>IFERROR(__xludf.DUMMYFUNCTION("""COMPUTED_VALUE"""),"Nazeer")</f>
        <v>Nazeer</v>
      </c>
      <c r="O17" s="21" t="str">
        <f>IFERROR(__xludf.DUMMYFUNCTION("""COMPUTED_VALUE"""),"Business ")</f>
        <v>Business </v>
      </c>
      <c r="P17" s="21" t="str">
        <f>IFERROR(__xludf.DUMMYFUNCTION("""COMPUTED_VALUE"""),"Manjeri ")</f>
        <v>Manjeri </v>
      </c>
      <c r="Q17" s="21">
        <f>IFERROR(__xludf.DUMMYFUNCTION("""COMPUTED_VALUE"""),9.495174049E9)</f>
        <v>9495174049</v>
      </c>
      <c r="R17" s="21" t="str">
        <f>IFERROR(__xludf.DUMMYFUNCTION("""COMPUTED_VALUE"""),"Ameen Rasiyana ")</f>
        <v>Ameen Rasiyana </v>
      </c>
      <c r="S17" s="21" t="str">
        <f>IFERROR(__xludf.DUMMYFUNCTION("""COMPUTED_VALUE"""),"Homemaker")</f>
        <v>Homemaker</v>
      </c>
      <c r="T17" s="21" t="str">
        <f>IFERROR(__xludf.DUMMYFUNCTION("""COMPUTED_VALUE"""),"Manjeri")</f>
        <v>Manjeri</v>
      </c>
      <c r="U17" s="21">
        <f>IFERROR(__xludf.DUMMYFUNCTION("""COMPUTED_VALUE"""),9.048497082E9)</f>
        <v>9048497082</v>
      </c>
      <c r="V17" s="21">
        <f>IFERROR(__xludf.DUMMYFUNCTION("""COMPUTED_VALUE"""),2.0)</f>
        <v>2</v>
      </c>
      <c r="W17" s="21" t="str">
        <f>IFERROR(__xludf.DUMMYFUNCTION("""COMPUTED_VALUE"""),"Nazeer")</f>
        <v>Nazeer</v>
      </c>
      <c r="X17" s="21" t="str">
        <f>IFERROR(__xludf.DUMMYFUNCTION("""COMPUTED_VALUE"""),"Father")</f>
        <v>Father</v>
      </c>
      <c r="Y17" s="21" t="str">
        <f>IFERROR(__xludf.DUMMYFUNCTION("""COMPUTED_VALUE"""),"Ameen Rasiyana")</f>
        <v>Ameen Rasiyana</v>
      </c>
      <c r="Z17" s="21" t="str">
        <f>IFERROR(__xludf.DUMMYFUNCTION("""COMPUTED_VALUE"""),"Mother")</f>
        <v>Mother</v>
      </c>
      <c r="AA17" s="21" t="str">
        <f>IFERROR(__xludf.DUMMYFUNCTION("""COMPUTED_VALUE"""),"Non-Veg")</f>
        <v>Non-Veg</v>
      </c>
      <c r="AB17" s="21" t="str">
        <f>IFERROR(__xludf.DUMMYFUNCTION("""COMPUTED_VALUE"""),"Non-Veg")</f>
        <v>Non-Veg</v>
      </c>
      <c r="AC17" s="21" t="str">
        <f>IFERROR(__xludf.DUMMYFUNCTION("""COMPUTED_VALUE"""),"Non-Veg")</f>
        <v>Non-Veg</v>
      </c>
      <c r="AD17" s="21"/>
      <c r="AE17" s="21"/>
    </row>
    <row r="18" ht="22.5" customHeight="1">
      <c r="A18" s="18">
        <f>IFERROR(__xludf.DUMMYFUNCTION("""COMPUTED_VALUE"""),46265.92494744213)</f>
        <v>46265.92495</v>
      </c>
      <c r="B18" s="21" t="str">
        <f>IFERROR(__xludf.DUMMYFUNCTION("""COMPUTED_VALUE"""),"debbani.mbbs-2020@aiimskalyani.edu.in")</f>
        <v>debbani.mbbs-2020@aiimskalyani.edu.in</v>
      </c>
      <c r="C18" s="21" t="str">
        <f>IFERROR(__xludf.DUMMYFUNCTION("""COMPUTED_VALUE"""),"DEBBANI BOSE ")</f>
        <v>DEBBANI BOSE </v>
      </c>
      <c r="D18" s="21">
        <f>IFERROR(__xludf.DUMMYFUNCTION("""COMPUTED_VALUE"""),2.0200191E7)</f>
        <v>20200191</v>
      </c>
      <c r="E18" s="21" t="str">
        <f>IFERROR(__xludf.DUMMYFUNCTION("""COMPUTED_VALUE"""),"MBBS 2020")</f>
        <v>MBBS 2020</v>
      </c>
      <c r="F18" s="21">
        <f>IFERROR(__xludf.DUMMYFUNCTION("""COMPUTED_VALUE"""),9.945925702E9)</f>
        <v>9945925702</v>
      </c>
      <c r="G18" s="21" t="str">
        <f>IFERROR(__xludf.DUMMYFUNCTION("""COMPUTED_VALUE"""),"debbanibose@gmail.com")</f>
        <v>debbanibose@gmail.com</v>
      </c>
      <c r="H18" s="21" t="str">
        <f>IFERROR(__xludf.DUMMYFUNCTION("""COMPUTED_VALUE"""),"Yes")</f>
        <v>Yes</v>
      </c>
      <c r="I18" s="21" t="str">
        <f>IFERROR(__xludf.DUMMYFUNCTION("""COMPUTED_VALUE"""),"Poetry and writing.")</f>
        <v>Poetry and writing.</v>
      </c>
      <c r="J18" s="21" t="str">
        <f>IFERROR(__xludf.DUMMYFUNCTION("""COMPUTED_VALUE"""),"
- Former Literary club Head from 2023-24.
- Former Student council member.
- 1st place in AIIMS RBL Parichay '21.
- 1st place in AIIMS Bathinda Aroha '21.
- Published in Jublieum- book of complication of poems, for my piece on teenagers dealing with body"&amp;" image issues and mental health illnesses.")</f>
        <v>
- Former Literary club Head from 2023-24.
- Former Student council member.
- 1st place in AIIMS RBL Parichay '21.
- 1st place in AIIMS Bathinda Aroha '21.
- Published in Jublieum- book of complication of poems, for my piece on teenagers dealing with body image issues and mental health illnesses.</v>
      </c>
      <c r="K18" s="21" t="str">
        <f>IFERROR(__xludf.DUMMYFUNCTION("""COMPUTED_VALUE"""),"Bangalore, Karnataka.")</f>
        <v>Bangalore, Karnataka.</v>
      </c>
      <c r="L18" s="22" t="str">
        <f>IFERROR(__xludf.DUMMYFUNCTION("""COMPUTED_VALUE"""),"https://drive.google.com/open?id=1bxSA1M8vDxdA9SRzFjtp8DsGBzonvqE0")</f>
        <v>https://drive.google.com/open?id=1bxSA1M8vDxdA9SRzFjtp8DsGBzonvqE0</v>
      </c>
      <c r="M18" s="22" t="str">
        <f>IFERROR(__xludf.DUMMYFUNCTION("""COMPUTED_VALUE"""),"https://drive.google.com/open?id=1NDNGIUV1WswD5-HvnX6C0v1n_4ZYWLYP")</f>
        <v>https://drive.google.com/open?id=1NDNGIUV1WswD5-HvnX6C0v1n_4ZYWLYP</v>
      </c>
      <c r="N18" s="21" t="str">
        <f>IFERROR(__xludf.DUMMYFUNCTION("""COMPUTED_VALUE"""),"DIPTIMAN BOSE")</f>
        <v>DIPTIMAN BOSE</v>
      </c>
      <c r="O18" s="21" t="str">
        <f>IFERROR(__xludf.DUMMYFUNCTION("""COMPUTED_VALUE"""),"Software Engineer ")</f>
        <v>Software Engineer </v>
      </c>
      <c r="P18" s="21" t="str">
        <f>IFERROR(__xludf.DUMMYFUNCTION("""COMPUTED_VALUE"""),"Bangalore ")</f>
        <v>Bangalore </v>
      </c>
      <c r="Q18" s="21">
        <f>IFERROR(__xludf.DUMMYFUNCTION("""COMPUTED_VALUE"""),9.53571546E9)</f>
        <v>9535715460</v>
      </c>
      <c r="R18" s="21" t="str">
        <f>IFERROR(__xludf.DUMMYFUNCTION("""COMPUTED_VALUE"""),"MAITRAYEE BOSE")</f>
        <v>MAITRAYEE BOSE</v>
      </c>
      <c r="S18" s="21" t="str">
        <f>IFERROR(__xludf.DUMMYFUNCTION("""COMPUTED_VALUE"""),"Civil advocate ")</f>
        <v>Civil advocate </v>
      </c>
      <c r="T18" s="21" t="str">
        <f>IFERROR(__xludf.DUMMYFUNCTION("""COMPUTED_VALUE"""),"Bangalore ")</f>
        <v>Bangalore </v>
      </c>
      <c r="U18" s="21">
        <f>IFERROR(__xludf.DUMMYFUNCTION("""COMPUTED_VALUE"""),9.108893316E9)</f>
        <v>9108893316</v>
      </c>
      <c r="V18" s="21">
        <f>IFERROR(__xludf.DUMMYFUNCTION("""COMPUTED_VALUE"""),2.0)</f>
        <v>2</v>
      </c>
      <c r="W18" s="21" t="str">
        <f>IFERROR(__xludf.DUMMYFUNCTION("""COMPUTED_VALUE"""),"ANINDITA BOSE")</f>
        <v>ANINDITA BOSE</v>
      </c>
      <c r="X18" s="21" t="str">
        <f>IFERROR(__xludf.DUMMYFUNCTION("""COMPUTED_VALUE"""),"Grandmother")</f>
        <v>Grandmother</v>
      </c>
      <c r="Y18" s="21" t="str">
        <f>IFERROR(__xludf.DUMMYFUNCTION("""COMPUTED_VALUE"""),"CHAITALI NAG")</f>
        <v>CHAITALI NAG</v>
      </c>
      <c r="Z18" s="21" t="str">
        <f>IFERROR(__xludf.DUMMYFUNCTION("""COMPUTED_VALUE"""),"Grandmother ")</f>
        <v>Grandmother </v>
      </c>
      <c r="AA18" s="21" t="str">
        <f>IFERROR(__xludf.DUMMYFUNCTION("""COMPUTED_VALUE"""),"Non-Veg")</f>
        <v>Non-Veg</v>
      </c>
      <c r="AB18" s="21" t="str">
        <f>IFERROR(__xludf.DUMMYFUNCTION("""COMPUTED_VALUE"""),"Veg")</f>
        <v>Veg</v>
      </c>
      <c r="AC18" s="21" t="str">
        <f>IFERROR(__xludf.DUMMYFUNCTION("""COMPUTED_VALUE"""),"Non-Veg")</f>
        <v>Non-Veg</v>
      </c>
      <c r="AD18" s="21" t="str">
        <f>IFERROR(__xludf.DUMMYFUNCTION("""COMPUTED_VALUE"""),"Drop at Kolkata Airport")</f>
        <v>Drop at Kolkata Airport</v>
      </c>
      <c r="AE18" s="21">
        <f>IFERROR(__xludf.DUMMYFUNCTION("""COMPUTED_VALUE"""),3.0)</f>
        <v>3</v>
      </c>
    </row>
    <row r="19" ht="22.5" customHeight="1">
      <c r="A19" s="18">
        <f>IFERROR(__xludf.DUMMYFUNCTION("""COMPUTED_VALUE"""),46265.912566122686)</f>
        <v>46265.91257</v>
      </c>
      <c r="B19" s="21" t="str">
        <f>IFERROR(__xludf.DUMMYFUNCTION("""COMPUTED_VALUE"""),"aditya.mbbs-2020@aiimskalyani.edu.in")</f>
        <v>aditya.mbbs-2020@aiimskalyani.edu.in</v>
      </c>
      <c r="C19" s="21" t="str">
        <f>IFERROR(__xludf.DUMMYFUNCTION("""COMPUTED_VALUE"""),"ADITYA KUMAR")</f>
        <v>ADITYA KUMAR</v>
      </c>
      <c r="D19" s="21">
        <f>IFERROR(__xludf.DUMMYFUNCTION("""COMPUTED_VALUE"""),2.0200155E7)</f>
        <v>20200155</v>
      </c>
      <c r="E19" s="21" t="str">
        <f>IFERROR(__xludf.DUMMYFUNCTION("""COMPUTED_VALUE"""),"MBBS 2020")</f>
        <v>MBBS 2020</v>
      </c>
      <c r="F19" s="21">
        <f>IFERROR(__xludf.DUMMYFUNCTION("""COMPUTED_VALUE"""),8.102771334E9)</f>
        <v>8102771334</v>
      </c>
      <c r="G19" s="21" t="str">
        <f>IFERROR(__xludf.DUMMYFUNCTION("""COMPUTED_VALUE"""),"draditya1199@gmail.com")</f>
        <v>draditya1199@gmail.com</v>
      </c>
      <c r="H19" s="21" t="str">
        <f>IFERROR(__xludf.DUMMYFUNCTION("""COMPUTED_VALUE"""),"Yes")</f>
        <v>Yes</v>
      </c>
      <c r="I19" s="21"/>
      <c r="J19" s="21"/>
      <c r="K19" s="21" t="str">
        <f>IFERROR(__xludf.DUMMYFUNCTION("""COMPUTED_VALUE"""),"Pagra, Dalsinghsarai")</f>
        <v>Pagra, Dalsinghsarai</v>
      </c>
      <c r="L19" s="22" t="str">
        <f>IFERROR(__xludf.DUMMYFUNCTION("""COMPUTED_VALUE"""),"https://drive.google.com/open?id=1Y1foghnEA07kwud4sQLKKV6zRzOM15n9")</f>
        <v>https://drive.google.com/open?id=1Y1foghnEA07kwud4sQLKKV6zRzOM15n9</v>
      </c>
      <c r="M19" s="22" t="str">
        <f>IFERROR(__xludf.DUMMYFUNCTION("""COMPUTED_VALUE"""),"https://drive.google.com/open?id=1asIqFYiXtPw0r4rZI-vGyuIlVhENGzDl")</f>
        <v>https://drive.google.com/open?id=1asIqFYiXtPw0r4rZI-vGyuIlVhENGzDl</v>
      </c>
      <c r="N19" s="21" t="str">
        <f>IFERROR(__xludf.DUMMYFUNCTION("""COMPUTED_VALUE"""),"Krishna kumar singh")</f>
        <v>Krishna kumar singh</v>
      </c>
      <c r="O19" s="21" t="str">
        <f>IFERROR(__xludf.DUMMYFUNCTION("""COMPUTED_VALUE"""),"Job")</f>
        <v>Job</v>
      </c>
      <c r="P19" s="21" t="str">
        <f>IFERROR(__xludf.DUMMYFUNCTION("""COMPUTED_VALUE"""),"Pagra, Dalsinghsarai")</f>
        <v>Pagra, Dalsinghsarai</v>
      </c>
      <c r="Q19" s="21">
        <f>IFERROR(__xludf.DUMMYFUNCTION("""COMPUTED_VALUE"""),7.004307149E9)</f>
        <v>7004307149</v>
      </c>
      <c r="R19" s="21" t="str">
        <f>IFERROR(__xludf.DUMMYFUNCTION("""COMPUTED_VALUE"""),"Mala kumari")</f>
        <v>Mala kumari</v>
      </c>
      <c r="S19" s="21" t="str">
        <f>IFERROR(__xludf.DUMMYFUNCTION("""COMPUTED_VALUE"""),"Homemaker")</f>
        <v>Homemaker</v>
      </c>
      <c r="T19" s="21" t="str">
        <f>IFERROR(__xludf.DUMMYFUNCTION("""COMPUTED_VALUE"""),"Pagra, Dalsinghsarai")</f>
        <v>Pagra, Dalsinghsarai</v>
      </c>
      <c r="U19" s="21">
        <f>IFERROR(__xludf.DUMMYFUNCTION("""COMPUTED_VALUE"""),9.525919009E9)</f>
        <v>9525919009</v>
      </c>
      <c r="V19" s="21">
        <f>IFERROR(__xludf.DUMMYFUNCTION("""COMPUTED_VALUE"""),1.0)</f>
        <v>1</v>
      </c>
      <c r="W19" s="21" t="str">
        <f>IFERROR(__xludf.DUMMYFUNCTION("""COMPUTED_VALUE"""),"Mala kumari")</f>
        <v>Mala kumari</v>
      </c>
      <c r="X19" s="21" t="str">
        <f>IFERROR(__xludf.DUMMYFUNCTION("""COMPUTED_VALUE"""),"Mother")</f>
        <v>Mother</v>
      </c>
      <c r="Y19" s="21"/>
      <c r="Z19" s="21"/>
      <c r="AA19" s="21" t="str">
        <f>IFERROR(__xludf.DUMMYFUNCTION("""COMPUTED_VALUE"""),"Non-Veg")</f>
        <v>Non-Veg</v>
      </c>
      <c r="AB19" s="21" t="str">
        <f>IFERROR(__xludf.DUMMYFUNCTION("""COMPUTED_VALUE"""),"Veg")</f>
        <v>Veg</v>
      </c>
      <c r="AC19" s="21"/>
      <c r="AD19" s="21" t="str">
        <f>IFERROR(__xludf.DUMMYFUNCTION("""COMPUTED_VALUE"""),"Bus Drop Service not needed")</f>
        <v>Bus Drop Service not needed</v>
      </c>
      <c r="AE19" s="21"/>
    </row>
    <row r="20" ht="22.5" customHeight="1">
      <c r="A20" s="18">
        <f>IFERROR(__xludf.DUMMYFUNCTION("""COMPUTED_VALUE"""),46265.887947372685)</f>
        <v>46265.88795</v>
      </c>
      <c r="B20" s="21" t="str">
        <f>IFERROR(__xludf.DUMMYFUNCTION("""COMPUTED_VALUE"""),"soutrikoff@gmail.com")</f>
        <v>soutrikoff@gmail.com</v>
      </c>
      <c r="C20" s="21" t="str">
        <f>IFERROR(__xludf.DUMMYFUNCTION("""COMPUTED_VALUE"""),"SOUTRIK SUR")</f>
        <v>SOUTRIK SUR</v>
      </c>
      <c r="D20" s="21" t="str">
        <f>IFERROR(__xludf.DUMMYFUNCTION("""COMPUTED_VALUE"""),"99/202001149")</f>
        <v>99/202001149</v>
      </c>
      <c r="E20" s="21" t="str">
        <f>IFERROR(__xludf.DUMMYFUNCTION("""COMPUTED_VALUE"""),"MBBS 2020")</f>
        <v>MBBS 2020</v>
      </c>
      <c r="F20" s="21">
        <f>IFERROR(__xludf.DUMMYFUNCTION("""COMPUTED_VALUE"""),9.073368142E9)</f>
        <v>9073368142</v>
      </c>
      <c r="G20" s="21" t="str">
        <f>IFERROR(__xludf.DUMMYFUNCTION("""COMPUTED_VALUE"""),"soutrikoff@gmail.com")</f>
        <v>soutrikoff@gmail.com</v>
      </c>
      <c r="H20" s="21" t="str">
        <f>IFERROR(__xludf.DUMMYFUNCTION("""COMPUTED_VALUE"""),"Yes")</f>
        <v>Yes</v>
      </c>
      <c r="I20" s="21"/>
      <c r="J20" s="21"/>
      <c r="K20" s="21" t="str">
        <f>IFERROR(__xludf.DUMMYFUNCTION("""COMPUTED_VALUE"""),"Mogra Natungram, Hooghly, West Bengal")</f>
        <v>Mogra Natungram, Hooghly, West Bengal</v>
      </c>
      <c r="L20" s="22" t="str">
        <f>IFERROR(__xludf.DUMMYFUNCTION("""COMPUTED_VALUE"""),"https://drive.google.com/open?id=1tOkABRd3IDmLi4uocyutdNGXt3rhuheO")</f>
        <v>https://drive.google.com/open?id=1tOkABRd3IDmLi4uocyutdNGXt3rhuheO</v>
      </c>
      <c r="M20" s="22" t="str">
        <f>IFERROR(__xludf.DUMMYFUNCTION("""COMPUTED_VALUE"""),"https://drive.google.com/open?id=1bfJEJzu4gXqRKHMMJMBuDis_HF_aQ2JT")</f>
        <v>https://drive.google.com/open?id=1bfJEJzu4gXqRKHMMJMBuDis_HF_aQ2JT</v>
      </c>
      <c r="N20" s="21" t="str">
        <f>IFERROR(__xludf.DUMMYFUNCTION("""COMPUTED_VALUE"""),"RAGHUNATH SUR")</f>
        <v>RAGHUNATH SUR</v>
      </c>
      <c r="O20" s="21" t="str">
        <f>IFERROR(__xludf.DUMMYFUNCTION("""COMPUTED_VALUE"""),"Retired teacher, PhD in parasitology(Zoology)")</f>
        <v>Retired teacher, PhD in parasitology(Zoology)</v>
      </c>
      <c r="P20" s="21" t="str">
        <f>IFERROR(__xludf.DUMMYFUNCTION("""COMPUTED_VALUE"""),"Amra, Hooghly")</f>
        <v>Amra, Hooghly</v>
      </c>
      <c r="Q20" s="21">
        <f>IFERROR(__xludf.DUMMYFUNCTION("""COMPUTED_VALUE"""),9.433873092E9)</f>
        <v>9433873092</v>
      </c>
      <c r="R20" s="21" t="str">
        <f>IFERROR(__xludf.DUMMYFUNCTION("""COMPUTED_VALUE"""),"Kalpana Sur")</f>
        <v>Kalpana Sur</v>
      </c>
      <c r="S20" s="21" t="str">
        <f>IFERROR(__xludf.DUMMYFUNCTION("""COMPUTED_VALUE"""),"Housewife, B.Sc.(Botany), B.A.(Political Science)")</f>
        <v>Housewife, B.Sc.(Botany), B.A.(Political Science)</v>
      </c>
      <c r="T20" s="21" t="str">
        <f>IFERROR(__xludf.DUMMYFUNCTION("""COMPUTED_VALUE"""),"Khei, Hooghly")</f>
        <v>Khei, Hooghly</v>
      </c>
      <c r="U20" s="21">
        <f>IFERROR(__xludf.DUMMYFUNCTION("""COMPUTED_VALUE"""),9.163445748E9)</f>
        <v>9163445748</v>
      </c>
      <c r="V20" s="21">
        <f>IFERROR(__xludf.DUMMYFUNCTION("""COMPUTED_VALUE"""),2.0)</f>
        <v>2</v>
      </c>
      <c r="W20" s="21" t="str">
        <f>IFERROR(__xludf.DUMMYFUNCTION("""COMPUTED_VALUE"""),"Raghunath Sur")</f>
        <v>Raghunath Sur</v>
      </c>
      <c r="X20" s="21" t="str">
        <f>IFERROR(__xludf.DUMMYFUNCTION("""COMPUTED_VALUE"""),"Father")</f>
        <v>Father</v>
      </c>
      <c r="Y20" s="21" t="str">
        <f>IFERROR(__xludf.DUMMYFUNCTION("""COMPUTED_VALUE"""),"Kalpana Sur")</f>
        <v>Kalpana Sur</v>
      </c>
      <c r="Z20" s="21" t="str">
        <f>IFERROR(__xludf.DUMMYFUNCTION("""COMPUTED_VALUE"""),"Mother")</f>
        <v>Mother</v>
      </c>
      <c r="AA20" s="21" t="str">
        <f>IFERROR(__xludf.DUMMYFUNCTION("""COMPUTED_VALUE"""),"Non-Veg")</f>
        <v>Non-Veg</v>
      </c>
      <c r="AB20" s="21" t="str">
        <f>IFERROR(__xludf.DUMMYFUNCTION("""COMPUTED_VALUE"""),"Non-Veg")</f>
        <v>Non-Veg</v>
      </c>
      <c r="AC20" s="21" t="str">
        <f>IFERROR(__xludf.DUMMYFUNCTION("""COMPUTED_VALUE"""),"Non-Veg")</f>
        <v>Non-Veg</v>
      </c>
      <c r="AD20" s="21" t="str">
        <f>IFERROR(__xludf.DUMMYFUNCTION("""COMPUTED_VALUE"""),"Bus Drop Service not needed")</f>
        <v>Bus Drop Service not needed</v>
      </c>
      <c r="AE20" s="21">
        <f>IFERROR(__xludf.DUMMYFUNCTION("""COMPUTED_VALUE"""),0.0)</f>
        <v>0</v>
      </c>
    </row>
    <row r="21" ht="22.5" customHeight="1">
      <c r="A21" s="18">
        <f>IFERROR(__xludf.DUMMYFUNCTION("""COMPUTED_VALUE"""),46265.85586752315)</f>
        <v>46265.85587</v>
      </c>
      <c r="B21" s="21" t="str">
        <f>IFERROR(__xludf.DUMMYFUNCTION("""COMPUTED_VALUE"""),"adithya.mbbs-2020@aiimskalyani.edu.in")</f>
        <v>adithya.mbbs-2020@aiimskalyani.edu.in</v>
      </c>
      <c r="C21" s="21" t="str">
        <f>IFERROR(__xludf.DUMMYFUNCTION("""COMPUTED_VALUE"""),"ADITHYA BIJITH")</f>
        <v>ADITHYA BIJITH</v>
      </c>
      <c r="D21" s="21">
        <f>IFERROR(__xludf.DUMMYFUNCTION("""COMPUTED_VALUE"""),2.0200153E7)</f>
        <v>20200153</v>
      </c>
      <c r="E21" s="21" t="str">
        <f>IFERROR(__xludf.DUMMYFUNCTION("""COMPUTED_VALUE"""),"MBBS 2020")</f>
        <v>MBBS 2020</v>
      </c>
      <c r="F21" s="21">
        <f>IFERROR(__xludf.DUMMYFUNCTION("""COMPUTED_VALUE"""),8.590209664E9)</f>
        <v>8590209664</v>
      </c>
      <c r="G21" s="21" t="str">
        <f>IFERROR(__xludf.DUMMYFUNCTION("""COMPUTED_VALUE"""),"adibij02mai@gmail.com")</f>
        <v>adibij02mai@gmail.com</v>
      </c>
      <c r="H21" s="21" t="str">
        <f>IFERROR(__xludf.DUMMYFUNCTION("""COMPUTED_VALUE"""),"Yes")</f>
        <v>Yes</v>
      </c>
      <c r="I21" s="21" t="str">
        <f>IFERROR(__xludf.DUMMYFUNCTION("""COMPUTED_VALUE"""),"My hobbies include dancing, creating arts and crafts, gardening, and reading novels.")</f>
        <v>My hobbies include dancing, creating arts and crafts, gardening, and reading novels.</v>
      </c>
      <c r="J21" s="21"/>
      <c r="K21" s="21" t="str">
        <f>IFERROR(__xludf.DUMMYFUNCTION("""COMPUTED_VALUE"""),"Arayoor ,kerala ")</f>
        <v>Arayoor ,kerala </v>
      </c>
      <c r="L21" s="22" t="str">
        <f>IFERROR(__xludf.DUMMYFUNCTION("""COMPUTED_VALUE"""),"https://drive.google.com/open?id=1EjeLGgPojspkadV7_8lpv9coQSV4_yLt")</f>
        <v>https://drive.google.com/open?id=1EjeLGgPojspkadV7_8lpv9coQSV4_yLt</v>
      </c>
      <c r="M21" s="22" t="str">
        <f>IFERROR(__xludf.DUMMYFUNCTION("""COMPUTED_VALUE"""),"https://drive.google.com/open?id=1azhc8rxgV0Bf_si7gWdESy-jabVIz0Kh")</f>
        <v>https://drive.google.com/open?id=1azhc8rxgV0Bf_si7gWdESy-jabVIz0Kh</v>
      </c>
      <c r="N21" s="21" t="str">
        <f>IFERROR(__xludf.DUMMYFUNCTION("""COMPUTED_VALUE"""),"BIJITH T N")</f>
        <v>BIJITH T N</v>
      </c>
      <c r="O21" s="21" t="str">
        <f>IFERROR(__xludf.DUMMYFUNCTION("""COMPUTED_VALUE"""),"Health inspector , primary health centre Amboori")</f>
        <v>Health inspector , primary health centre Amboori</v>
      </c>
      <c r="P21" s="21" t="str">
        <f>IFERROR(__xludf.DUMMYFUNCTION("""COMPUTED_VALUE"""),"Arayoor, Kerala")</f>
        <v>Arayoor, Kerala</v>
      </c>
      <c r="Q21" s="21">
        <f>IFERROR(__xludf.DUMMYFUNCTION("""COMPUTED_VALUE"""),9.8466436E9)</f>
        <v>9846643600</v>
      </c>
      <c r="R21" s="21" t="str">
        <f>IFERROR(__xludf.DUMMYFUNCTION("""COMPUTED_VALUE"""),"Brajimla Rejani D G")</f>
        <v>Brajimla Rejani D G</v>
      </c>
      <c r="S21" s="21" t="str">
        <f>IFERROR(__xludf.DUMMYFUNCTION("""COMPUTED_VALUE"""),"Teacher, LMS LPS Arayoor ")</f>
        <v>Teacher, LMS LPS Arayoor </v>
      </c>
      <c r="T21" s="21" t="str">
        <f>IFERROR(__xludf.DUMMYFUNCTION("""COMPUTED_VALUE"""),"Arayoor, Kerala ")</f>
        <v>Arayoor, Kerala </v>
      </c>
      <c r="U21" s="21">
        <f>IFERROR(__xludf.DUMMYFUNCTION("""COMPUTED_VALUE"""),9.846930343E9)</f>
        <v>9846930343</v>
      </c>
      <c r="V21" s="21">
        <f>IFERROR(__xludf.DUMMYFUNCTION("""COMPUTED_VALUE"""),2.0)</f>
        <v>2</v>
      </c>
      <c r="W21" s="21" t="str">
        <f>IFERROR(__xludf.DUMMYFUNCTION("""COMPUTED_VALUE"""),"Abhijithya Bijith")</f>
        <v>Abhijithya Bijith</v>
      </c>
      <c r="X21" s="21" t="str">
        <f>IFERROR(__xludf.DUMMYFUNCTION("""COMPUTED_VALUE"""),"Sister ")</f>
        <v>Sister </v>
      </c>
      <c r="Y21" s="21" t="str">
        <f>IFERROR(__xludf.DUMMYFUNCTION("""COMPUTED_VALUE"""),"Brajimla Rejani ")</f>
        <v>Brajimla Rejani </v>
      </c>
      <c r="Z21" s="21" t="str">
        <f>IFERROR(__xludf.DUMMYFUNCTION("""COMPUTED_VALUE"""),"Mother ")</f>
        <v>Mother </v>
      </c>
      <c r="AA21" s="21" t="str">
        <f>IFERROR(__xludf.DUMMYFUNCTION("""COMPUTED_VALUE"""),"Non-Veg")</f>
        <v>Non-Veg</v>
      </c>
      <c r="AB21" s="21" t="str">
        <f>IFERROR(__xludf.DUMMYFUNCTION("""COMPUTED_VALUE"""),"Non-Veg")</f>
        <v>Non-Veg</v>
      </c>
      <c r="AC21" s="21" t="str">
        <f>IFERROR(__xludf.DUMMYFUNCTION("""COMPUTED_VALUE"""),"Non-Veg")</f>
        <v>Non-Veg</v>
      </c>
      <c r="AD21" s="21"/>
      <c r="AE21" s="21"/>
    </row>
    <row r="22" ht="22.5" customHeight="1">
      <c r="A22" s="18">
        <f>IFERROR(__xludf.DUMMYFUNCTION("""COMPUTED_VALUE"""),46265.850309560185)</f>
        <v>46265.85031</v>
      </c>
      <c r="B22" s="21" t="str">
        <f>IFERROR(__xludf.DUMMYFUNCTION("""COMPUTED_VALUE"""),"mihir.mbbs-2020@aiimskalyani.edu.in")</f>
        <v>mihir.mbbs-2020@aiimskalyani.edu.in</v>
      </c>
      <c r="C22" s="21" t="str">
        <f>IFERROR(__xludf.DUMMYFUNCTION("""COMPUTED_VALUE"""),"MIHIR SUTRADHAR")</f>
        <v>MIHIR SUTRADHAR</v>
      </c>
      <c r="D22" s="21" t="str">
        <f>IFERROR(__xludf.DUMMYFUNCTION("""COMPUTED_VALUE"""),"Roll no. 63/ enrolment no. 202001113")</f>
        <v>Roll no. 63/ enrolment no. 202001113</v>
      </c>
      <c r="E22" s="21" t="str">
        <f>IFERROR(__xludf.DUMMYFUNCTION("""COMPUTED_VALUE"""),"MBBS 2020")</f>
        <v>MBBS 2020</v>
      </c>
      <c r="F22" s="21">
        <f>IFERROR(__xludf.DUMMYFUNCTION("""COMPUTED_VALUE"""),8.822602193E9)</f>
        <v>8822602193</v>
      </c>
      <c r="G22" s="21" t="str">
        <f>IFERROR(__xludf.DUMMYFUNCTION("""COMPUTED_VALUE"""),"mihir.sutradhar154@gmail.com")</f>
        <v>mihir.sutradhar154@gmail.com</v>
      </c>
      <c r="H22" s="21" t="str">
        <f>IFERROR(__xludf.DUMMYFUNCTION("""COMPUTED_VALUE"""),"Yes")</f>
        <v>Yes</v>
      </c>
      <c r="I22" s="21" t="str">
        <f>IFERROR(__xludf.DUMMYFUNCTION("""COMPUTED_VALUE"""),"Music, guitar, exercise")</f>
        <v>Music, guitar, exercise</v>
      </c>
      <c r="J22" s="21" t="str">
        <f>IFERROR(__xludf.DUMMYFUNCTION("""COMPUTED_VALUE"""),"Badminton, football, table tennis.")</f>
        <v>Badminton, football, table tennis.</v>
      </c>
      <c r="K22" s="21" t="str">
        <f>IFERROR(__xludf.DUMMYFUNCTION("""COMPUTED_VALUE"""),"Silchar,Assam")</f>
        <v>Silchar,Assam</v>
      </c>
      <c r="L22" s="22" t="str">
        <f>IFERROR(__xludf.DUMMYFUNCTION("""COMPUTED_VALUE"""),"https://drive.google.com/open?id=1zqLME9eCEfxh830aS4PQ0coa_B1lNzlX")</f>
        <v>https://drive.google.com/open?id=1zqLME9eCEfxh830aS4PQ0coa_B1lNzlX</v>
      </c>
      <c r="M22" s="22" t="str">
        <f>IFERROR(__xludf.DUMMYFUNCTION("""COMPUTED_VALUE"""),"https://drive.google.com/open?id=1ot7YL9hmNHcjwMPT5zRrVYmGjOzy7u-_")</f>
        <v>https://drive.google.com/open?id=1ot7YL9hmNHcjwMPT5zRrVYmGjOzy7u-_</v>
      </c>
      <c r="N22" s="21" t="str">
        <f>IFERROR(__xludf.DUMMYFUNCTION("""COMPUTED_VALUE"""),"MOHAN KISHORE SUTRADHAR")</f>
        <v>MOHAN KISHORE SUTRADHAR</v>
      </c>
      <c r="O22" s="21" t="str">
        <f>IFERROR(__xludf.DUMMYFUNCTION("""COMPUTED_VALUE"""),"Electrical Engineer ( Designation- Senior manager
Affilation- NEEPCO)")</f>
        <v>Electrical Engineer ( Designation- Senior manager
Affilation- NEEPCO)</v>
      </c>
      <c r="P22" s="21" t="str">
        <f>IFERROR(__xludf.DUMMYFUNCTION("""COMPUTED_VALUE"""),"Silchar, Assam")</f>
        <v>Silchar, Assam</v>
      </c>
      <c r="Q22" s="21">
        <f>IFERROR(__xludf.DUMMYFUNCTION("""COMPUTED_VALUE"""),9.435712779E9)</f>
        <v>9435712779</v>
      </c>
      <c r="R22" s="21" t="str">
        <f>IFERROR(__xludf.DUMMYFUNCTION("""COMPUTED_VALUE"""),"SAMPA SUTRADHAR")</f>
        <v>SAMPA SUTRADHAR</v>
      </c>
      <c r="S22" s="21" t="str">
        <f>IFERROR(__xludf.DUMMYFUNCTION("""COMPUTED_VALUE"""),"House wife")</f>
        <v>House wife</v>
      </c>
      <c r="T22" s="21" t="str">
        <f>IFERROR(__xludf.DUMMYFUNCTION("""COMPUTED_VALUE"""),"Silchar, Assam")</f>
        <v>Silchar, Assam</v>
      </c>
      <c r="U22" s="21">
        <f>IFERROR(__xludf.DUMMYFUNCTION("""COMPUTED_VALUE"""),9.387817114E9)</f>
        <v>9387817114</v>
      </c>
      <c r="V22" s="21">
        <f>IFERROR(__xludf.DUMMYFUNCTION("""COMPUTED_VALUE"""),2.0)</f>
        <v>2</v>
      </c>
      <c r="W22" s="21" t="str">
        <f>IFERROR(__xludf.DUMMYFUNCTION("""COMPUTED_VALUE"""),"MOHAN KISHORE SUTRADHAR ")</f>
        <v>MOHAN KISHORE SUTRADHAR </v>
      </c>
      <c r="X22" s="21" t="str">
        <f>IFERROR(__xludf.DUMMYFUNCTION("""COMPUTED_VALUE"""),"Father")</f>
        <v>Father</v>
      </c>
      <c r="Y22" s="21" t="str">
        <f>IFERROR(__xludf.DUMMYFUNCTION("""COMPUTED_VALUE"""),"SAMPA SUTRADHAR")</f>
        <v>SAMPA SUTRADHAR</v>
      </c>
      <c r="Z22" s="21" t="str">
        <f>IFERROR(__xludf.DUMMYFUNCTION("""COMPUTED_VALUE"""),"Mother")</f>
        <v>Mother</v>
      </c>
      <c r="AA22" s="21" t="str">
        <f>IFERROR(__xludf.DUMMYFUNCTION("""COMPUTED_VALUE"""),"Non-Veg")</f>
        <v>Non-Veg</v>
      </c>
      <c r="AB22" s="21" t="str">
        <f>IFERROR(__xludf.DUMMYFUNCTION("""COMPUTED_VALUE"""),"Non-Veg")</f>
        <v>Non-Veg</v>
      </c>
      <c r="AC22" s="21" t="str">
        <f>IFERROR(__xludf.DUMMYFUNCTION("""COMPUTED_VALUE"""),"Non-Veg")</f>
        <v>Non-Veg</v>
      </c>
      <c r="AD22" s="21" t="str">
        <f>IFERROR(__xludf.DUMMYFUNCTION("""COMPUTED_VALUE"""),"Drop at Kalyani Railway Station")</f>
        <v>Drop at Kalyani Railway Station</v>
      </c>
      <c r="AE22" s="21">
        <f>IFERROR(__xludf.DUMMYFUNCTION("""COMPUTED_VALUE"""),3.0)</f>
        <v>3</v>
      </c>
    </row>
    <row r="23" ht="22.5" customHeight="1">
      <c r="A23" s="18">
        <f>IFERROR(__xludf.DUMMYFUNCTION("""COMPUTED_VALUE"""),46265.837623506945)</f>
        <v>46265.83762</v>
      </c>
      <c r="B23" s="21" t="str">
        <f>IFERROR(__xludf.DUMMYFUNCTION("""COMPUTED_VALUE"""),"shubhrajit.mbbs-2020@aiimskalyani.edu.in")</f>
        <v>shubhrajit.mbbs-2020@aiimskalyani.edu.in</v>
      </c>
      <c r="C23" s="21" t="str">
        <f>IFERROR(__xludf.DUMMYFUNCTION("""COMPUTED_VALUE"""),"SHUBHRAJIT SAHOO ")</f>
        <v>SHUBHRAJIT SAHOO </v>
      </c>
      <c r="D23" s="21">
        <f>IFERROR(__xludf.DUMMYFUNCTION("""COMPUTED_VALUE"""),2.02001145E8)</f>
        <v>202001145</v>
      </c>
      <c r="E23" s="21" t="str">
        <f>IFERROR(__xludf.DUMMYFUNCTION("""COMPUTED_VALUE"""),"MBBS 2020")</f>
        <v>MBBS 2020</v>
      </c>
      <c r="F23" s="21">
        <f>IFERROR(__xludf.DUMMYFUNCTION("""COMPUTED_VALUE"""),7.848805484E9)</f>
        <v>7848805484</v>
      </c>
      <c r="G23" s="21" t="str">
        <f>IFERROR(__xludf.DUMMYFUNCTION("""COMPUTED_VALUE"""),"shubhrajit2018@gmail.com")</f>
        <v>shubhrajit2018@gmail.com</v>
      </c>
      <c r="H23" s="21" t="str">
        <f>IFERROR(__xludf.DUMMYFUNCTION("""COMPUTED_VALUE"""),"Yes")</f>
        <v>Yes</v>
      </c>
      <c r="I23" s="21" t="str">
        <f>IFERROR(__xludf.DUMMYFUNCTION("""COMPUTED_VALUE"""),"Watching movies ")</f>
        <v>Watching movies </v>
      </c>
      <c r="J23" s="21" t="str">
        <f>IFERROR(__xludf.DUMMYFUNCTION("""COMPUTED_VALUE"""),"Nothing ")</f>
        <v>Nothing </v>
      </c>
      <c r="K23" s="21" t="str">
        <f>IFERROR(__xludf.DUMMYFUNCTION("""COMPUTED_VALUE"""),"Bhadrak ")</f>
        <v>Bhadrak </v>
      </c>
      <c r="L23" s="22" t="str">
        <f>IFERROR(__xludf.DUMMYFUNCTION("""COMPUTED_VALUE"""),"https://drive.google.com/open?id=1b5rA_CCnxA-KTpJj49WJIbXDgG4DMwgA")</f>
        <v>https://drive.google.com/open?id=1b5rA_CCnxA-KTpJj49WJIbXDgG4DMwgA</v>
      </c>
      <c r="M23" s="22" t="str">
        <f>IFERROR(__xludf.DUMMYFUNCTION("""COMPUTED_VALUE"""),"https://drive.google.com/open?id=1U5e44ln6q4wWEv95y0K5W7pbEeSipoBI")</f>
        <v>https://drive.google.com/open?id=1U5e44ln6q4wWEv95y0K5W7pbEeSipoBI</v>
      </c>
      <c r="N23" s="21" t="str">
        <f>IFERROR(__xludf.DUMMYFUNCTION("""COMPUTED_VALUE"""),"DILLIP KUMAR SAHOO")</f>
        <v>DILLIP KUMAR SAHOO</v>
      </c>
      <c r="O23" s="21" t="str">
        <f>IFERROR(__xludf.DUMMYFUNCTION("""COMPUTED_VALUE"""),"Accountant ")</f>
        <v>Accountant </v>
      </c>
      <c r="P23" s="21" t="str">
        <f>IFERROR(__xludf.DUMMYFUNCTION("""COMPUTED_VALUE"""),"Bhadrak ")</f>
        <v>Bhadrak </v>
      </c>
      <c r="Q23" s="21">
        <f>IFERROR(__xludf.DUMMYFUNCTION("""COMPUTED_VALUE"""),9.040091604E9)</f>
        <v>9040091604</v>
      </c>
      <c r="R23" s="21" t="str">
        <f>IFERROR(__xludf.DUMMYFUNCTION("""COMPUTED_VALUE"""),"SUJATA SAHOO ")</f>
        <v>SUJATA SAHOO </v>
      </c>
      <c r="S23" s="21" t="str">
        <f>IFERROR(__xludf.DUMMYFUNCTION("""COMPUTED_VALUE"""),"Home maker")</f>
        <v>Home maker</v>
      </c>
      <c r="T23" s="21" t="str">
        <f>IFERROR(__xludf.DUMMYFUNCTION("""COMPUTED_VALUE"""),"Bhadrak ")</f>
        <v>Bhadrak </v>
      </c>
      <c r="U23" s="21">
        <f>IFERROR(__xludf.DUMMYFUNCTION("""COMPUTED_VALUE"""),9.040091604E9)</f>
        <v>9040091604</v>
      </c>
      <c r="V23" s="21">
        <f>IFERROR(__xludf.DUMMYFUNCTION("""COMPUTED_VALUE"""),2.0)</f>
        <v>2</v>
      </c>
      <c r="W23" s="21" t="str">
        <f>IFERROR(__xludf.DUMMYFUNCTION("""COMPUTED_VALUE"""),"DILLIP KUMAR SAHOO")</f>
        <v>DILLIP KUMAR SAHOO</v>
      </c>
      <c r="X23" s="21" t="str">
        <f>IFERROR(__xludf.DUMMYFUNCTION("""COMPUTED_VALUE"""),"Father ")</f>
        <v>Father </v>
      </c>
      <c r="Y23" s="21" t="str">
        <f>IFERROR(__xludf.DUMMYFUNCTION("""COMPUTED_VALUE"""),"SUJATA SAHOO")</f>
        <v>SUJATA SAHOO</v>
      </c>
      <c r="Z23" s="21" t="str">
        <f>IFERROR(__xludf.DUMMYFUNCTION("""COMPUTED_VALUE"""),"Mother")</f>
        <v>Mother</v>
      </c>
      <c r="AA23" s="21" t="str">
        <f>IFERROR(__xludf.DUMMYFUNCTION("""COMPUTED_VALUE"""),"Non-Veg")</f>
        <v>Non-Veg</v>
      </c>
      <c r="AB23" s="21" t="str">
        <f>IFERROR(__xludf.DUMMYFUNCTION("""COMPUTED_VALUE"""),"Non-Veg")</f>
        <v>Non-Veg</v>
      </c>
      <c r="AC23" s="21" t="str">
        <f>IFERROR(__xludf.DUMMYFUNCTION("""COMPUTED_VALUE"""),"Veg")</f>
        <v>Veg</v>
      </c>
      <c r="AD23" s="21" t="str">
        <f>IFERROR(__xludf.DUMMYFUNCTION("""COMPUTED_VALUE"""),"Drop at Kalyani Railway Station")</f>
        <v>Drop at Kalyani Railway Station</v>
      </c>
      <c r="AE23" s="21">
        <f>IFERROR(__xludf.DUMMYFUNCTION("""COMPUTED_VALUE"""),2.0)</f>
        <v>2</v>
      </c>
    </row>
    <row r="24" ht="22.5" customHeight="1">
      <c r="A24" s="18">
        <f>IFERROR(__xludf.DUMMYFUNCTION("""COMPUTED_VALUE"""),46265.82512252315)</f>
        <v>46265.82512</v>
      </c>
      <c r="B24" s="21" t="str">
        <f>IFERROR(__xludf.DUMMYFUNCTION("""COMPUTED_VALUE"""),"sayak.mbbs-2020@aiimskalyani.edu.in")</f>
        <v>sayak.mbbs-2020@aiimskalyani.edu.in</v>
      </c>
      <c r="C24" s="21" t="str">
        <f>IFERROR(__xludf.DUMMYFUNCTION("""COMPUTED_VALUE"""),"SAYAK SAHA")</f>
        <v>SAYAK SAHA</v>
      </c>
      <c r="D24" s="21">
        <f>IFERROR(__xludf.DUMMYFUNCTION("""COMPUTED_VALUE"""),2.0201137E7)</f>
        <v>20201137</v>
      </c>
      <c r="E24" s="21" t="str">
        <f>IFERROR(__xludf.DUMMYFUNCTION("""COMPUTED_VALUE"""),"MBBS 2020")</f>
        <v>MBBS 2020</v>
      </c>
      <c r="F24" s="21">
        <f>IFERROR(__xludf.DUMMYFUNCTION("""COMPUTED_VALUE"""),6.290592637E9)</f>
        <v>6290592637</v>
      </c>
      <c r="G24" s="21" t="str">
        <f>IFERROR(__xludf.DUMMYFUNCTION("""COMPUTED_VALUE"""),"sayak.mbbs-2020@aiimskalyani.edu.in")</f>
        <v>sayak.mbbs-2020@aiimskalyani.edu.in</v>
      </c>
      <c r="H24" s="21" t="str">
        <f>IFERROR(__xludf.DUMMYFUNCTION("""COMPUTED_VALUE"""),"Yes")</f>
        <v>Yes</v>
      </c>
      <c r="I24" s="21"/>
      <c r="J24" s="21"/>
      <c r="K24" s="21" t="str">
        <f>IFERROR(__xludf.DUMMYFUNCTION("""COMPUTED_VALUE"""),"Rishra")</f>
        <v>Rishra</v>
      </c>
      <c r="L24" s="22" t="str">
        <f>IFERROR(__xludf.DUMMYFUNCTION("""COMPUTED_VALUE"""),"https://drive.google.com/open?id=118nvVBnwe-bVAhmD0QBndxzCqasZUNzH")</f>
        <v>https://drive.google.com/open?id=118nvVBnwe-bVAhmD0QBndxzCqasZUNzH</v>
      </c>
      <c r="M24" s="22" t="str">
        <f>IFERROR(__xludf.DUMMYFUNCTION("""COMPUTED_VALUE"""),"https://drive.google.com/open?id=1R9esCf3eInufZvx3OTPxJzfqaYIRDdey")</f>
        <v>https://drive.google.com/open?id=1R9esCf3eInufZvx3OTPxJzfqaYIRDdey</v>
      </c>
      <c r="N24" s="21" t="str">
        <f>IFERROR(__xludf.DUMMYFUNCTION("""COMPUTED_VALUE"""),"Prabhat Kumar Saha")</f>
        <v>Prabhat Kumar Saha</v>
      </c>
      <c r="O24" s="21" t="str">
        <f>IFERROR(__xludf.DUMMYFUNCTION("""COMPUTED_VALUE"""),"Ex-defence ")</f>
        <v>Ex-defence </v>
      </c>
      <c r="P24" s="21" t="str">
        <f>IFERROR(__xludf.DUMMYFUNCTION("""COMPUTED_VALUE"""),"Rishra")</f>
        <v>Rishra</v>
      </c>
      <c r="Q24" s="21">
        <f>IFERROR(__xludf.DUMMYFUNCTION("""COMPUTED_VALUE"""),9.831397625E9)</f>
        <v>9831397625</v>
      </c>
      <c r="R24" s="21" t="str">
        <f>IFERROR(__xludf.DUMMYFUNCTION("""COMPUTED_VALUE"""),"Kalpana Saha")</f>
        <v>Kalpana Saha</v>
      </c>
      <c r="S24" s="21" t="str">
        <f>IFERROR(__xludf.DUMMYFUNCTION("""COMPUTED_VALUE"""),"Housewife")</f>
        <v>Housewife</v>
      </c>
      <c r="T24" s="21" t="str">
        <f>IFERROR(__xludf.DUMMYFUNCTION("""COMPUTED_VALUE"""),"Rishra")</f>
        <v>Rishra</v>
      </c>
      <c r="U24" s="21">
        <f>IFERROR(__xludf.DUMMYFUNCTION("""COMPUTED_VALUE"""),9.163705141E9)</f>
        <v>9163705141</v>
      </c>
      <c r="V24" s="21">
        <f>IFERROR(__xludf.DUMMYFUNCTION("""COMPUTED_VALUE"""),2.0)</f>
        <v>2</v>
      </c>
      <c r="W24" s="21" t="str">
        <f>IFERROR(__xludf.DUMMYFUNCTION("""COMPUTED_VALUE"""),"Prabhat Kumar Saha")</f>
        <v>Prabhat Kumar Saha</v>
      </c>
      <c r="X24" s="21" t="str">
        <f>IFERROR(__xludf.DUMMYFUNCTION("""COMPUTED_VALUE"""),"Father")</f>
        <v>Father</v>
      </c>
      <c r="Y24" s="21" t="str">
        <f>IFERROR(__xludf.DUMMYFUNCTION("""COMPUTED_VALUE"""),"Kalpana Saha")</f>
        <v>Kalpana Saha</v>
      </c>
      <c r="Z24" s="21" t="str">
        <f>IFERROR(__xludf.DUMMYFUNCTION("""COMPUTED_VALUE"""),"Mother")</f>
        <v>Mother</v>
      </c>
      <c r="AA24" s="21" t="str">
        <f>IFERROR(__xludf.DUMMYFUNCTION("""COMPUTED_VALUE"""),"Non-Veg")</f>
        <v>Non-Veg</v>
      </c>
      <c r="AB24" s="21" t="str">
        <f>IFERROR(__xludf.DUMMYFUNCTION("""COMPUTED_VALUE"""),"Non-Veg")</f>
        <v>Non-Veg</v>
      </c>
      <c r="AC24" s="21" t="str">
        <f>IFERROR(__xludf.DUMMYFUNCTION("""COMPUTED_VALUE"""),"Non-Veg")</f>
        <v>Non-Veg</v>
      </c>
      <c r="AD24" s="21" t="str">
        <f>IFERROR(__xludf.DUMMYFUNCTION("""COMPUTED_VALUE"""),"Drop at Kalyani Railway Station")</f>
        <v>Drop at Kalyani Railway Station</v>
      </c>
      <c r="AE24" s="21">
        <f>IFERROR(__xludf.DUMMYFUNCTION("""COMPUTED_VALUE"""),3.0)</f>
        <v>3</v>
      </c>
    </row>
    <row r="25" ht="22.5" customHeight="1">
      <c r="A25" s="18">
        <f>IFERROR(__xludf.DUMMYFUNCTION("""COMPUTED_VALUE"""),46265.82132081018)</f>
        <v>46265.82132</v>
      </c>
      <c r="B25" s="21" t="str">
        <f>IFERROR(__xludf.DUMMYFUNCTION("""COMPUTED_VALUE"""),"sharafudheen.mbbs-2020@aiimskalyani.edu.in")</f>
        <v>sharafudheen.mbbs-2020@aiimskalyani.edu.in</v>
      </c>
      <c r="C25" s="21" t="str">
        <f>IFERROR(__xludf.DUMMYFUNCTION("""COMPUTED_VALUE"""),"SHARAFUDHEEN EP")</f>
        <v>SHARAFUDHEEN EP</v>
      </c>
      <c r="D25" s="21" t="str">
        <f>IFERROR(__xludf.DUMMYFUNCTION("""COMPUTED_VALUE"""),"88/202001138")</f>
        <v>88/202001138</v>
      </c>
      <c r="E25" s="21" t="str">
        <f>IFERROR(__xludf.DUMMYFUNCTION("""COMPUTED_VALUE"""),"MBBS 2020")</f>
        <v>MBBS 2020</v>
      </c>
      <c r="F25" s="21">
        <f>IFERROR(__xludf.DUMMYFUNCTION("""COMPUTED_VALUE"""),6.383560594E9)</f>
        <v>6383560594</v>
      </c>
      <c r="G25" s="21" t="str">
        <f>IFERROR(__xludf.DUMMYFUNCTION("""COMPUTED_VALUE"""),"sharafudheencu@gmail.com")</f>
        <v>sharafudheencu@gmail.com</v>
      </c>
      <c r="H25" s="21" t="str">
        <f>IFERROR(__xludf.DUMMYFUNCTION("""COMPUTED_VALUE"""),"Yes")</f>
        <v>Yes</v>
      </c>
      <c r="I25" s="21" t="str">
        <f>IFERROR(__xludf.DUMMYFUNCTION("""COMPUTED_VALUE"""),"Beyond clinical medicine, my interests revolve around continuous medical learning, sports, and visual arts. Academically, I am driven by advancements in therapeutics and pathophysiology, frequently keeping up with recent clinical research papers. Outside "&amp;"the wards, I am a dedicated football player—playing primarily as a Defensive Midfielder (DMF) and having had the privilege of captaining my team to multiple tournament titles. I am also an avid photographer, with recognitions from Kaleidoscope and the ann"&amp;"ual Elyssia fest, alongside being a cinephile and reader.
")</f>
        <v>Beyond clinical medicine, my interests revolve around continuous medical learning, sports, and visual arts. Academically, I am driven by advancements in therapeutics and pathophysiology, frequently keeping up with recent clinical research papers. Outside the wards, I am a dedicated football player—playing primarily as a Defensive Midfielder (DMF) and having had the privilege of captaining my team to multiple tournament titles. I am also an avid photographer, with recognitions from Kaleidoscope and the annual Elyssia fest, alongside being a cinephile and reader.
</v>
      </c>
      <c r="J25" s="21" t="str">
        <f>IFERROR(__xludf.DUMMYFUNCTION("""COMPUTED_VALUE"""),"A dedicated football player and team captain, leading the squad to consistent podium finishes throughout my college career. Under my captaincy, the team reached the finals in every inter-house season contested, clinching one championship trophy alongside "&amp;"several runners-up titles. At the inter-collegiate level, we finished as runners-up at Elyssia Fest and reached the semi-finals at AIIMS Patna, while maintaining a commanding record and decisive victories in local rival fixtures against IISER.
")</f>
        <v>A dedicated football player and team captain, leading the squad to consistent podium finishes throughout my college career. Under my captaincy, the team reached the finals in every inter-house season contested, clinching one championship trophy alongside several runners-up titles. At the inter-collegiate level, we finished as runners-up at Elyssia Fest and reached the semi-finals at AIIMS Patna, while maintaining a commanding record and decisive victories in local rival fixtures against IISER.
</v>
      </c>
      <c r="K25" s="21" t="str">
        <f>IFERROR(__xludf.DUMMYFUNCTION("""COMPUTED_VALUE"""),"Kozhikode ")</f>
        <v>Kozhikode </v>
      </c>
      <c r="L25" s="22" t="str">
        <f>IFERROR(__xludf.DUMMYFUNCTION("""COMPUTED_VALUE"""),"https://drive.google.com/open?id=1JrLI1tyO97IMOYricg8jbMsXKHw_AamJ")</f>
        <v>https://drive.google.com/open?id=1JrLI1tyO97IMOYricg8jbMsXKHw_AamJ</v>
      </c>
      <c r="M25" s="22" t="str">
        <f>IFERROR(__xludf.DUMMYFUNCTION("""COMPUTED_VALUE"""),"https://drive.google.com/open?id=1nFQKiLGBPCvfasJiEpHSgEEyzg9EuJNV")</f>
        <v>https://drive.google.com/open?id=1nFQKiLGBPCvfasJiEpHSgEEyzg9EuJNV</v>
      </c>
      <c r="N25" s="21" t="str">
        <f>IFERROR(__xludf.DUMMYFUNCTION("""COMPUTED_VALUE"""),"Yuseph EP ")</f>
        <v>Yuseph EP </v>
      </c>
      <c r="O25" s="21" t="str">
        <f>IFERROR(__xludf.DUMMYFUNCTION("""COMPUTED_VALUE"""),"business ")</f>
        <v>business </v>
      </c>
      <c r="P25" s="21" t="str">
        <f>IFERROR(__xludf.DUMMYFUNCTION("""COMPUTED_VALUE"""),"Chennai")</f>
        <v>Chennai</v>
      </c>
      <c r="Q25" s="21">
        <f>IFERROR(__xludf.DUMMYFUNCTION("""COMPUTED_VALUE"""),9.48640503E9)</f>
        <v>9486405030</v>
      </c>
      <c r="R25" s="21" t="str">
        <f>IFERROR(__xludf.DUMMYFUNCTION("""COMPUTED_VALUE"""),"Shabana M")</f>
        <v>Shabana M</v>
      </c>
      <c r="S25" s="21" t="str">
        <f>IFERROR(__xludf.DUMMYFUNCTION("""COMPUTED_VALUE"""),"Housewife")</f>
        <v>Housewife</v>
      </c>
      <c r="T25" s="21" t="str">
        <f>IFERROR(__xludf.DUMMYFUNCTION("""COMPUTED_VALUE"""),"Kozhikode ")</f>
        <v>Kozhikode </v>
      </c>
      <c r="U25" s="21">
        <f>IFERROR(__xludf.DUMMYFUNCTION("""COMPUTED_VALUE"""),9.846603405E9)</f>
        <v>9846603405</v>
      </c>
      <c r="V25" s="21">
        <f>IFERROR(__xludf.DUMMYFUNCTION("""COMPUTED_VALUE"""),2.0)</f>
        <v>2</v>
      </c>
      <c r="W25" s="21" t="str">
        <f>IFERROR(__xludf.DUMMYFUNCTION("""COMPUTED_VALUE"""),"Shabana m")</f>
        <v>Shabana m</v>
      </c>
      <c r="X25" s="21" t="str">
        <f>IFERROR(__xludf.DUMMYFUNCTION("""COMPUTED_VALUE"""),"Mother")</f>
        <v>Mother</v>
      </c>
      <c r="Y25" s="21" t="str">
        <f>IFERROR(__xludf.DUMMYFUNCTION("""COMPUTED_VALUE"""),"Yuseph ep")</f>
        <v>Yuseph ep</v>
      </c>
      <c r="Z25" s="21" t="str">
        <f>IFERROR(__xludf.DUMMYFUNCTION("""COMPUTED_VALUE"""),"Father")</f>
        <v>Father</v>
      </c>
      <c r="AA25" s="21" t="str">
        <f>IFERROR(__xludf.DUMMYFUNCTION("""COMPUTED_VALUE"""),"Non-Veg")</f>
        <v>Non-Veg</v>
      </c>
      <c r="AB25" s="21" t="str">
        <f>IFERROR(__xludf.DUMMYFUNCTION("""COMPUTED_VALUE"""),"Non-Veg")</f>
        <v>Non-Veg</v>
      </c>
      <c r="AC25" s="21" t="str">
        <f>IFERROR(__xludf.DUMMYFUNCTION("""COMPUTED_VALUE"""),"Non-Veg")</f>
        <v>Non-Veg</v>
      </c>
      <c r="AD25" s="21" t="str">
        <f>IFERROR(__xludf.DUMMYFUNCTION("""COMPUTED_VALUE"""),"Bus Drop Service not needed")</f>
        <v>Bus Drop Service not needed</v>
      </c>
      <c r="AE25" s="21">
        <f>IFERROR(__xludf.DUMMYFUNCTION("""COMPUTED_VALUE"""),0.0)</f>
        <v>0</v>
      </c>
    </row>
    <row r="26" ht="22.5" customHeight="1">
      <c r="A26" s="18">
        <f>IFERROR(__xludf.DUMMYFUNCTION("""COMPUTED_VALUE"""),46265.814711493054)</f>
        <v>46265.81471</v>
      </c>
      <c r="B26" s="21" t="str">
        <f>IFERROR(__xludf.DUMMYFUNCTION("""COMPUTED_VALUE"""),"vineeta.mbbs-2020@aiimskalyani.edu.in")</f>
        <v>vineeta.mbbs-2020@aiimskalyani.edu.in</v>
      </c>
      <c r="C26" s="21" t="str">
        <f>IFERROR(__xludf.DUMMYFUNCTION("""COMPUTED_VALUE"""),"VINEETA MEENA")</f>
        <v>VINEETA MEENA</v>
      </c>
      <c r="D26" s="21">
        <f>IFERROR(__xludf.DUMMYFUNCTION("""COMPUTED_VALUE"""),2.02001162E8)</f>
        <v>202001162</v>
      </c>
      <c r="E26" s="21" t="str">
        <f>IFERROR(__xludf.DUMMYFUNCTION("""COMPUTED_VALUE"""),"MBBS 2020")</f>
        <v>MBBS 2020</v>
      </c>
      <c r="F26" s="21">
        <f>IFERROR(__xludf.DUMMYFUNCTION("""COMPUTED_VALUE"""),8.824036959E9)</f>
        <v>8824036959</v>
      </c>
      <c r="G26" s="21" t="str">
        <f>IFERROR(__xludf.DUMMYFUNCTION("""COMPUTED_VALUE"""),"vineeta.mbbs-2020@aiimskalyani.edu.in")</f>
        <v>vineeta.mbbs-2020@aiimskalyani.edu.in</v>
      </c>
      <c r="H26" s="21" t="str">
        <f>IFERROR(__xludf.DUMMYFUNCTION("""COMPUTED_VALUE"""),"Yes")</f>
        <v>Yes</v>
      </c>
      <c r="I26" s="21" t="str">
        <f>IFERROR(__xludf.DUMMYFUNCTION("""COMPUTED_VALUE"""),"Playing volleyball, throwball ")</f>
        <v>Playing volleyball, throwball </v>
      </c>
      <c r="J26" s="21"/>
      <c r="K26" s="21" t="str">
        <f>IFERROR(__xludf.DUMMYFUNCTION("""COMPUTED_VALUE"""),"Sikar")</f>
        <v>Sikar</v>
      </c>
      <c r="L26" s="22" t="str">
        <f>IFERROR(__xludf.DUMMYFUNCTION("""COMPUTED_VALUE"""),"https://drive.google.com/open?id=1IPDSKNOEeSQb-uBaVCtoCyBaEBJUVMh8")</f>
        <v>https://drive.google.com/open?id=1IPDSKNOEeSQb-uBaVCtoCyBaEBJUVMh8</v>
      </c>
      <c r="M26" s="22" t="str">
        <f>IFERROR(__xludf.DUMMYFUNCTION("""COMPUTED_VALUE"""),"https://drive.google.com/open?id=1ZWe9ogNm9xcbQhRh-OolbkFOQtiDlCO1")</f>
        <v>https://drive.google.com/open?id=1ZWe9ogNm9xcbQhRh-OolbkFOQtiDlCO1</v>
      </c>
      <c r="N26" s="21" t="str">
        <f>IFERROR(__xludf.DUMMYFUNCTION("""COMPUTED_VALUE"""),"Vinod kumar ")</f>
        <v>Vinod kumar </v>
      </c>
      <c r="O26" s="21" t="str">
        <f>IFERROR(__xludf.DUMMYFUNCTION("""COMPUTED_VALUE"""),"Supervisor ")</f>
        <v>Supervisor </v>
      </c>
      <c r="P26" s="21" t="str">
        <f>IFERROR(__xludf.DUMMYFUNCTION("""COMPUTED_VALUE"""),"Sikar")</f>
        <v>Sikar</v>
      </c>
      <c r="Q26" s="21">
        <f>IFERROR(__xludf.DUMMYFUNCTION("""COMPUTED_VALUE"""),8.112291832E9)</f>
        <v>8112291832</v>
      </c>
      <c r="R26" s="21" t="str">
        <f>IFERROR(__xludf.DUMMYFUNCTION("""COMPUTED_VALUE"""),"Manju devi ")</f>
        <v>Manju devi </v>
      </c>
      <c r="S26" s="21" t="str">
        <f>IFERROR(__xludf.DUMMYFUNCTION("""COMPUTED_VALUE"""),"Housewife ")</f>
        <v>Housewife </v>
      </c>
      <c r="T26" s="21" t="str">
        <f>IFERROR(__xludf.DUMMYFUNCTION("""COMPUTED_VALUE"""),"Sikar")</f>
        <v>Sikar</v>
      </c>
      <c r="U26" s="21">
        <f>IFERROR(__xludf.DUMMYFUNCTION("""COMPUTED_VALUE"""),8.432815435E9)</f>
        <v>8432815435</v>
      </c>
      <c r="V26" s="21">
        <f>IFERROR(__xludf.DUMMYFUNCTION("""COMPUTED_VALUE"""),2.0)</f>
        <v>2</v>
      </c>
      <c r="W26" s="21" t="str">
        <f>IFERROR(__xludf.DUMMYFUNCTION("""COMPUTED_VALUE"""),"Vinod kumar ")</f>
        <v>Vinod kumar </v>
      </c>
      <c r="X26" s="21" t="str">
        <f>IFERROR(__xludf.DUMMYFUNCTION("""COMPUTED_VALUE"""),"Father")</f>
        <v>Father</v>
      </c>
      <c r="Y26" s="21" t="str">
        <f>IFERROR(__xludf.DUMMYFUNCTION("""COMPUTED_VALUE"""),"Ashi ")</f>
        <v>Ashi </v>
      </c>
      <c r="Z26" s="21" t="str">
        <f>IFERROR(__xludf.DUMMYFUNCTION("""COMPUTED_VALUE"""),"Sister")</f>
        <v>Sister</v>
      </c>
      <c r="AA26" s="21" t="str">
        <f>IFERROR(__xludf.DUMMYFUNCTION("""COMPUTED_VALUE"""),"Veg")</f>
        <v>Veg</v>
      </c>
      <c r="AB26" s="21" t="str">
        <f>IFERROR(__xludf.DUMMYFUNCTION("""COMPUTED_VALUE"""),"Veg")</f>
        <v>Veg</v>
      </c>
      <c r="AC26" s="21" t="str">
        <f>IFERROR(__xludf.DUMMYFUNCTION("""COMPUTED_VALUE"""),"Veg")</f>
        <v>Veg</v>
      </c>
      <c r="AD26" s="21" t="str">
        <f>IFERROR(__xludf.DUMMYFUNCTION("""COMPUTED_VALUE"""),"Drop at Kolkata Airport")</f>
        <v>Drop at Kolkata Airport</v>
      </c>
      <c r="AE26" s="21">
        <f>IFERROR(__xludf.DUMMYFUNCTION("""COMPUTED_VALUE"""),1.0)</f>
        <v>1</v>
      </c>
    </row>
    <row r="27" ht="22.5" customHeight="1">
      <c r="A27" s="18">
        <f>IFERROR(__xludf.DUMMYFUNCTION("""COMPUTED_VALUE"""),46265.7399896412)</f>
        <v>46265.73999</v>
      </c>
      <c r="B27" s="21" t="str">
        <f>IFERROR(__xludf.DUMMYFUNCTION("""COMPUTED_VALUE"""),"bharathkrishna500@gmail.com")</f>
        <v>bharathkrishna500@gmail.com</v>
      </c>
      <c r="C27" s="21" t="str">
        <f>IFERROR(__xludf.DUMMYFUNCTION("""COMPUTED_VALUE"""),"BHARATH KRISHNA")</f>
        <v>BHARATH KRISHNA</v>
      </c>
      <c r="D27" s="21">
        <f>IFERROR(__xludf.DUMMYFUNCTION("""COMPUTED_VALUE"""),2.0200186E7)</f>
        <v>20200186</v>
      </c>
      <c r="E27" s="21" t="str">
        <f>IFERROR(__xludf.DUMMYFUNCTION("""COMPUTED_VALUE"""),"MBBS 2020")</f>
        <v>MBBS 2020</v>
      </c>
      <c r="F27" s="21">
        <f>IFERROR(__xludf.DUMMYFUNCTION("""COMPUTED_VALUE"""),9.526106877E9)</f>
        <v>9526106877</v>
      </c>
      <c r="G27" s="21" t="str">
        <f>IFERROR(__xludf.DUMMYFUNCTION("""COMPUTED_VALUE"""),"bharathkrishna500@gmail.com")</f>
        <v>bharathkrishna500@gmail.com</v>
      </c>
      <c r="H27" s="21" t="str">
        <f>IFERROR(__xludf.DUMMYFUNCTION("""COMPUTED_VALUE"""),"Yes")</f>
        <v>Yes</v>
      </c>
      <c r="I27" s="21" t="str">
        <f>IFERROR(__xludf.DUMMYFUNCTION("""COMPUTED_VALUE"""),"Football, watching movies, reading books")</f>
        <v>Football, watching movies, reading books</v>
      </c>
      <c r="J27" s="21" t="str">
        <f>IFERROR(__xludf.DUMMYFUNCTION("""COMPUTED_VALUE"""),"Winner of house football tournament")</f>
        <v>Winner of house football tournament</v>
      </c>
      <c r="K27" s="21" t="str">
        <f>IFERROR(__xludf.DUMMYFUNCTION("""COMPUTED_VALUE"""),"Kerala")</f>
        <v>Kerala</v>
      </c>
      <c r="L27" s="22" t="str">
        <f>IFERROR(__xludf.DUMMYFUNCTION("""COMPUTED_VALUE"""),"https://drive.google.com/open?id=1Dsa2tQ1Snh-r4zUGRFxQYCCB4QXoXhVD")</f>
        <v>https://drive.google.com/open?id=1Dsa2tQ1Snh-r4zUGRFxQYCCB4QXoXhVD</v>
      </c>
      <c r="M27" s="22" t="str">
        <f>IFERROR(__xludf.DUMMYFUNCTION("""COMPUTED_VALUE"""),"https://drive.google.com/open?id=1exd5y3fNQkcvwlIi8dEq1IGQ-Jx-C0iC")</f>
        <v>https://drive.google.com/open?id=1exd5y3fNQkcvwlIi8dEq1IGQ-Jx-C0iC</v>
      </c>
      <c r="N27" s="21" t="str">
        <f>IFERROR(__xludf.DUMMYFUNCTION("""COMPUTED_VALUE"""),"M somaprasad")</f>
        <v>M somaprasad</v>
      </c>
      <c r="O27" s="21" t="str">
        <f>IFERROR(__xludf.DUMMYFUNCTION("""COMPUTED_VALUE"""),"Retired divison officer manager united india insurance ")</f>
        <v>Retired divison officer manager united india insurance </v>
      </c>
      <c r="P27" s="21" t="str">
        <f>IFERROR(__xludf.DUMMYFUNCTION("""COMPUTED_VALUE"""),"Malappuram kerala")</f>
        <v>Malappuram kerala</v>
      </c>
      <c r="Q27" s="21">
        <f>IFERROR(__xludf.DUMMYFUNCTION("""COMPUTED_VALUE"""),9.446106877E9)</f>
        <v>9446106877</v>
      </c>
      <c r="R27" s="21" t="str">
        <f>IFERROR(__xludf.DUMMYFUNCTION("""COMPUTED_VALUE"""),"Bindu s menon")</f>
        <v>Bindu s menon</v>
      </c>
      <c r="S27" s="21" t="str">
        <f>IFERROR(__xludf.DUMMYFUNCTION("""COMPUTED_VALUE"""),"Retired higher secondary school teacher")</f>
        <v>Retired higher secondary school teacher</v>
      </c>
      <c r="T27" s="21" t="str">
        <f>IFERROR(__xludf.DUMMYFUNCTION("""COMPUTED_VALUE"""),"Malappuram kerala")</f>
        <v>Malappuram kerala</v>
      </c>
      <c r="U27" s="21">
        <f>IFERROR(__xludf.DUMMYFUNCTION("""COMPUTED_VALUE"""),9.447289191E9)</f>
        <v>9447289191</v>
      </c>
      <c r="V27" s="21">
        <f>IFERROR(__xludf.DUMMYFUNCTION("""COMPUTED_VALUE"""),1.0)</f>
        <v>1</v>
      </c>
      <c r="W27" s="21" t="str">
        <f>IFERROR(__xludf.DUMMYFUNCTION("""COMPUTED_VALUE"""),"Bindu s menon")</f>
        <v>Bindu s menon</v>
      </c>
      <c r="X27" s="21" t="str">
        <f>IFERROR(__xludf.DUMMYFUNCTION("""COMPUTED_VALUE"""),"Mother")</f>
        <v>Mother</v>
      </c>
      <c r="Y27" s="21"/>
      <c r="Z27" s="21"/>
      <c r="AA27" s="21" t="str">
        <f>IFERROR(__xludf.DUMMYFUNCTION("""COMPUTED_VALUE"""),"Non-Veg")</f>
        <v>Non-Veg</v>
      </c>
      <c r="AB27" s="21" t="str">
        <f>IFERROR(__xludf.DUMMYFUNCTION("""COMPUTED_VALUE"""),"Non-Veg")</f>
        <v>Non-Veg</v>
      </c>
      <c r="AC27" s="21"/>
      <c r="AD27" s="21" t="str">
        <f>IFERROR(__xludf.DUMMYFUNCTION("""COMPUTED_VALUE"""),"Bus Drop Service not needed")</f>
        <v>Bus Drop Service not needed</v>
      </c>
      <c r="AE27" s="21">
        <f>IFERROR(__xludf.DUMMYFUNCTION("""COMPUTED_VALUE"""),0.0)</f>
        <v>0</v>
      </c>
    </row>
    <row r="28" ht="22.5" customHeight="1">
      <c r="A28" s="18">
        <f>IFERROR(__xludf.DUMMYFUNCTION("""COMPUTED_VALUE"""),46265.739547731486)</f>
        <v>46265.73955</v>
      </c>
      <c r="B28" s="21" t="str">
        <f>IFERROR(__xludf.DUMMYFUNCTION("""COMPUTED_VALUE"""),"rahul.mbbs-2020@aiimskalyani.edu.in")</f>
        <v>rahul.mbbs-2020@aiimskalyani.edu.in</v>
      </c>
      <c r="C28" s="21" t="str">
        <f>IFERROR(__xludf.DUMMYFUNCTION("""COMPUTED_VALUE"""),"RAHUL")</f>
        <v>RAHUL</v>
      </c>
      <c r="D28" s="21">
        <f>IFERROR(__xludf.DUMMYFUNCTION("""COMPUTED_VALUE"""),2.02001122E8)</f>
        <v>202001122</v>
      </c>
      <c r="E28" s="21" t="str">
        <f>IFERROR(__xludf.DUMMYFUNCTION("""COMPUTED_VALUE"""),"MBBS 2020")</f>
        <v>MBBS 2020</v>
      </c>
      <c r="F28" s="21">
        <f>IFERROR(__xludf.DUMMYFUNCTION("""COMPUTED_VALUE"""),8.708840109E9)</f>
        <v>8708840109</v>
      </c>
      <c r="G28" s="21" t="str">
        <f>IFERROR(__xludf.DUMMYFUNCTION("""COMPUTED_VALUE"""),"rahulsaini786xx@gmail.com")</f>
        <v>rahulsaini786xx@gmail.com</v>
      </c>
      <c r="H28" s="21" t="str">
        <f>IFERROR(__xludf.DUMMYFUNCTION("""COMPUTED_VALUE"""),"Yes")</f>
        <v>Yes</v>
      </c>
      <c r="I28" s="21" t="str">
        <f>IFERROR(__xludf.DUMMYFUNCTION("""COMPUTED_VALUE"""),"Philosophy, Investing ")</f>
        <v>Philosophy, Investing </v>
      </c>
      <c r="J28" s="21" t="str">
        <f>IFERROR(__xludf.DUMMYFUNCTION("""COMPUTED_VALUE"""),"Nothing")</f>
        <v>Nothing</v>
      </c>
      <c r="K28" s="21" t="str">
        <f>IFERROR(__xludf.DUMMYFUNCTION("""COMPUTED_VALUE"""),"Bhiwani, Haryana")</f>
        <v>Bhiwani, Haryana</v>
      </c>
      <c r="L28" s="22" t="str">
        <f>IFERROR(__xludf.DUMMYFUNCTION("""COMPUTED_VALUE"""),"https://drive.google.com/open?id=19EwT0DyI9ymplMGneLNVBtIwc514sR_h")</f>
        <v>https://drive.google.com/open?id=19EwT0DyI9ymplMGneLNVBtIwc514sR_h</v>
      </c>
      <c r="M28" s="22" t="str">
        <f>IFERROR(__xludf.DUMMYFUNCTION("""COMPUTED_VALUE"""),"https://drive.google.com/open?id=16D4ecvv2U-2snIq82bZDHRLLQSpNeuZL")</f>
        <v>https://drive.google.com/open?id=16D4ecvv2U-2snIq82bZDHRLLQSpNeuZL</v>
      </c>
      <c r="N28" s="21" t="str">
        <f>IFERROR(__xludf.DUMMYFUNCTION("""COMPUTED_VALUE"""),"Om Parkash")</f>
        <v>Om Parkash</v>
      </c>
      <c r="O28" s="21" t="str">
        <f>IFERROR(__xludf.DUMMYFUNCTION("""COMPUTED_VALUE"""),"Wholeseller")</f>
        <v>Wholeseller</v>
      </c>
      <c r="P28" s="21" t="str">
        <f>IFERROR(__xludf.DUMMYFUNCTION("""COMPUTED_VALUE"""),"Bhiwani, Haryana")</f>
        <v>Bhiwani, Haryana</v>
      </c>
      <c r="Q28" s="21">
        <f>IFERROR(__xludf.DUMMYFUNCTION("""COMPUTED_VALUE"""),9.354106596E9)</f>
        <v>9354106596</v>
      </c>
      <c r="R28" s="21" t="str">
        <f>IFERROR(__xludf.DUMMYFUNCTION("""COMPUTED_VALUE"""),"Maina")</f>
        <v>Maina</v>
      </c>
      <c r="S28" s="21" t="str">
        <f>IFERROR(__xludf.DUMMYFUNCTION("""COMPUTED_VALUE"""),"Housewife")</f>
        <v>Housewife</v>
      </c>
      <c r="T28" s="21" t="str">
        <f>IFERROR(__xludf.DUMMYFUNCTION("""COMPUTED_VALUE"""),"Bhiwani, Haryana")</f>
        <v>Bhiwani, Haryana</v>
      </c>
      <c r="U28" s="21">
        <f>IFERROR(__xludf.DUMMYFUNCTION("""COMPUTED_VALUE"""),9.03450506E9)</f>
        <v>9034505060</v>
      </c>
      <c r="V28" s="21">
        <f>IFERROR(__xludf.DUMMYFUNCTION("""COMPUTED_VALUE"""),0.0)</f>
        <v>0</v>
      </c>
      <c r="W28" s="21"/>
      <c r="X28" s="21"/>
      <c r="Y28" s="21"/>
      <c r="Z28" s="21"/>
      <c r="AA28" s="21" t="str">
        <f>IFERROR(__xludf.DUMMYFUNCTION("""COMPUTED_VALUE"""),"Veg")</f>
        <v>Veg</v>
      </c>
      <c r="AB28" s="21"/>
      <c r="AC28" s="21"/>
      <c r="AD28" s="21" t="str">
        <f>IFERROR(__xludf.DUMMYFUNCTION("""COMPUTED_VALUE"""),"Bus Drop Service not needed")</f>
        <v>Bus Drop Service not needed</v>
      </c>
      <c r="AE28" s="21">
        <f>IFERROR(__xludf.DUMMYFUNCTION("""COMPUTED_VALUE"""),0.0)</f>
        <v>0</v>
      </c>
    </row>
    <row r="29" ht="22.5" customHeight="1">
      <c r="A29" s="18">
        <f>IFERROR(__xludf.DUMMYFUNCTION("""COMPUTED_VALUE"""),46265.73353038194)</f>
        <v>46265.73353</v>
      </c>
      <c r="B29" s="21" t="str">
        <f>IFERROR(__xludf.DUMMYFUNCTION("""COMPUTED_VALUE"""),"rohitraj.mbbs-2020@aiimskalyani.edu.in")</f>
        <v>rohitraj.mbbs-2020@aiimskalyani.edu.in</v>
      </c>
      <c r="C29" s="21" t="str">
        <f>IFERROR(__xludf.DUMMYFUNCTION("""COMPUTED_VALUE"""),"ROHIT RAJ KHANDELWAL")</f>
        <v>ROHIT RAJ KHANDELWAL</v>
      </c>
      <c r="D29" s="21" t="str">
        <f>IFERROR(__xludf.DUMMYFUNCTION("""COMPUTED_VALUE"""),"79/ 202001129")</f>
        <v>79/ 202001129</v>
      </c>
      <c r="E29" s="21" t="str">
        <f>IFERROR(__xludf.DUMMYFUNCTION("""COMPUTED_VALUE"""),"MBBS 2020")</f>
        <v>MBBS 2020</v>
      </c>
      <c r="F29" s="21">
        <f>IFERROR(__xludf.DUMMYFUNCTION("""COMPUTED_VALUE"""),9.674313474E9)</f>
        <v>9674313474</v>
      </c>
      <c r="G29" s="21" t="str">
        <f>IFERROR(__xludf.DUMMYFUNCTION("""COMPUTED_VALUE"""),"dr.rohitrajkhandelwal@gmail.com")</f>
        <v>dr.rohitrajkhandelwal@gmail.com</v>
      </c>
      <c r="H29" s="21" t="str">
        <f>IFERROR(__xludf.DUMMYFUNCTION("""COMPUTED_VALUE"""),"Yes")</f>
        <v>Yes</v>
      </c>
      <c r="I29" s="21" t="str">
        <f>IFERROR(__xludf.DUMMYFUNCTION("""COMPUTED_VALUE"""),"Running, cycling, swimming  and listening to music.")</f>
        <v>Running, cycling, swimming  and listening to music.</v>
      </c>
      <c r="J29" s="21"/>
      <c r="K29" s="21" t="str">
        <f>IFERROR(__xludf.DUMMYFUNCTION("""COMPUTED_VALUE"""),"Bhubaneswar ")</f>
        <v>Bhubaneswar </v>
      </c>
      <c r="L29" s="22" t="str">
        <f>IFERROR(__xludf.DUMMYFUNCTION("""COMPUTED_VALUE"""),"https://drive.google.com/open?id=1ovuJzV1YJeltkjQ5ns0tq9hIDvmeEvu6")</f>
        <v>https://drive.google.com/open?id=1ovuJzV1YJeltkjQ5ns0tq9hIDvmeEvu6</v>
      </c>
      <c r="M29" s="22" t="str">
        <f>IFERROR(__xludf.DUMMYFUNCTION("""COMPUTED_VALUE"""),"https://drive.google.com/open?id=1ects1CDfcrcZZ_DjgDuwb7jaJ_2TyWUp")</f>
        <v>https://drive.google.com/open?id=1ects1CDfcrcZZ_DjgDuwb7jaJ_2TyWUp</v>
      </c>
      <c r="N29" s="21" t="str">
        <f>IFERROR(__xludf.DUMMYFUNCTION("""COMPUTED_VALUE"""),"Arun kumar khandelwal ")</f>
        <v>Arun kumar khandelwal </v>
      </c>
      <c r="O29" s="21" t="str">
        <f>IFERROR(__xludf.DUMMYFUNCTION("""COMPUTED_VALUE"""),"Chief Manager (retired) - Bank of Baroda")</f>
        <v>Chief Manager (retired) - Bank of Baroda</v>
      </c>
      <c r="P29" s="21" t="str">
        <f>IFERROR(__xludf.DUMMYFUNCTION("""COMPUTED_VALUE"""),"Bhubaneswar ")</f>
        <v>Bhubaneswar </v>
      </c>
      <c r="Q29" s="21">
        <f>IFERROR(__xludf.DUMMYFUNCTION("""COMPUTED_VALUE"""),9.433621899E9)</f>
        <v>9433621899</v>
      </c>
      <c r="R29" s="21" t="str">
        <f>IFERROR(__xludf.DUMMYFUNCTION("""COMPUTED_VALUE"""),"Sarita Gupta")</f>
        <v>Sarita Gupta</v>
      </c>
      <c r="S29" s="21" t="str">
        <f>IFERROR(__xludf.DUMMYFUNCTION("""COMPUTED_VALUE"""),"Tax consultant ")</f>
        <v>Tax consultant </v>
      </c>
      <c r="T29" s="21" t="str">
        <f>IFERROR(__xludf.DUMMYFUNCTION("""COMPUTED_VALUE"""),"Bhubaneswar ")</f>
        <v>Bhubaneswar </v>
      </c>
      <c r="U29" s="21">
        <f>IFERROR(__xludf.DUMMYFUNCTION("""COMPUTED_VALUE"""),9.674313292E9)</f>
        <v>9674313292</v>
      </c>
      <c r="V29" s="21">
        <f>IFERROR(__xludf.DUMMYFUNCTION("""COMPUTED_VALUE"""),2.0)</f>
        <v>2</v>
      </c>
      <c r="W29" s="21" t="str">
        <f>IFERROR(__xludf.DUMMYFUNCTION("""COMPUTED_VALUE"""),"Arun kumar khandelwal ")</f>
        <v>Arun kumar khandelwal </v>
      </c>
      <c r="X29" s="21" t="str">
        <f>IFERROR(__xludf.DUMMYFUNCTION("""COMPUTED_VALUE"""),"Father")</f>
        <v>Father</v>
      </c>
      <c r="Y29" s="21" t="str">
        <f>IFERROR(__xludf.DUMMYFUNCTION("""COMPUTED_VALUE"""),"Sarita gupta ")</f>
        <v>Sarita gupta </v>
      </c>
      <c r="Z29" s="21" t="str">
        <f>IFERROR(__xludf.DUMMYFUNCTION("""COMPUTED_VALUE"""),"Mother")</f>
        <v>Mother</v>
      </c>
      <c r="AA29" s="21" t="str">
        <f>IFERROR(__xludf.DUMMYFUNCTION("""COMPUTED_VALUE"""),"Veg")</f>
        <v>Veg</v>
      </c>
      <c r="AB29" s="21" t="str">
        <f>IFERROR(__xludf.DUMMYFUNCTION("""COMPUTED_VALUE"""),"Veg")</f>
        <v>Veg</v>
      </c>
      <c r="AC29" s="21" t="str">
        <f>IFERROR(__xludf.DUMMYFUNCTION("""COMPUTED_VALUE"""),"Veg")</f>
        <v>Veg</v>
      </c>
      <c r="AD29" s="21" t="str">
        <f>IFERROR(__xludf.DUMMYFUNCTION("""COMPUTED_VALUE"""),"Bus Drop Service not needed")</f>
        <v>Bus Drop Service not needed</v>
      </c>
      <c r="AE29" s="21"/>
    </row>
    <row r="30" ht="22.5" customHeight="1">
      <c r="A30" s="18">
        <f>IFERROR(__xludf.DUMMYFUNCTION("""COMPUTED_VALUE"""),46265.73187701389)</f>
        <v>46265.73188</v>
      </c>
      <c r="B30" s="21" t="str">
        <f>IFERROR(__xludf.DUMMYFUNCTION("""COMPUTED_VALUE"""),"arman.mbbs-2020@aiimskalyani.edu.in")</f>
        <v>arman.mbbs-2020@aiimskalyani.edu.in</v>
      </c>
      <c r="C30" s="21" t="str">
        <f>IFERROR(__xludf.DUMMYFUNCTION("""COMPUTED_VALUE"""),"ARMAN ANSARI ")</f>
        <v>ARMAN ANSARI </v>
      </c>
      <c r="D30" s="21">
        <f>IFERROR(__xludf.DUMMYFUNCTION("""COMPUTED_VALUE"""),2.0200175E7)</f>
        <v>20200175</v>
      </c>
      <c r="E30" s="21" t="str">
        <f>IFERROR(__xludf.DUMMYFUNCTION("""COMPUTED_VALUE"""),"MBBS 2020")</f>
        <v>MBBS 2020</v>
      </c>
      <c r="F30" s="21">
        <f>IFERROR(__xludf.DUMMYFUNCTION("""COMPUTED_VALUE"""),9.110037439E9)</f>
        <v>9110037439</v>
      </c>
      <c r="G30" s="21" t="str">
        <f>IFERROR(__xludf.DUMMYFUNCTION("""COMPUTED_VALUE"""),"arman.mbbs-2020@aiimskalyani.edu.in")</f>
        <v>arman.mbbs-2020@aiimskalyani.edu.in</v>
      </c>
      <c r="H30" s="21" t="str">
        <f>IFERROR(__xludf.DUMMYFUNCTION("""COMPUTED_VALUE"""),"Yes")</f>
        <v>Yes</v>
      </c>
      <c r="I30" s="21" t="str">
        <f>IFERROR(__xludf.DUMMYFUNCTION("""COMPUTED_VALUE"""),"Poetry")</f>
        <v>Poetry</v>
      </c>
      <c r="J30" s="21" t="str">
        <f>IFERROR(__xludf.DUMMYFUNCTION("""COMPUTED_VALUE"""),"Cricket ")</f>
        <v>Cricket </v>
      </c>
      <c r="K30" s="21" t="str">
        <f>IFERROR(__xludf.DUMMYFUNCTION("""COMPUTED_VALUE"""),"Pakur")</f>
        <v>Pakur</v>
      </c>
      <c r="L30" s="22" t="str">
        <f>IFERROR(__xludf.DUMMYFUNCTION("""COMPUTED_VALUE"""),"https://drive.google.com/open?id=1pkclO8SBRQ8Fkb84z4IuG_c-Fm5zLbqA")</f>
        <v>https://drive.google.com/open?id=1pkclO8SBRQ8Fkb84z4IuG_c-Fm5zLbqA</v>
      </c>
      <c r="M30" s="22" t="str">
        <f>IFERROR(__xludf.DUMMYFUNCTION("""COMPUTED_VALUE"""),"https://drive.google.com/open?id=1MCjRAjVQhzPZIpdpPzV6gSW3D60B3guq")</f>
        <v>https://drive.google.com/open?id=1MCjRAjVQhzPZIpdpPzV6gSW3D60B3guq</v>
      </c>
      <c r="N30" s="21" t="str">
        <f>IFERROR(__xludf.DUMMYFUNCTION("""COMPUTED_VALUE"""),"LIYAKAT ALI ")</f>
        <v>LIYAKAT ALI </v>
      </c>
      <c r="O30" s="21" t="str">
        <f>IFERROR(__xludf.DUMMYFUNCTION("""COMPUTED_VALUE"""),"Business ")</f>
        <v>Business </v>
      </c>
      <c r="P30" s="21" t="str">
        <f>IFERROR(__xludf.DUMMYFUNCTION("""COMPUTED_VALUE"""),"Pakur")</f>
        <v>Pakur</v>
      </c>
      <c r="Q30" s="21">
        <f>IFERROR(__xludf.DUMMYFUNCTION("""COMPUTED_VALUE"""),9.110037439E9)</f>
        <v>9110037439</v>
      </c>
      <c r="R30" s="21" t="str">
        <f>IFERROR(__xludf.DUMMYFUNCTION("""COMPUTED_VALUE"""),"RUBI BEGAM ")</f>
        <v>RUBI BEGAM </v>
      </c>
      <c r="S30" s="21" t="str">
        <f>IFERROR(__xludf.DUMMYFUNCTION("""COMPUTED_VALUE"""),"Homemaker ")</f>
        <v>Homemaker </v>
      </c>
      <c r="T30" s="21" t="str">
        <f>IFERROR(__xludf.DUMMYFUNCTION("""COMPUTED_VALUE"""),"Pakur ")</f>
        <v>Pakur </v>
      </c>
      <c r="U30" s="21">
        <f>IFERROR(__xludf.DUMMYFUNCTION("""COMPUTED_VALUE"""),9.110037439E9)</f>
        <v>9110037439</v>
      </c>
      <c r="V30" s="21">
        <f>IFERROR(__xludf.DUMMYFUNCTION("""COMPUTED_VALUE"""),2.0)</f>
        <v>2</v>
      </c>
      <c r="W30" s="21" t="str">
        <f>IFERROR(__xludf.DUMMYFUNCTION("""COMPUTED_VALUE"""),"RUBI BEGAM ")</f>
        <v>RUBI BEGAM </v>
      </c>
      <c r="X30" s="21" t="str">
        <f>IFERROR(__xludf.DUMMYFUNCTION("""COMPUTED_VALUE"""),"Mother ")</f>
        <v>Mother </v>
      </c>
      <c r="Y30" s="21" t="str">
        <f>IFERROR(__xludf.DUMMYFUNCTION("""COMPUTED_VALUE"""),"LIYAKAT Ali ")</f>
        <v>LIYAKAT Ali </v>
      </c>
      <c r="Z30" s="21" t="str">
        <f>IFERROR(__xludf.DUMMYFUNCTION("""COMPUTED_VALUE"""),"Father")</f>
        <v>Father</v>
      </c>
      <c r="AA30" s="21" t="str">
        <f>IFERROR(__xludf.DUMMYFUNCTION("""COMPUTED_VALUE"""),"Non-Veg")</f>
        <v>Non-Veg</v>
      </c>
      <c r="AB30" s="21" t="str">
        <f>IFERROR(__xludf.DUMMYFUNCTION("""COMPUTED_VALUE"""),"Non-Veg")</f>
        <v>Non-Veg</v>
      </c>
      <c r="AC30" s="21" t="str">
        <f>IFERROR(__xludf.DUMMYFUNCTION("""COMPUTED_VALUE"""),"Non-Veg")</f>
        <v>Non-Veg</v>
      </c>
      <c r="AD30" s="21" t="str">
        <f>IFERROR(__xludf.DUMMYFUNCTION("""COMPUTED_VALUE"""),"Drop at Kalyani Railway Station")</f>
        <v>Drop at Kalyani Railway Station</v>
      </c>
      <c r="AE30" s="21">
        <f>IFERROR(__xludf.DUMMYFUNCTION("""COMPUTED_VALUE"""),3.0)</f>
        <v>3</v>
      </c>
    </row>
    <row r="31" ht="22.5" customHeight="1">
      <c r="A31" s="18">
        <f>IFERROR(__xludf.DUMMYFUNCTION("""COMPUTED_VALUE"""),46265.72574436343)</f>
        <v>46265.72574</v>
      </c>
      <c r="B31" s="21" t="str">
        <f>IFERROR(__xludf.DUMMYFUNCTION("""COMPUTED_VALUE"""),"anurags.mbbs-2020@aiimskalyani.edu.in")</f>
        <v>anurags.mbbs-2020@aiimskalyani.edu.in</v>
      </c>
      <c r="C31" s="21" t="str">
        <f>IFERROR(__xludf.DUMMYFUNCTION("""COMPUTED_VALUE"""),"ANURAG SAMANTA")</f>
        <v>ANURAG SAMANTA</v>
      </c>
      <c r="D31" s="21" t="str">
        <f>IFERROR(__xludf.DUMMYFUNCTION("""COMPUTED_VALUE"""),"21/20200171")</f>
        <v>21/20200171</v>
      </c>
      <c r="E31" s="21" t="str">
        <f>IFERROR(__xludf.DUMMYFUNCTION("""COMPUTED_VALUE"""),"MBBS 2020")</f>
        <v>MBBS 2020</v>
      </c>
      <c r="F31" s="21">
        <f>IFERROR(__xludf.DUMMYFUNCTION("""COMPUTED_VALUE"""),7.602481593E9)</f>
        <v>7602481593</v>
      </c>
      <c r="G31" s="21" t="str">
        <f>IFERROR(__xludf.DUMMYFUNCTION("""COMPUTED_VALUE"""),"anurags.mbbs-2020@aiimskalyani.edu.in")</f>
        <v>anurags.mbbs-2020@aiimskalyani.edu.in</v>
      </c>
      <c r="H31" s="21" t="str">
        <f>IFERROR(__xludf.DUMMYFUNCTION("""COMPUTED_VALUE"""),"Yes")</f>
        <v>Yes</v>
      </c>
      <c r="I31" s="21" t="str">
        <f>IFERROR(__xludf.DUMMYFUNCTION("""COMPUTED_VALUE"""),"Travelling and fitness ")</f>
        <v>Travelling and fitness </v>
      </c>
      <c r="J31" s="21" t="str">
        <f>IFERROR(__xludf.DUMMYFUNCTION("""COMPUTED_VALUE"""),"Volleyball ")</f>
        <v>Volleyball </v>
      </c>
      <c r="K31" s="21" t="str">
        <f>IFERROR(__xludf.DUMMYFUNCTION("""COMPUTED_VALUE"""),"Mecheda ,Purba Medinipur ")</f>
        <v>Mecheda ,Purba Medinipur </v>
      </c>
      <c r="L31" s="22" t="str">
        <f>IFERROR(__xludf.DUMMYFUNCTION("""COMPUTED_VALUE"""),"https://drive.google.com/open?id=1PIlB8a8fUozyBqhUyq_KQHq_JBJw6yY6")</f>
        <v>https://drive.google.com/open?id=1PIlB8a8fUozyBqhUyq_KQHq_JBJw6yY6</v>
      </c>
      <c r="M31" s="22" t="str">
        <f>IFERROR(__xludf.DUMMYFUNCTION("""COMPUTED_VALUE"""),"https://drive.google.com/open?id=1jSid3nJ-FX0dAF3RNvRUcB9xyo_NyaIZ")</f>
        <v>https://drive.google.com/open?id=1jSid3nJ-FX0dAF3RNvRUcB9xyo_NyaIZ</v>
      </c>
      <c r="N31" s="21" t="str">
        <f>IFERROR(__xludf.DUMMYFUNCTION("""COMPUTED_VALUE"""),"SAMARESH SAMANTA")</f>
        <v>SAMARESH SAMANTA</v>
      </c>
      <c r="O31" s="21" t="str">
        <f>IFERROR(__xludf.DUMMYFUNCTION("""COMPUTED_VALUE"""),"Retired Office Superintendent in Indian Railways ")</f>
        <v>Retired Office Superintendent in Indian Railways </v>
      </c>
      <c r="P31" s="21" t="str">
        <f>IFERROR(__xludf.DUMMYFUNCTION("""COMPUTED_VALUE"""),"Mecheda,Purba Medinipur ")</f>
        <v>Mecheda,Purba Medinipur </v>
      </c>
      <c r="Q31" s="21">
        <f>IFERROR(__xludf.DUMMYFUNCTION("""COMPUTED_VALUE"""),9.475256007E9)</f>
        <v>9475256007</v>
      </c>
      <c r="R31" s="21" t="str">
        <f>IFERROR(__xludf.DUMMYFUNCTION("""COMPUTED_VALUE"""),"SNIGDHA SAMANTA")</f>
        <v>SNIGDHA SAMANTA</v>
      </c>
      <c r="S31" s="21" t="str">
        <f>IFERROR(__xludf.DUMMYFUNCTION("""COMPUTED_VALUE"""),"Staff Nurse in Government of West Bengal")</f>
        <v>Staff Nurse in Government of West Bengal</v>
      </c>
      <c r="T31" s="21" t="str">
        <f>IFERROR(__xludf.DUMMYFUNCTION("""COMPUTED_VALUE"""),"Debra,Paschim Medinipur ")</f>
        <v>Debra,Paschim Medinipur </v>
      </c>
      <c r="U31" s="21">
        <f>IFERROR(__xludf.DUMMYFUNCTION("""COMPUTED_VALUE"""),9.476480249E9)</f>
        <v>9476480249</v>
      </c>
      <c r="V31" s="21">
        <f>IFERROR(__xludf.DUMMYFUNCTION("""COMPUTED_VALUE"""),2.0)</f>
        <v>2</v>
      </c>
      <c r="W31" s="21" t="str">
        <f>IFERROR(__xludf.DUMMYFUNCTION("""COMPUTED_VALUE"""),"SAMARESH SAMANTA")</f>
        <v>SAMARESH SAMANTA</v>
      </c>
      <c r="X31" s="21" t="str">
        <f>IFERROR(__xludf.DUMMYFUNCTION("""COMPUTED_VALUE"""),"Father")</f>
        <v>Father</v>
      </c>
      <c r="Y31" s="21" t="str">
        <f>IFERROR(__xludf.DUMMYFUNCTION("""COMPUTED_VALUE"""),"SNIGDHA SAMANTA")</f>
        <v>SNIGDHA SAMANTA</v>
      </c>
      <c r="Z31" s="21" t="str">
        <f>IFERROR(__xludf.DUMMYFUNCTION("""COMPUTED_VALUE"""),"Mother")</f>
        <v>Mother</v>
      </c>
      <c r="AA31" s="21" t="str">
        <f>IFERROR(__xludf.DUMMYFUNCTION("""COMPUTED_VALUE"""),"Non-Veg")</f>
        <v>Non-Veg</v>
      </c>
      <c r="AB31" s="21" t="str">
        <f>IFERROR(__xludf.DUMMYFUNCTION("""COMPUTED_VALUE"""),"Non-Veg")</f>
        <v>Non-Veg</v>
      </c>
      <c r="AC31" s="21" t="str">
        <f>IFERROR(__xludf.DUMMYFUNCTION("""COMPUTED_VALUE"""),"Non-Veg")</f>
        <v>Non-Veg</v>
      </c>
      <c r="AD31" s="21" t="str">
        <f>IFERROR(__xludf.DUMMYFUNCTION("""COMPUTED_VALUE"""),"Bus Drop Service not needed")</f>
        <v>Bus Drop Service not needed</v>
      </c>
      <c r="AE31" s="21"/>
    </row>
    <row r="32" ht="22.5" customHeight="1">
      <c r="A32" s="18">
        <f>IFERROR(__xludf.DUMMYFUNCTION("""COMPUTED_VALUE"""),46265.724526122685)</f>
        <v>46265.72453</v>
      </c>
      <c r="B32" s="21" t="str">
        <f>IFERROR(__xludf.DUMMYFUNCTION("""COMPUTED_VALUE"""),"aprajita.mbbs-2020@aiimskalyani.edu.in")</f>
        <v>aprajita.mbbs-2020@aiimskalyani.edu.in</v>
      </c>
      <c r="C32" s="21" t="str">
        <f>IFERROR(__xludf.DUMMYFUNCTION("""COMPUTED_VALUE"""),"APRAJITA")</f>
        <v>APRAJITA</v>
      </c>
      <c r="D32" s="21">
        <f>IFERROR(__xludf.DUMMYFUNCTION("""COMPUTED_VALUE"""),2.0200173E7)</f>
        <v>20200173</v>
      </c>
      <c r="E32" s="21" t="str">
        <f>IFERROR(__xludf.DUMMYFUNCTION("""COMPUTED_VALUE"""),"MBBS 2020")</f>
        <v>MBBS 2020</v>
      </c>
      <c r="F32" s="21">
        <f>IFERROR(__xludf.DUMMYFUNCTION("""COMPUTED_VALUE"""),9.142852466E9)</f>
        <v>9142852466</v>
      </c>
      <c r="G32" s="21" t="str">
        <f>IFERROR(__xludf.DUMMYFUNCTION("""COMPUTED_VALUE"""),"aprajita.mbbs-2020@aiimskalyani.edu.in")</f>
        <v>aprajita.mbbs-2020@aiimskalyani.edu.in</v>
      </c>
      <c r="H32" s="21" t="str">
        <f>IFERROR(__xludf.DUMMYFUNCTION("""COMPUTED_VALUE"""),"Yes")</f>
        <v>Yes</v>
      </c>
      <c r="I32" s="21" t="str">
        <f>IFERROR(__xludf.DUMMYFUNCTION("""COMPUTED_VALUE"""),"Sports(badminton,throwball,carrom) , ")</f>
        <v>Sports(badminton,throwball,carrom) , </v>
      </c>
      <c r="J32" s="21" t="str">
        <f>IFERROR(__xludf.DUMMYFUNCTION("""COMPUTED_VALUE"""),"Best female sports award ,  sports club head ")</f>
        <v>Best female sports award ,  sports club head </v>
      </c>
      <c r="K32" s="21" t="str">
        <f>IFERROR(__xludf.DUMMYFUNCTION("""COMPUTED_VALUE"""),"Bihar")</f>
        <v>Bihar</v>
      </c>
      <c r="L32" s="22" t="str">
        <f>IFERROR(__xludf.DUMMYFUNCTION("""COMPUTED_VALUE"""),"https://drive.google.com/open?id=1HQrbUDwE2Dr-HEe-H8jo9KfYUnZ7KBe5")</f>
        <v>https://drive.google.com/open?id=1HQrbUDwE2Dr-HEe-H8jo9KfYUnZ7KBe5</v>
      </c>
      <c r="M32" s="22" t="str">
        <f>IFERROR(__xludf.DUMMYFUNCTION("""COMPUTED_VALUE"""),"https://drive.google.com/open?id=1bfBdhx5yPF7amqqYEypjXEoZcqC-Ho1d")</f>
        <v>https://drive.google.com/open?id=1bfBdhx5yPF7amqqYEypjXEoZcqC-Ho1d</v>
      </c>
      <c r="N32" s="21" t="str">
        <f>IFERROR(__xludf.DUMMYFUNCTION("""COMPUTED_VALUE"""),"Kumar Manoj")</f>
        <v>Kumar Manoj</v>
      </c>
      <c r="O32" s="21" t="str">
        <f>IFERROR(__xludf.DUMMYFUNCTION("""COMPUTED_VALUE"""),"Business")</f>
        <v>Business</v>
      </c>
      <c r="P32" s="21" t="str">
        <f>IFERROR(__xludf.DUMMYFUNCTION("""COMPUTED_VALUE"""),"Sikandra, jamui, bihar")</f>
        <v>Sikandra, jamui, bihar</v>
      </c>
      <c r="Q32" s="21">
        <f>IFERROR(__xludf.DUMMYFUNCTION("""COMPUTED_VALUE"""),9.229970275E9)</f>
        <v>9229970275</v>
      </c>
      <c r="R32" s="21" t="str">
        <f>IFERROR(__xludf.DUMMYFUNCTION("""COMPUTED_VALUE"""),"Manju devi")</f>
        <v>Manju devi</v>
      </c>
      <c r="S32" s="21" t="str">
        <f>IFERROR(__xludf.DUMMYFUNCTION("""COMPUTED_VALUE"""),"Homemaker")</f>
        <v>Homemaker</v>
      </c>
      <c r="T32" s="21" t="str">
        <f>IFERROR(__xludf.DUMMYFUNCTION("""COMPUTED_VALUE"""),"Sikandra, jamui, Bihar")</f>
        <v>Sikandra, jamui, Bihar</v>
      </c>
      <c r="U32" s="21">
        <f>IFERROR(__xludf.DUMMYFUNCTION("""COMPUTED_VALUE"""),6.201534568E9)</f>
        <v>6201534568</v>
      </c>
      <c r="V32" s="21">
        <f>IFERROR(__xludf.DUMMYFUNCTION("""COMPUTED_VALUE"""),2.0)</f>
        <v>2</v>
      </c>
      <c r="W32" s="21" t="str">
        <f>IFERROR(__xludf.DUMMYFUNCTION("""COMPUTED_VALUE"""),"Kumar manoj")</f>
        <v>Kumar manoj</v>
      </c>
      <c r="X32" s="21" t="str">
        <f>IFERROR(__xludf.DUMMYFUNCTION("""COMPUTED_VALUE"""),"Father")</f>
        <v>Father</v>
      </c>
      <c r="Y32" s="21" t="str">
        <f>IFERROR(__xludf.DUMMYFUNCTION("""COMPUTED_VALUE"""),"Manju devi")</f>
        <v>Manju devi</v>
      </c>
      <c r="Z32" s="21" t="str">
        <f>IFERROR(__xludf.DUMMYFUNCTION("""COMPUTED_VALUE"""),"Mother")</f>
        <v>Mother</v>
      </c>
      <c r="AA32" s="21" t="str">
        <f>IFERROR(__xludf.DUMMYFUNCTION("""COMPUTED_VALUE"""),"Non-Veg")</f>
        <v>Non-Veg</v>
      </c>
      <c r="AB32" s="21" t="str">
        <f>IFERROR(__xludf.DUMMYFUNCTION("""COMPUTED_VALUE"""),"Non-Veg")</f>
        <v>Non-Veg</v>
      </c>
      <c r="AC32" s="21" t="str">
        <f>IFERROR(__xludf.DUMMYFUNCTION("""COMPUTED_VALUE"""),"Non-Veg")</f>
        <v>Non-Veg</v>
      </c>
      <c r="AD32" s="21" t="str">
        <f>IFERROR(__xludf.DUMMYFUNCTION("""COMPUTED_VALUE"""),"Bus Drop Service not needed")</f>
        <v>Bus Drop Service not needed</v>
      </c>
      <c r="AE32" s="21">
        <f>IFERROR(__xludf.DUMMYFUNCTION("""COMPUTED_VALUE"""),0.0)</f>
        <v>0</v>
      </c>
    </row>
    <row r="33" ht="22.5" customHeight="1">
      <c r="A33" s="18">
        <f>IFERROR(__xludf.DUMMYFUNCTION("""COMPUTED_VALUE"""),46265.71912721064)</f>
        <v>46265.71913</v>
      </c>
      <c r="B33" s="21" t="str">
        <f>IFERROR(__xludf.DUMMYFUNCTION("""COMPUTED_VALUE"""),"rohit.mbbs-2020@aiimskalyani.edu.in")</f>
        <v>rohit.mbbs-2020@aiimskalyani.edu.in</v>
      </c>
      <c r="C33" s="21" t="str">
        <f>IFERROR(__xludf.DUMMYFUNCTION("""COMPUTED_VALUE"""),"ROHIT KR SAHANI")</f>
        <v>ROHIT KR SAHANI</v>
      </c>
      <c r="D33" s="21">
        <f>IFERROR(__xludf.DUMMYFUNCTION("""COMPUTED_VALUE"""),2.02001128E8)</f>
        <v>202001128</v>
      </c>
      <c r="E33" s="21" t="str">
        <f>IFERROR(__xludf.DUMMYFUNCTION("""COMPUTED_VALUE"""),"MBBS 2020")</f>
        <v>MBBS 2020</v>
      </c>
      <c r="F33" s="21">
        <f>IFERROR(__xludf.DUMMYFUNCTION("""COMPUTED_VALUE"""),7.890847759E9)</f>
        <v>7890847759</v>
      </c>
      <c r="G33" s="21" t="str">
        <f>IFERROR(__xludf.DUMMYFUNCTION("""COMPUTED_VALUE"""),"rohitkrsahani2@gmail.com")</f>
        <v>rohitkrsahani2@gmail.com</v>
      </c>
      <c r="H33" s="21" t="str">
        <f>IFERROR(__xludf.DUMMYFUNCTION("""COMPUTED_VALUE"""),"Yes")</f>
        <v>Yes</v>
      </c>
      <c r="I33" s="21"/>
      <c r="J33" s="21"/>
      <c r="K33" s="21" t="str">
        <f>IFERROR(__xludf.DUMMYFUNCTION("""COMPUTED_VALUE"""),"Barrackpore ")</f>
        <v>Barrackpore </v>
      </c>
      <c r="L33" s="22" t="str">
        <f>IFERROR(__xludf.DUMMYFUNCTION("""COMPUTED_VALUE"""),"https://drive.google.com/open?id=1HU34fZM7HSXHjONRwz8ToBFkzv_qYsSW")</f>
        <v>https://drive.google.com/open?id=1HU34fZM7HSXHjONRwz8ToBFkzv_qYsSW</v>
      </c>
      <c r="M33" s="22" t="str">
        <f>IFERROR(__xludf.DUMMYFUNCTION("""COMPUTED_VALUE"""),"https://drive.google.com/open?id=1hSr_jp_RTXIQ1FKAYzWqj61dcxPdJLo7")</f>
        <v>https://drive.google.com/open?id=1hSr_jp_RTXIQ1FKAYzWqj61dcxPdJLo7</v>
      </c>
      <c r="N33" s="21" t="str">
        <f>IFERROR(__xludf.DUMMYFUNCTION("""COMPUTED_VALUE"""),"Binod Kr Sahani")</f>
        <v>Binod Kr Sahani</v>
      </c>
      <c r="O33" s="21" t="str">
        <f>IFERROR(__xludf.DUMMYFUNCTION("""COMPUTED_VALUE"""),"Central Government Job at CIFRI")</f>
        <v>Central Government Job at CIFRI</v>
      </c>
      <c r="P33" s="21" t="str">
        <f>IFERROR(__xludf.DUMMYFUNCTION("""COMPUTED_VALUE"""),"Barrackpore ")</f>
        <v>Barrackpore </v>
      </c>
      <c r="Q33" s="21">
        <f>IFERROR(__xludf.DUMMYFUNCTION("""COMPUTED_VALUE"""),9.038862029E9)</f>
        <v>9038862029</v>
      </c>
      <c r="R33" s="21" t="str">
        <f>IFERROR(__xludf.DUMMYFUNCTION("""COMPUTED_VALUE"""),"Neelam Devi")</f>
        <v>Neelam Devi</v>
      </c>
      <c r="S33" s="21" t="str">
        <f>IFERROR(__xludf.DUMMYFUNCTION("""COMPUTED_VALUE"""),"Home maker")</f>
        <v>Home maker</v>
      </c>
      <c r="T33" s="21" t="str">
        <f>IFERROR(__xludf.DUMMYFUNCTION("""COMPUTED_VALUE"""),"Barrackpore ")</f>
        <v>Barrackpore </v>
      </c>
      <c r="U33" s="21">
        <f>IFERROR(__xludf.DUMMYFUNCTION("""COMPUTED_VALUE"""),9.330230651E9)</f>
        <v>9330230651</v>
      </c>
      <c r="V33" s="21">
        <f>IFERROR(__xludf.DUMMYFUNCTION("""COMPUTED_VALUE"""),2.0)</f>
        <v>2</v>
      </c>
      <c r="W33" s="21" t="str">
        <f>IFERROR(__xludf.DUMMYFUNCTION("""COMPUTED_VALUE"""),"Binod kr Sahani")</f>
        <v>Binod kr Sahani</v>
      </c>
      <c r="X33" s="21" t="str">
        <f>IFERROR(__xludf.DUMMYFUNCTION("""COMPUTED_VALUE"""),"Father")</f>
        <v>Father</v>
      </c>
      <c r="Y33" s="21" t="str">
        <f>IFERROR(__xludf.DUMMYFUNCTION("""COMPUTED_VALUE"""),"Neelam Devi ")</f>
        <v>Neelam Devi </v>
      </c>
      <c r="Z33" s="21" t="str">
        <f>IFERROR(__xludf.DUMMYFUNCTION("""COMPUTED_VALUE"""),"Mother")</f>
        <v>Mother</v>
      </c>
      <c r="AA33" s="21" t="str">
        <f>IFERROR(__xludf.DUMMYFUNCTION("""COMPUTED_VALUE"""),"Veg")</f>
        <v>Veg</v>
      </c>
      <c r="AB33" s="21" t="str">
        <f>IFERROR(__xludf.DUMMYFUNCTION("""COMPUTED_VALUE"""),"Non-Veg")</f>
        <v>Non-Veg</v>
      </c>
      <c r="AC33" s="21" t="str">
        <f>IFERROR(__xludf.DUMMYFUNCTION("""COMPUTED_VALUE"""),"Veg")</f>
        <v>Veg</v>
      </c>
      <c r="AD33" s="21"/>
      <c r="AE33" s="21"/>
    </row>
    <row r="34" ht="22.5" customHeight="1">
      <c r="A34" s="18">
        <f>IFERROR(__xludf.DUMMYFUNCTION("""COMPUTED_VALUE"""),46265.71878545139)</f>
        <v>46265.71879</v>
      </c>
      <c r="B34" s="21" t="str">
        <f>IFERROR(__xludf.DUMMYFUNCTION("""COMPUTED_VALUE"""),"aman1.mbbs-2020@aiimskalyani.edu.in")</f>
        <v>aman1.mbbs-2020@aiimskalyani.edu.in</v>
      </c>
      <c r="C34" s="21" t="str">
        <f>IFERROR(__xludf.DUMMYFUNCTION("""COMPUTED_VALUE"""),"Aman Kumar ")</f>
        <v>Aman Kumar </v>
      </c>
      <c r="D34" s="21" t="str">
        <f>IFERROR(__xludf.DUMMYFUNCTION("""COMPUTED_VALUE"""),"10/20200160")</f>
        <v>10/20200160</v>
      </c>
      <c r="E34" s="21" t="str">
        <f>IFERROR(__xludf.DUMMYFUNCTION("""COMPUTED_VALUE"""),"MBBS 2020")</f>
        <v>MBBS 2020</v>
      </c>
      <c r="F34" s="21">
        <f>IFERROR(__xludf.DUMMYFUNCTION("""COMPUTED_VALUE"""),7.665571951E9)</f>
        <v>7665571951</v>
      </c>
      <c r="G34" s="21" t="str">
        <f>IFERROR(__xludf.DUMMYFUNCTION("""COMPUTED_VALUE"""),"aman1.mbbs-2020@aiimskalyani.edu.in")</f>
        <v>aman1.mbbs-2020@aiimskalyani.edu.in</v>
      </c>
      <c r="H34" s="21" t="str">
        <f>IFERROR(__xludf.DUMMYFUNCTION("""COMPUTED_VALUE"""),"Yes")</f>
        <v>Yes</v>
      </c>
      <c r="I34" s="21"/>
      <c r="J34" s="21"/>
      <c r="K34" s="21" t="str">
        <f>IFERROR(__xludf.DUMMYFUNCTION("""COMPUTED_VALUE"""),"Motihari ")</f>
        <v>Motihari </v>
      </c>
      <c r="L34" s="22" t="str">
        <f>IFERROR(__xludf.DUMMYFUNCTION("""COMPUTED_VALUE"""),"https://drive.google.com/open?id=1R1gtCqMAhDFfdQwMWOSS1fbnQcxnNxZR")</f>
        <v>https://drive.google.com/open?id=1R1gtCqMAhDFfdQwMWOSS1fbnQcxnNxZR</v>
      </c>
      <c r="M34" s="22" t="str">
        <f>IFERROR(__xludf.DUMMYFUNCTION("""COMPUTED_VALUE"""),"https://drive.google.com/open?id=1Fb6lfF9worxGAHa7aPvmrYXfqhbM3jAV")</f>
        <v>https://drive.google.com/open?id=1Fb6lfF9worxGAHa7aPvmrYXfqhbM3jAV</v>
      </c>
      <c r="N34" s="21" t="str">
        <f>IFERROR(__xludf.DUMMYFUNCTION("""COMPUTED_VALUE"""),"Arvind Kumar Singh ")</f>
        <v>Arvind Kumar Singh </v>
      </c>
      <c r="O34" s="21" t="str">
        <f>IFERROR(__xludf.DUMMYFUNCTION("""COMPUTED_VALUE"""),"Agriculture ")</f>
        <v>Agriculture </v>
      </c>
      <c r="P34" s="21" t="str">
        <f>IFERROR(__xludf.DUMMYFUNCTION("""COMPUTED_VALUE"""),"Motihari ")</f>
        <v>Motihari </v>
      </c>
      <c r="Q34" s="21">
        <f>IFERROR(__xludf.DUMMYFUNCTION("""COMPUTED_VALUE"""),9.006118054E9)</f>
        <v>9006118054</v>
      </c>
      <c r="R34" s="21" t="str">
        <f>IFERROR(__xludf.DUMMYFUNCTION("""COMPUTED_VALUE"""),"Ranjana Singh")</f>
        <v>Ranjana Singh</v>
      </c>
      <c r="S34" s="21" t="str">
        <f>IFERROR(__xludf.DUMMYFUNCTION("""COMPUTED_VALUE"""),"Homemaker ")</f>
        <v>Homemaker </v>
      </c>
      <c r="T34" s="21" t="str">
        <f>IFERROR(__xludf.DUMMYFUNCTION("""COMPUTED_VALUE"""),"Motihari ")</f>
        <v>Motihari </v>
      </c>
      <c r="U34" s="21">
        <f>IFERROR(__xludf.DUMMYFUNCTION("""COMPUTED_VALUE"""),9.006118054E9)</f>
        <v>9006118054</v>
      </c>
      <c r="V34" s="21">
        <f>IFERROR(__xludf.DUMMYFUNCTION("""COMPUTED_VALUE"""),1.0)</f>
        <v>1</v>
      </c>
      <c r="W34" s="21" t="str">
        <f>IFERROR(__xludf.DUMMYFUNCTION("""COMPUTED_VALUE"""),"Sweta Bharti ")</f>
        <v>Sweta Bharti </v>
      </c>
      <c r="X34" s="21" t="str">
        <f>IFERROR(__xludf.DUMMYFUNCTION("""COMPUTED_VALUE"""),"Sister ")</f>
        <v>Sister </v>
      </c>
      <c r="Y34" s="21"/>
      <c r="Z34" s="21"/>
      <c r="AA34" s="21" t="str">
        <f>IFERROR(__xludf.DUMMYFUNCTION("""COMPUTED_VALUE"""),"Non-Veg")</f>
        <v>Non-Veg</v>
      </c>
      <c r="AB34" s="21" t="str">
        <f>IFERROR(__xludf.DUMMYFUNCTION("""COMPUTED_VALUE"""),"Non-Veg")</f>
        <v>Non-Veg</v>
      </c>
      <c r="AC34" s="21"/>
      <c r="AD34" s="21"/>
      <c r="AE34" s="21"/>
    </row>
    <row r="35" ht="22.5" customHeight="1">
      <c r="A35" s="18">
        <f>IFERROR(__xludf.DUMMYFUNCTION("""COMPUTED_VALUE"""),46265.71767813657)</f>
        <v>46265.71768</v>
      </c>
      <c r="B35" s="21" t="str">
        <f>IFERROR(__xludf.DUMMYFUNCTION("""COMPUTED_VALUE"""),"atul.mbbs-2020@aiimskalyani.edu.in")</f>
        <v>atul.mbbs-2020@aiimskalyani.edu.in</v>
      </c>
      <c r="C35" s="21" t="str">
        <f>IFERROR(__xludf.DUMMYFUNCTION("""COMPUTED_VALUE"""),"ATUL BHARTI")</f>
        <v>ATUL BHARTI</v>
      </c>
      <c r="D35" s="21" t="str">
        <f>IFERROR(__xludf.DUMMYFUNCTION("""COMPUTED_VALUE"""),"29/20200179")</f>
        <v>29/20200179</v>
      </c>
      <c r="E35" s="21" t="str">
        <f>IFERROR(__xludf.DUMMYFUNCTION("""COMPUTED_VALUE"""),"MBBS 2020")</f>
        <v>MBBS 2020</v>
      </c>
      <c r="F35" s="21">
        <f>IFERROR(__xludf.DUMMYFUNCTION("""COMPUTED_VALUE"""),6.299592194E9)</f>
        <v>6299592194</v>
      </c>
      <c r="G35" s="21" t="str">
        <f>IFERROR(__xludf.DUMMYFUNCTION("""COMPUTED_VALUE"""),"atul.mbbs-2020@aiimskalyani.edu.in")</f>
        <v>atul.mbbs-2020@aiimskalyani.edu.in</v>
      </c>
      <c r="H35" s="21" t="str">
        <f>IFERROR(__xludf.DUMMYFUNCTION("""COMPUTED_VALUE"""),"Yes")</f>
        <v>Yes</v>
      </c>
      <c r="I35" s="21" t="str">
        <f>IFERROR(__xludf.DUMMYFUNCTION("""COMPUTED_VALUE"""),"Painting ")</f>
        <v>Painting </v>
      </c>
      <c r="J35" s="21" t="str">
        <f>IFERROR(__xludf.DUMMYFUNCTION("""COMPUTED_VALUE"""),"Club Head of Art Club for 3 yrs")</f>
        <v>Club Head of Art Club for 3 yrs</v>
      </c>
      <c r="K35" s="21" t="str">
        <f>IFERROR(__xludf.DUMMYFUNCTION("""COMPUTED_VALUE"""),"Patna, Bihar")</f>
        <v>Patna, Bihar</v>
      </c>
      <c r="L35" s="22" t="str">
        <f>IFERROR(__xludf.DUMMYFUNCTION("""COMPUTED_VALUE"""),"https://drive.google.com/open?id=18xwbRuQk_4qlFl55NM7IuWdQkjK3odPm")</f>
        <v>https://drive.google.com/open?id=18xwbRuQk_4qlFl55NM7IuWdQkjK3odPm</v>
      </c>
      <c r="M35" s="22" t="str">
        <f>IFERROR(__xludf.DUMMYFUNCTION("""COMPUTED_VALUE"""),"https://drive.google.com/open?id=1eyLJPN3lw_f1Ch7Egwvs-Ru0H_aj6dLb")</f>
        <v>https://drive.google.com/open?id=1eyLJPN3lw_f1Ch7Egwvs-Ru0H_aj6dLb</v>
      </c>
      <c r="N35" s="21" t="str">
        <f>IFERROR(__xludf.DUMMYFUNCTION("""COMPUTED_VALUE"""),"Manohar Lal")</f>
        <v>Manohar Lal</v>
      </c>
      <c r="O35" s="21" t="str">
        <f>IFERROR(__xludf.DUMMYFUNCTION("""COMPUTED_VALUE"""),"Railway Employee/Senior Sectional Incharge ")</f>
        <v>Railway Employee/Senior Sectional Incharge </v>
      </c>
      <c r="P35" s="21" t="str">
        <f>IFERROR(__xludf.DUMMYFUNCTION("""COMPUTED_VALUE"""),"Patna/Patna,Bihar")</f>
        <v>Patna/Patna,Bihar</v>
      </c>
      <c r="Q35" s="21">
        <f>IFERROR(__xludf.DUMMYFUNCTION("""COMPUTED_VALUE"""),9.771449249E9)</f>
        <v>9771449249</v>
      </c>
      <c r="R35" s="21" t="str">
        <f>IFERROR(__xludf.DUMMYFUNCTION("""COMPUTED_VALUE"""),"Anita Devi")</f>
        <v>Anita Devi</v>
      </c>
      <c r="S35" s="21" t="str">
        <f>IFERROR(__xludf.DUMMYFUNCTION("""COMPUTED_VALUE"""),"Home maker/ Intermediate ")</f>
        <v>Home maker/ Intermediate </v>
      </c>
      <c r="T35" s="21" t="str">
        <f>IFERROR(__xludf.DUMMYFUNCTION("""COMPUTED_VALUE"""),"Patna/Patna,Bihar")</f>
        <v>Patna/Patna,Bihar</v>
      </c>
      <c r="U35" s="21">
        <f>IFERROR(__xludf.DUMMYFUNCTION("""COMPUTED_VALUE"""),8.409443636E9)</f>
        <v>8409443636</v>
      </c>
      <c r="V35" s="21">
        <f>IFERROR(__xludf.DUMMYFUNCTION("""COMPUTED_VALUE"""),0.0)</f>
        <v>0</v>
      </c>
      <c r="W35" s="21"/>
      <c r="X35" s="21"/>
      <c r="Y35" s="21"/>
      <c r="Z35" s="21"/>
      <c r="AA35" s="21" t="str">
        <f>IFERROR(__xludf.DUMMYFUNCTION("""COMPUTED_VALUE"""),"Non-Veg")</f>
        <v>Non-Veg</v>
      </c>
      <c r="AB35" s="21"/>
      <c r="AC35" s="21"/>
      <c r="AD35" s="21"/>
      <c r="AE35" s="21">
        <f>IFERROR(__xludf.DUMMYFUNCTION("""COMPUTED_VALUE"""),0.0)</f>
        <v>0</v>
      </c>
    </row>
    <row r="36" ht="22.5" customHeight="1">
      <c r="A36" s="18">
        <f>IFERROR(__xludf.DUMMYFUNCTION("""COMPUTED_VALUE"""),46265.71362978009)</f>
        <v>46265.71363</v>
      </c>
      <c r="B36" s="21" t="str">
        <f>IFERROR(__xludf.DUMMYFUNCTION("""COMPUTED_VALUE"""),"punya.mbbs-2020@aiimskalyani.edu.in")</f>
        <v>punya.mbbs-2020@aiimskalyani.edu.in</v>
      </c>
      <c r="C36" s="21" t="str">
        <f>IFERROR(__xludf.DUMMYFUNCTION("""COMPUTED_VALUE"""),"PUNYA PRAKASH k")</f>
        <v>PUNYA PRAKASH k</v>
      </c>
      <c r="D36" s="21">
        <f>IFERROR(__xludf.DUMMYFUNCTION("""COMPUTED_VALUE"""),2.02001121E8)</f>
        <v>202001121</v>
      </c>
      <c r="E36" s="21" t="str">
        <f>IFERROR(__xludf.DUMMYFUNCTION("""COMPUTED_VALUE"""),"MBBS 2020")</f>
        <v>MBBS 2020</v>
      </c>
      <c r="F36" s="21">
        <f>IFERROR(__xludf.DUMMYFUNCTION("""COMPUTED_VALUE"""),8.129749735E9)</f>
        <v>8129749735</v>
      </c>
      <c r="G36" s="21" t="str">
        <f>IFERROR(__xludf.DUMMYFUNCTION("""COMPUTED_VALUE"""),"punyaprakashk2001@gmail.com")</f>
        <v>punyaprakashk2001@gmail.com</v>
      </c>
      <c r="H36" s="21" t="str">
        <f>IFERROR(__xludf.DUMMYFUNCTION("""COMPUTED_VALUE"""),"Yes")</f>
        <v>Yes</v>
      </c>
      <c r="I36" s="21" t="str">
        <f>IFERROR(__xludf.DUMMYFUNCTION("""COMPUTED_VALUE"""),"Dancing ")</f>
        <v>Dancing </v>
      </c>
      <c r="J36" s="21"/>
      <c r="K36" s="21" t="str">
        <f>IFERROR(__xludf.DUMMYFUNCTION("""COMPUTED_VALUE"""),"Malappuram, Kerala ")</f>
        <v>Malappuram, Kerala </v>
      </c>
      <c r="L36" s="22" t="str">
        <f>IFERROR(__xludf.DUMMYFUNCTION("""COMPUTED_VALUE"""),"https://drive.google.com/open?id=1jy6suLzwa_dTurH5eohBevYr_ycOniMu")</f>
        <v>https://drive.google.com/open?id=1jy6suLzwa_dTurH5eohBevYr_ycOniMu</v>
      </c>
      <c r="M36" s="22" t="str">
        <f>IFERROR(__xludf.DUMMYFUNCTION("""COMPUTED_VALUE"""),"https://drive.google.com/open?id=1g5PJZfQe2LsPmQD_nyzYI2PbSRoHhrRG")</f>
        <v>https://drive.google.com/open?id=1g5PJZfQe2LsPmQD_nyzYI2PbSRoHhrRG</v>
      </c>
      <c r="N36" s="21" t="str">
        <f>IFERROR(__xludf.DUMMYFUNCTION("""COMPUTED_VALUE"""),"Jayaprakash KV ")</f>
        <v>Jayaprakash KV </v>
      </c>
      <c r="O36" s="21" t="str">
        <f>IFERROR(__xludf.DUMMYFUNCTION("""COMPUTED_VALUE"""),"Electrician ")</f>
        <v>Electrician </v>
      </c>
      <c r="P36" s="21" t="str">
        <f>IFERROR(__xludf.DUMMYFUNCTION("""COMPUTED_VALUE"""),"Malappuram, Kerala ")</f>
        <v>Malappuram, Kerala </v>
      </c>
      <c r="Q36" s="21">
        <f>IFERROR(__xludf.DUMMYFUNCTION("""COMPUTED_VALUE"""),9.645492625E9)</f>
        <v>9645492625</v>
      </c>
      <c r="R36" s="21" t="str">
        <f>IFERROR(__xludf.DUMMYFUNCTION("""COMPUTED_VALUE"""),"Preetha Kumar ")</f>
        <v>Preetha Kumar </v>
      </c>
      <c r="S36" s="21" t="str">
        <f>IFERROR(__xludf.DUMMYFUNCTION("""COMPUTED_VALUE"""),"Teacher ")</f>
        <v>Teacher </v>
      </c>
      <c r="T36" s="21" t="str">
        <f>IFERROR(__xludf.DUMMYFUNCTION("""COMPUTED_VALUE"""),"Malappuram, Kerala ")</f>
        <v>Malappuram, Kerala </v>
      </c>
      <c r="U36" s="21">
        <f>IFERROR(__xludf.DUMMYFUNCTION("""COMPUTED_VALUE"""),9.895572035E9)</f>
        <v>9895572035</v>
      </c>
      <c r="V36" s="21">
        <f>IFERROR(__xludf.DUMMYFUNCTION("""COMPUTED_VALUE"""),2.0)</f>
        <v>2</v>
      </c>
      <c r="W36" s="21" t="str">
        <f>IFERROR(__xludf.DUMMYFUNCTION("""COMPUTED_VALUE"""),"Jayaprakash KV")</f>
        <v>Jayaprakash KV</v>
      </c>
      <c r="X36" s="21" t="str">
        <f>IFERROR(__xludf.DUMMYFUNCTION("""COMPUTED_VALUE"""),"Father ")</f>
        <v>Father </v>
      </c>
      <c r="Y36" s="21" t="str">
        <f>IFERROR(__xludf.DUMMYFUNCTION("""COMPUTED_VALUE"""),"Preetha Kumar ")</f>
        <v>Preetha Kumar </v>
      </c>
      <c r="Z36" s="21" t="str">
        <f>IFERROR(__xludf.DUMMYFUNCTION("""COMPUTED_VALUE"""),"Mother")</f>
        <v>Mother</v>
      </c>
      <c r="AA36" s="21" t="str">
        <f>IFERROR(__xludf.DUMMYFUNCTION("""COMPUTED_VALUE"""),"Non-Veg")</f>
        <v>Non-Veg</v>
      </c>
      <c r="AB36" s="21" t="str">
        <f>IFERROR(__xludf.DUMMYFUNCTION("""COMPUTED_VALUE"""),"Non-Veg")</f>
        <v>Non-Veg</v>
      </c>
      <c r="AC36" s="21" t="str">
        <f>IFERROR(__xludf.DUMMYFUNCTION("""COMPUTED_VALUE"""),"Non-Veg")</f>
        <v>Non-Veg</v>
      </c>
      <c r="AD36" s="21" t="str">
        <f>IFERROR(__xludf.DUMMYFUNCTION("""COMPUTED_VALUE"""),"Bus Drop Service not needed")</f>
        <v>Bus Drop Service not needed</v>
      </c>
      <c r="AE36" s="21"/>
    </row>
    <row r="37" ht="22.5" customHeight="1">
      <c r="A37" s="18">
        <f>IFERROR(__xludf.DUMMYFUNCTION("""COMPUTED_VALUE"""),46265.70953979167)</f>
        <v>46265.70954</v>
      </c>
      <c r="B37" s="21" t="str">
        <f>IFERROR(__xludf.DUMMYFUNCTION("""COMPUTED_VALUE"""),"abhilasha.mbbs-2020@aiimskalyani.edu.in")</f>
        <v>abhilasha.mbbs-2020@aiimskalyani.edu.in</v>
      </c>
      <c r="C37" s="21" t="str">
        <f>IFERROR(__xludf.DUMMYFUNCTION("""COMPUTED_VALUE"""),"ABHILASHA SABOTH")</f>
        <v>ABHILASHA SABOTH</v>
      </c>
      <c r="D37" s="21">
        <f>IFERROR(__xludf.DUMMYFUNCTION("""COMPUTED_VALUE"""),2.0200151E7)</f>
        <v>20200151</v>
      </c>
      <c r="E37" s="21" t="str">
        <f>IFERROR(__xludf.DUMMYFUNCTION("""COMPUTED_VALUE"""),"MBBS 2020")</f>
        <v>MBBS 2020</v>
      </c>
      <c r="F37" s="21">
        <f>IFERROR(__xludf.DUMMYFUNCTION("""COMPUTED_VALUE"""),9.337129829E9)</f>
        <v>9337129829</v>
      </c>
      <c r="G37" s="21" t="str">
        <f>IFERROR(__xludf.DUMMYFUNCTION("""COMPUTED_VALUE"""),"sabothabhilasha@gmail.com")</f>
        <v>sabothabhilasha@gmail.com</v>
      </c>
      <c r="H37" s="21" t="str">
        <f>IFERROR(__xludf.DUMMYFUNCTION("""COMPUTED_VALUE"""),"Yes")</f>
        <v>Yes</v>
      </c>
      <c r="I37" s="21" t="str">
        <f>IFERROR(__xludf.DUMMYFUNCTION("""COMPUTED_VALUE"""),"I like to sing or run in my leisure times; I am interested in dance and qlass painting, Besides, I like watching shows online, my favourite genres are action comedy, mystery, and fantasy drama.")</f>
        <v>I like to sing or run in my leisure times; I am interested in dance and qlass painting, Besides, I like watching shows online, my favourite genres are action comedy, mystery, and fantasy drama.</v>
      </c>
      <c r="J37" s="21" t="str">
        <f>IFERROR(__xludf.DUMMYFUNCTION("""COMPUTED_VALUE"""),"1. Responsibility of Student Organising Secretary of Annual sociocultural fest - Elvssia 2024
2. Represented college in intercollege Band Group Dance and Quiz competitions
3. Volunteered in free health checkup camps in Rural Bengal")</f>
        <v>1. Responsibility of Student Organising Secretary of Annual sociocultural fest - Elvssia 2024
2. Represented college in intercollege Band Group Dance and Quiz competitions
3. Volunteered in free health checkup camps in Rural Bengal</v>
      </c>
      <c r="K37" s="21" t="str">
        <f>IFERROR(__xludf.DUMMYFUNCTION("""COMPUTED_VALUE"""),"Bhubaneswar, Odisha")</f>
        <v>Bhubaneswar, Odisha</v>
      </c>
      <c r="L37" s="22" t="str">
        <f>IFERROR(__xludf.DUMMYFUNCTION("""COMPUTED_VALUE"""),"https://drive.google.com/open?id=1oiD-5x7tgVJalldoJDukD9pLaxJ6l2rM")</f>
        <v>https://drive.google.com/open?id=1oiD-5x7tgVJalldoJDukD9pLaxJ6l2rM</v>
      </c>
      <c r="M37" s="22" t="str">
        <f>IFERROR(__xludf.DUMMYFUNCTION("""COMPUTED_VALUE"""),"https://drive.google.com/open?id=1YUuDhitGgo-CCmCX2VG3nOAvqHqlOy7Z")</f>
        <v>https://drive.google.com/open?id=1YUuDhitGgo-CCmCX2VG3nOAvqHqlOy7Z</v>
      </c>
      <c r="N37" s="21" t="str">
        <f>IFERROR(__xludf.DUMMYFUNCTION("""COMPUTED_VALUE"""),"Prasant kumar Saboth")</f>
        <v>Prasant kumar Saboth</v>
      </c>
      <c r="O37" s="21" t="str">
        <f>IFERROR(__xludf.DUMMYFUNCTION("""COMPUTED_VALUE"""),"MD Pediatrics, Professor at IMS and SUM Hospital, Bhubaneswar")</f>
        <v>MD Pediatrics, Professor at IMS and SUM Hospital, Bhubaneswar</v>
      </c>
      <c r="P37" s="21" t="str">
        <f>IFERROR(__xludf.DUMMYFUNCTION("""COMPUTED_VALUE"""),"Bhubaneswar ")</f>
        <v>Bhubaneswar </v>
      </c>
      <c r="Q37" s="21">
        <f>IFERROR(__xludf.DUMMYFUNCTION("""COMPUTED_VALUE"""),7.827575483E9)</f>
        <v>7827575483</v>
      </c>
      <c r="R37" s="21" t="str">
        <f>IFERROR(__xludf.DUMMYFUNCTION("""COMPUTED_VALUE"""),"Sibani Satpathy")</f>
        <v>Sibani Satpathy</v>
      </c>
      <c r="S37" s="21" t="str">
        <f>IFERROR(__xludf.DUMMYFUNCTION("""COMPUTED_VALUE"""),"Mental Health Counselor")</f>
        <v>Mental Health Counselor</v>
      </c>
      <c r="T37" s="21" t="str">
        <f>IFERROR(__xludf.DUMMYFUNCTION("""COMPUTED_VALUE"""),"Bhubaneswar ")</f>
        <v>Bhubaneswar </v>
      </c>
      <c r="U37" s="21">
        <f>IFERROR(__xludf.DUMMYFUNCTION("""COMPUTED_VALUE"""),8.895584818E9)</f>
        <v>8895584818</v>
      </c>
      <c r="V37" s="21">
        <f>IFERROR(__xludf.DUMMYFUNCTION("""COMPUTED_VALUE"""),1.0)</f>
        <v>1</v>
      </c>
      <c r="W37" s="21" t="str">
        <f>IFERROR(__xludf.DUMMYFUNCTION("""COMPUTED_VALUE"""),"Dr. Prasant kumar Saboth")</f>
        <v>Dr. Prasant kumar Saboth</v>
      </c>
      <c r="X37" s="21" t="str">
        <f>IFERROR(__xludf.DUMMYFUNCTION("""COMPUTED_VALUE"""),"Father")</f>
        <v>Father</v>
      </c>
      <c r="Y37" s="21"/>
      <c r="Z37" s="21"/>
      <c r="AA37" s="21" t="str">
        <f>IFERROR(__xludf.DUMMYFUNCTION("""COMPUTED_VALUE"""),"Veg")</f>
        <v>Veg</v>
      </c>
      <c r="AB37" s="21" t="str">
        <f>IFERROR(__xludf.DUMMYFUNCTION("""COMPUTED_VALUE"""),"Veg")</f>
        <v>Veg</v>
      </c>
      <c r="AC37" s="21"/>
      <c r="AD37" s="21" t="str">
        <f>IFERROR(__xludf.DUMMYFUNCTION("""COMPUTED_VALUE"""),"Bus Drop Service not needed")</f>
        <v>Bus Drop Service not needed</v>
      </c>
      <c r="AE37" s="21">
        <f>IFERROR(__xludf.DUMMYFUNCTION("""COMPUTED_VALUE"""),0.0)</f>
        <v>0</v>
      </c>
    </row>
    <row r="38" ht="22.5" customHeight="1">
      <c r="A38" s="18">
        <f>IFERROR(__xludf.DUMMYFUNCTION("""COMPUTED_VALUE"""),46265.70371563657)</f>
        <v>46265.70372</v>
      </c>
      <c r="B38" s="21" t="str">
        <f>IFERROR(__xludf.DUMMYFUNCTION("""COMPUTED_VALUE"""),"ashutosh.mbbs-2020@aiimskalyani.edu.in")</f>
        <v>ashutosh.mbbs-2020@aiimskalyani.edu.in</v>
      </c>
      <c r="C38" s="21" t="str">
        <f>IFERROR(__xludf.DUMMYFUNCTION("""COMPUTED_VALUE"""),"ASHUTOSH KUMAR ")</f>
        <v>ASHUTOSH KUMAR </v>
      </c>
      <c r="D38" s="21" t="str">
        <f>IFERROR(__xludf.DUMMYFUNCTION("""COMPUTED_VALUE"""),"28 / 20200178")</f>
        <v>28 / 20200178</v>
      </c>
      <c r="E38" s="21" t="str">
        <f>IFERROR(__xludf.DUMMYFUNCTION("""COMPUTED_VALUE"""),"MBBS 2020")</f>
        <v>MBBS 2020</v>
      </c>
      <c r="F38" s="21">
        <f>IFERROR(__xludf.DUMMYFUNCTION("""COMPUTED_VALUE"""),9.128781515E9)</f>
        <v>9128781515</v>
      </c>
      <c r="G38" s="21" t="str">
        <f>IFERROR(__xludf.DUMMYFUNCTION("""COMPUTED_VALUE"""),"ashutoshajnvi@gmail.com")</f>
        <v>ashutoshajnvi@gmail.com</v>
      </c>
      <c r="H38" s="21" t="str">
        <f>IFERROR(__xludf.DUMMYFUNCTION("""COMPUTED_VALUE"""),"Yes")</f>
        <v>Yes</v>
      </c>
      <c r="I38" s="21" t="str">
        <f>IFERROR(__xludf.DUMMYFUNCTION("""COMPUTED_VALUE"""),"Acting ")</f>
        <v>Acting </v>
      </c>
      <c r="J38" s="21" t="str">
        <f>IFERROR(__xludf.DUMMYFUNCTION("""COMPUTED_VALUE"""),"Nothing ")</f>
        <v>Nothing </v>
      </c>
      <c r="K38" s="21" t="str">
        <f>IFERROR(__xludf.DUMMYFUNCTION("""COMPUTED_VALUE"""),"Nawada ")</f>
        <v>Nawada </v>
      </c>
      <c r="L38" s="22" t="str">
        <f>IFERROR(__xludf.DUMMYFUNCTION("""COMPUTED_VALUE"""),"https://drive.google.com/open?id=19I6hrZOuMWLrfICQwNh3M1riywaHpy-N")</f>
        <v>https://drive.google.com/open?id=19I6hrZOuMWLrfICQwNh3M1riywaHpy-N</v>
      </c>
      <c r="M38" s="22" t="str">
        <f>IFERROR(__xludf.DUMMYFUNCTION("""COMPUTED_VALUE"""),"https://drive.google.com/open?id=1ThszkALqpabg3JKiI8FixCV8pXi-dssS")</f>
        <v>https://drive.google.com/open?id=1ThszkALqpabg3JKiI8FixCV8pXi-dssS</v>
      </c>
      <c r="N38" s="21" t="str">
        <f>IFERROR(__xludf.DUMMYFUNCTION("""COMPUTED_VALUE"""),"Lt Jay prakash singh ")</f>
        <v>Lt Jay prakash singh </v>
      </c>
      <c r="O38" s="21" t="str">
        <f>IFERROR(__xludf.DUMMYFUNCTION("""COMPUTED_VALUE"""),"Teacher ")</f>
        <v>Teacher </v>
      </c>
      <c r="P38" s="21" t="str">
        <f>IFERROR(__xludf.DUMMYFUNCTION("""COMPUTED_VALUE"""),"NAWADA ")</f>
        <v>NAWADA </v>
      </c>
      <c r="Q38" s="21">
        <f>IFERROR(__xludf.DUMMYFUNCTION("""COMPUTED_VALUE"""),9.546925948E9)</f>
        <v>9546925948</v>
      </c>
      <c r="R38" s="21" t="str">
        <f>IFERROR(__xludf.DUMMYFUNCTION("""COMPUTED_VALUE"""),"UMA DEVI")</f>
        <v>UMA DEVI</v>
      </c>
      <c r="S38" s="21" t="str">
        <f>IFERROR(__xludf.DUMMYFUNCTION("""COMPUTED_VALUE"""),"HOME MAKER")</f>
        <v>HOME MAKER</v>
      </c>
      <c r="T38" s="21" t="str">
        <f>IFERROR(__xludf.DUMMYFUNCTION("""COMPUTED_VALUE"""),"NAWADA")</f>
        <v>NAWADA</v>
      </c>
      <c r="U38" s="21">
        <f>IFERROR(__xludf.DUMMYFUNCTION("""COMPUTED_VALUE"""),7.004429822E9)</f>
        <v>7004429822</v>
      </c>
      <c r="V38" s="21">
        <f>IFERROR(__xludf.DUMMYFUNCTION("""COMPUTED_VALUE"""),2.0)</f>
        <v>2</v>
      </c>
      <c r="W38" s="21" t="str">
        <f>IFERROR(__xludf.DUMMYFUNCTION("""COMPUTED_VALUE"""),"UMA DEVI")</f>
        <v>UMA DEVI</v>
      </c>
      <c r="X38" s="21" t="str">
        <f>IFERROR(__xludf.DUMMYFUNCTION("""COMPUTED_VALUE"""),"Mother ")</f>
        <v>Mother </v>
      </c>
      <c r="Y38" s="21" t="str">
        <f>IFERROR(__xludf.DUMMYFUNCTION("""COMPUTED_VALUE"""),"Anokha kumar")</f>
        <v>Anokha kumar</v>
      </c>
      <c r="Z38" s="21" t="str">
        <f>IFERROR(__xludf.DUMMYFUNCTION("""COMPUTED_VALUE"""),"Brother ")</f>
        <v>Brother </v>
      </c>
      <c r="AA38" s="21" t="str">
        <f>IFERROR(__xludf.DUMMYFUNCTION("""COMPUTED_VALUE"""),"Non-Veg")</f>
        <v>Non-Veg</v>
      </c>
      <c r="AB38" s="21" t="str">
        <f>IFERROR(__xludf.DUMMYFUNCTION("""COMPUTED_VALUE"""),"Veg")</f>
        <v>Veg</v>
      </c>
      <c r="AC38" s="21" t="str">
        <f>IFERROR(__xludf.DUMMYFUNCTION("""COMPUTED_VALUE"""),"Veg")</f>
        <v>Veg</v>
      </c>
      <c r="AD38" s="21"/>
      <c r="AE38" s="21"/>
    </row>
    <row r="39" ht="22.5" customHeight="1">
      <c r="A39" s="18">
        <f>IFERROR(__xludf.DUMMYFUNCTION("""COMPUTED_VALUE"""),46265.67343512732)</f>
        <v>46265.67344</v>
      </c>
      <c r="B39" s="21" t="str">
        <f>IFERROR(__xludf.DUMMYFUNCTION("""COMPUTED_VALUE"""),"balram.mbbs-2020@aiimskalyani.edu.in")</f>
        <v>balram.mbbs-2020@aiimskalyani.edu.in</v>
      </c>
      <c r="C39" s="21" t="str">
        <f>IFERROR(__xludf.DUMMYFUNCTION("""COMPUTED_VALUE"""),"BALRAM SHARMA")</f>
        <v>BALRAM SHARMA</v>
      </c>
      <c r="D39" s="21">
        <f>IFERROR(__xludf.DUMMYFUNCTION("""COMPUTED_VALUE"""),117.0)</f>
        <v>117</v>
      </c>
      <c r="E39" s="21" t="str">
        <f>IFERROR(__xludf.DUMMYFUNCTION("""COMPUTED_VALUE"""),"MBBS 2020")</f>
        <v>MBBS 2020</v>
      </c>
      <c r="F39" s="21">
        <f>IFERROR(__xludf.DUMMYFUNCTION("""COMPUTED_VALUE"""),9.024523413E9)</f>
        <v>9024523413</v>
      </c>
      <c r="G39" s="21" t="str">
        <f>IFERROR(__xludf.DUMMYFUNCTION("""COMPUTED_VALUE"""),"nicebalramsharma@gmail.com")</f>
        <v>nicebalramsharma@gmail.com</v>
      </c>
      <c r="H39" s="21" t="str">
        <f>IFERROR(__xludf.DUMMYFUNCTION("""COMPUTED_VALUE"""),"Yes")</f>
        <v>Yes</v>
      </c>
      <c r="I39" s="21"/>
      <c r="J39" s="21"/>
      <c r="K39" s="21" t="str">
        <f>IFERROR(__xludf.DUMMYFUNCTION("""COMPUTED_VALUE"""),"Vimalpura ")</f>
        <v>Vimalpura </v>
      </c>
      <c r="L39" s="22" t="str">
        <f>IFERROR(__xludf.DUMMYFUNCTION("""COMPUTED_VALUE"""),"https://drive.google.com/open?id=1YNlHO2Sdw2o2_z4aADxeUoJacLrk4iaY")</f>
        <v>https://drive.google.com/open?id=1YNlHO2Sdw2o2_z4aADxeUoJacLrk4iaY</v>
      </c>
      <c r="M39" s="22" t="str">
        <f>IFERROR(__xludf.DUMMYFUNCTION("""COMPUTED_VALUE"""),"https://drive.google.com/open?id=1th2NXqCtk6V21Xh0Lt2PNm5TT5DW0g5j")</f>
        <v>https://drive.google.com/open?id=1th2NXqCtk6V21Xh0Lt2PNm5TT5DW0g5j</v>
      </c>
      <c r="N39" s="21" t="str">
        <f>IFERROR(__xludf.DUMMYFUNCTION("""COMPUTED_VALUE"""),"Bhagwan sahay Sharma ")</f>
        <v>Bhagwan sahay Sharma </v>
      </c>
      <c r="O39" s="21" t="str">
        <f>IFERROR(__xludf.DUMMYFUNCTION("""COMPUTED_VALUE"""),"Farmer")</f>
        <v>Farmer</v>
      </c>
      <c r="P39" s="21" t="str">
        <f>IFERROR(__xludf.DUMMYFUNCTION("""COMPUTED_VALUE"""),"Vimalpura ")</f>
        <v>Vimalpura </v>
      </c>
      <c r="Q39" s="21">
        <f>IFERROR(__xludf.DUMMYFUNCTION("""COMPUTED_VALUE"""),9.024523413E9)</f>
        <v>9024523413</v>
      </c>
      <c r="R39" s="21" t="str">
        <f>IFERROR(__xludf.DUMMYFUNCTION("""COMPUTED_VALUE"""),"Gulab Devi ")</f>
        <v>Gulab Devi </v>
      </c>
      <c r="S39" s="21" t="str">
        <f>IFERROR(__xludf.DUMMYFUNCTION("""COMPUTED_VALUE"""),"Housewife")</f>
        <v>Housewife</v>
      </c>
      <c r="T39" s="21" t="str">
        <f>IFERROR(__xludf.DUMMYFUNCTION("""COMPUTED_VALUE"""),"Vimalpura ")</f>
        <v>Vimalpura </v>
      </c>
      <c r="U39" s="21">
        <f>IFERROR(__xludf.DUMMYFUNCTION("""COMPUTED_VALUE"""),9.024523413E9)</f>
        <v>9024523413</v>
      </c>
      <c r="V39" s="21">
        <f>IFERROR(__xludf.DUMMYFUNCTION("""COMPUTED_VALUE"""),1.0)</f>
        <v>1</v>
      </c>
      <c r="W39" s="21"/>
      <c r="X39" s="21"/>
      <c r="Y39" s="21"/>
      <c r="Z39" s="21" t="str">
        <f>IFERROR(__xludf.DUMMYFUNCTION("""COMPUTED_VALUE"""),"Brother ")</f>
        <v>Brother </v>
      </c>
      <c r="AA39" s="21" t="str">
        <f>IFERROR(__xludf.DUMMYFUNCTION("""COMPUTED_VALUE"""),"Veg")</f>
        <v>Veg</v>
      </c>
      <c r="AB39" s="21" t="str">
        <f>IFERROR(__xludf.DUMMYFUNCTION("""COMPUTED_VALUE"""),"Veg")</f>
        <v>Veg</v>
      </c>
      <c r="AC39" s="21"/>
      <c r="AD39" s="21" t="str">
        <f>IFERROR(__xludf.DUMMYFUNCTION("""COMPUTED_VALUE"""),"Bus Drop Service not needed")</f>
        <v>Bus Drop Service not needed</v>
      </c>
      <c r="AE39" s="21">
        <f>IFERROR(__xludf.DUMMYFUNCTION("""COMPUTED_VALUE"""),0.0)</f>
        <v>0</v>
      </c>
    </row>
    <row r="40" ht="22.5" customHeight="1">
      <c r="A40" s="18">
        <f>IFERROR(__xludf.DUMMYFUNCTION("""COMPUTED_VALUE"""),46265.64980111111)</f>
        <v>46265.6498</v>
      </c>
      <c r="B40" s="21" t="str">
        <f>IFERROR(__xludf.DUMMYFUNCTION("""COMPUTED_VALUE"""),"lucky.mbbs-2020@aiimskalyani.edu.in")</f>
        <v>lucky.mbbs-2020@aiimskalyani.edu.in</v>
      </c>
      <c r="C40" s="21" t="str">
        <f>IFERROR(__xludf.DUMMYFUNCTION("""COMPUTED_VALUE"""),"LUCKY BANSAL")</f>
        <v>LUCKY BANSAL</v>
      </c>
      <c r="D40" s="21">
        <f>IFERROR(__xludf.DUMMYFUNCTION("""COMPUTED_VALUE"""),2.0200117E8)</f>
        <v>202001170</v>
      </c>
      <c r="E40" s="21" t="str">
        <f>IFERROR(__xludf.DUMMYFUNCTION("""COMPUTED_VALUE"""),"MBBS 2020")</f>
        <v>MBBS 2020</v>
      </c>
      <c r="F40" s="21">
        <f>IFERROR(__xludf.DUMMYFUNCTION("""COMPUTED_VALUE"""),8.824926103E9)</f>
        <v>8824926103</v>
      </c>
      <c r="G40" s="21" t="str">
        <f>IFERROR(__xludf.DUMMYFUNCTION("""COMPUTED_VALUE"""),"lucky.mbbs-2020@aiimskalyani.edu.in")</f>
        <v>lucky.mbbs-2020@aiimskalyani.edu.in</v>
      </c>
      <c r="H40" s="21" t="str">
        <f>IFERROR(__xludf.DUMMYFUNCTION("""COMPUTED_VALUE"""),"Yes")</f>
        <v>Yes</v>
      </c>
      <c r="I40" s="21" t="str">
        <f>IFERROR(__xludf.DUMMYFUNCTION("""COMPUTED_VALUE"""),"I like sports and games , love doing art and craft , painting and travelling and photography. ")</f>
        <v>I like sports and games , love doing art and craft , painting and travelling and photography. </v>
      </c>
      <c r="J40" s="21" t="str">
        <f>IFERROR(__xludf.DUMMYFUNCTION("""COMPUTED_VALUE"""),"I have participated in many events during fest in college such as arts and craft and badminton, volleyball , throwball and achieved many prizes.")</f>
        <v>I have participated in many events during fest in college such as arts and craft and badminton, volleyball , throwball and achieved many prizes.</v>
      </c>
      <c r="K40" s="21" t="str">
        <f>IFERROR(__xludf.DUMMYFUNCTION("""COMPUTED_VALUE"""),"Jaipur , Rajasthan")</f>
        <v>Jaipur , Rajasthan</v>
      </c>
      <c r="L40" s="22" t="str">
        <f>IFERROR(__xludf.DUMMYFUNCTION("""COMPUTED_VALUE"""),"https://drive.google.com/open?id=1WfEEKO1GwbW3GEdHnu0Lep3QC_G034Dt")</f>
        <v>https://drive.google.com/open?id=1WfEEKO1GwbW3GEdHnu0Lep3QC_G034Dt</v>
      </c>
      <c r="M40" s="22" t="str">
        <f>IFERROR(__xludf.DUMMYFUNCTION("""COMPUTED_VALUE"""),"https://drive.google.com/open?id=16WSpzrs0e-SrP9vdTQpzH3V6kfbIgvOP")</f>
        <v>https://drive.google.com/open?id=16WSpzrs0e-SrP9vdTQpzH3V6kfbIgvOP</v>
      </c>
      <c r="N40" s="21" t="str">
        <f>IFERROR(__xludf.DUMMYFUNCTION("""COMPUTED_VALUE"""),"Rajesh Bansal")</f>
        <v>Rajesh Bansal</v>
      </c>
      <c r="O40" s="21" t="str">
        <f>IFERROR(__xludf.DUMMYFUNCTION("""COMPUTED_VALUE"""),"Businessman")</f>
        <v>Businessman</v>
      </c>
      <c r="P40" s="21" t="str">
        <f>IFERROR(__xludf.DUMMYFUNCTION("""COMPUTED_VALUE"""),"Dausa, Rajasthan ")</f>
        <v>Dausa, Rajasthan </v>
      </c>
      <c r="Q40" s="21">
        <f>IFERROR(__xludf.DUMMYFUNCTION("""COMPUTED_VALUE"""),9.460913524E9)</f>
        <v>9460913524</v>
      </c>
      <c r="R40" s="21" t="str">
        <f>IFERROR(__xludf.DUMMYFUNCTION("""COMPUTED_VALUE"""),"Mamta Bansal")</f>
        <v>Mamta Bansal</v>
      </c>
      <c r="S40" s="21" t="str">
        <f>IFERROR(__xludf.DUMMYFUNCTION("""COMPUTED_VALUE"""),"Homemaker")</f>
        <v>Homemaker</v>
      </c>
      <c r="T40" s="21" t="str">
        <f>IFERROR(__xludf.DUMMYFUNCTION("""COMPUTED_VALUE"""),"Dausa , Rajasthan ")</f>
        <v>Dausa , Rajasthan </v>
      </c>
      <c r="U40" s="21">
        <f>IFERROR(__xludf.DUMMYFUNCTION("""COMPUTED_VALUE"""),7.014433177E9)</f>
        <v>7014433177</v>
      </c>
      <c r="V40" s="21">
        <f>IFERROR(__xludf.DUMMYFUNCTION("""COMPUTED_VALUE"""),2.0)</f>
        <v>2</v>
      </c>
      <c r="W40" s="21" t="str">
        <f>IFERROR(__xludf.DUMMYFUNCTION("""COMPUTED_VALUE"""),"Rajesh Bansal")</f>
        <v>Rajesh Bansal</v>
      </c>
      <c r="X40" s="21" t="str">
        <f>IFERROR(__xludf.DUMMYFUNCTION("""COMPUTED_VALUE"""),"Father")</f>
        <v>Father</v>
      </c>
      <c r="Y40" s="21" t="str">
        <f>IFERROR(__xludf.DUMMYFUNCTION("""COMPUTED_VALUE"""),"Mamta Bansal")</f>
        <v>Mamta Bansal</v>
      </c>
      <c r="Z40" s="21" t="str">
        <f>IFERROR(__xludf.DUMMYFUNCTION("""COMPUTED_VALUE"""),"Mother")</f>
        <v>Mother</v>
      </c>
      <c r="AA40" s="21" t="str">
        <f>IFERROR(__xludf.DUMMYFUNCTION("""COMPUTED_VALUE"""),"Veg")</f>
        <v>Veg</v>
      </c>
      <c r="AB40" s="21" t="str">
        <f>IFERROR(__xludf.DUMMYFUNCTION("""COMPUTED_VALUE"""),"Veg")</f>
        <v>Veg</v>
      </c>
      <c r="AC40" s="21" t="str">
        <f>IFERROR(__xludf.DUMMYFUNCTION("""COMPUTED_VALUE"""),"Veg")</f>
        <v>Veg</v>
      </c>
      <c r="AD40" s="21" t="str">
        <f>IFERROR(__xludf.DUMMYFUNCTION("""COMPUTED_VALUE"""),"Bus Drop Service not needed")</f>
        <v>Bus Drop Service not needed</v>
      </c>
      <c r="AE40" s="21">
        <f>IFERROR(__xludf.DUMMYFUNCTION("""COMPUTED_VALUE"""),0.0)</f>
        <v>0</v>
      </c>
    </row>
    <row r="41" ht="22.5" customHeight="1">
      <c r="A41" s="18">
        <f>IFERROR(__xludf.DUMMYFUNCTION("""COMPUTED_VALUE"""),46265.6488611574)</f>
        <v>46265.64886</v>
      </c>
      <c r="B41" s="21" t="str">
        <f>IFERROR(__xludf.DUMMYFUNCTION("""COMPUTED_VALUE"""),"ajay.mbbs-2020@aiimskalyani.edu.in")</f>
        <v>ajay.mbbs-2020@aiimskalyani.edu.in</v>
      </c>
      <c r="C41" s="21" t="str">
        <f>IFERROR(__xludf.DUMMYFUNCTION("""COMPUTED_VALUE"""),"AJAY MOHAN ")</f>
        <v>AJAY MOHAN </v>
      </c>
      <c r="D41" s="21" t="str">
        <f>IFERROR(__xludf.DUMMYFUNCTION("""COMPUTED_VALUE"""),"116/202001166")</f>
        <v>116/202001166</v>
      </c>
      <c r="E41" s="21" t="str">
        <f>IFERROR(__xludf.DUMMYFUNCTION("""COMPUTED_VALUE"""),"MBBS 2020")</f>
        <v>MBBS 2020</v>
      </c>
      <c r="F41" s="21">
        <f>IFERROR(__xludf.DUMMYFUNCTION("""COMPUTED_VALUE"""),8.606642894E9)</f>
        <v>8606642894</v>
      </c>
      <c r="G41" s="21" t="str">
        <f>IFERROR(__xludf.DUMMYFUNCTION("""COMPUTED_VALUE"""),"ajay.mbbs-2020@aiimskalyani.edu.in")</f>
        <v>ajay.mbbs-2020@aiimskalyani.edu.in</v>
      </c>
      <c r="H41" s="21" t="str">
        <f>IFERROR(__xludf.DUMMYFUNCTION("""COMPUTED_VALUE"""),"Yes")</f>
        <v>Yes</v>
      </c>
      <c r="I41" s="21" t="str">
        <f>IFERROR(__xludf.DUMMYFUNCTION("""COMPUTED_VALUE"""),"Outdoor sports, playing chess and listening to music.")</f>
        <v>Outdoor sports, playing chess and listening to music.</v>
      </c>
      <c r="J41" s="21" t="str">
        <f>IFERROR(__xludf.DUMMYFUNCTION("""COMPUTED_VALUE"""),"Football,throwball,chess, carroms , volleyball/ won multiple awards for each in every year.")</f>
        <v>Football,throwball,chess, carroms , volleyball/ won multiple awards for each in every year.</v>
      </c>
      <c r="K41" s="21" t="str">
        <f>IFERROR(__xludf.DUMMYFUNCTION("""COMPUTED_VALUE"""),"KOLLAM")</f>
        <v>KOLLAM</v>
      </c>
      <c r="L41" s="22" t="str">
        <f>IFERROR(__xludf.DUMMYFUNCTION("""COMPUTED_VALUE"""),"https://drive.google.com/open?id=16SyqDdIfbnjIEjxl_lbS2zIR65AdIHHI")</f>
        <v>https://drive.google.com/open?id=16SyqDdIfbnjIEjxl_lbS2zIR65AdIHHI</v>
      </c>
      <c r="M41" s="22" t="str">
        <f>IFERROR(__xludf.DUMMYFUNCTION("""COMPUTED_VALUE"""),"https://drive.google.com/open?id=1Se8DrkIUwzWpWyzR-Igc_qlTBp5Mhxs0")</f>
        <v>https://drive.google.com/open?id=1Se8DrkIUwzWpWyzR-Igc_qlTBp5Mhxs0</v>
      </c>
      <c r="N41" s="21" t="str">
        <f>IFERROR(__xludf.DUMMYFUNCTION("""COMPUTED_VALUE"""),"MOHAN KUMAR T")</f>
        <v>MOHAN KUMAR T</v>
      </c>
      <c r="O41" s="21" t="str">
        <f>IFERROR(__xludf.DUMMYFUNCTION("""COMPUTED_VALUE"""),"RETIRED/MBA, BCOM")</f>
        <v>RETIRED/MBA, BCOM</v>
      </c>
      <c r="P41" s="21" t="str">
        <f>IFERROR(__xludf.DUMMYFUNCTION("""COMPUTED_VALUE"""),"KOLLAM")</f>
        <v>KOLLAM</v>
      </c>
      <c r="Q41" s="21">
        <f>IFERROR(__xludf.DUMMYFUNCTION("""COMPUTED_VALUE"""),9.447071531E9)</f>
        <v>9447071531</v>
      </c>
      <c r="R41" s="21" t="str">
        <f>IFERROR(__xludf.DUMMYFUNCTION("""COMPUTED_VALUE"""),"SREELATHA I")</f>
        <v>SREELATHA I</v>
      </c>
      <c r="S41" s="21" t="str">
        <f>IFERROR(__xludf.DUMMYFUNCTION("""COMPUTED_VALUE"""),"HOME MAKER/ BCOM")</f>
        <v>HOME MAKER/ BCOM</v>
      </c>
      <c r="T41" s="21" t="str">
        <f>IFERROR(__xludf.DUMMYFUNCTION("""COMPUTED_VALUE"""),"KOLLAM")</f>
        <v>KOLLAM</v>
      </c>
      <c r="U41" s="21">
        <f>IFERROR(__xludf.DUMMYFUNCTION("""COMPUTED_VALUE"""),9.074081562E9)</f>
        <v>9074081562</v>
      </c>
      <c r="V41" s="21">
        <f>IFERROR(__xludf.DUMMYFUNCTION("""COMPUTED_VALUE"""),2.0)</f>
        <v>2</v>
      </c>
      <c r="W41" s="21" t="str">
        <f>IFERROR(__xludf.DUMMYFUNCTION("""COMPUTED_VALUE"""),"MOHAN KUMAR T")</f>
        <v>MOHAN KUMAR T</v>
      </c>
      <c r="X41" s="21" t="str">
        <f>IFERROR(__xludf.DUMMYFUNCTION("""COMPUTED_VALUE"""),"FATHER ")</f>
        <v>FATHER </v>
      </c>
      <c r="Y41" s="21" t="str">
        <f>IFERROR(__xludf.DUMMYFUNCTION("""COMPUTED_VALUE"""),"SREELATHA I")</f>
        <v>SREELATHA I</v>
      </c>
      <c r="Z41" s="21" t="str">
        <f>IFERROR(__xludf.DUMMYFUNCTION("""COMPUTED_VALUE"""),"MOTHER")</f>
        <v>MOTHER</v>
      </c>
      <c r="AA41" s="21" t="str">
        <f>IFERROR(__xludf.DUMMYFUNCTION("""COMPUTED_VALUE"""),"Non-Veg")</f>
        <v>Non-Veg</v>
      </c>
      <c r="AB41" s="21" t="str">
        <f>IFERROR(__xludf.DUMMYFUNCTION("""COMPUTED_VALUE"""),"Non-Veg")</f>
        <v>Non-Veg</v>
      </c>
      <c r="AC41" s="21" t="str">
        <f>IFERROR(__xludf.DUMMYFUNCTION("""COMPUTED_VALUE"""),"Non-Veg")</f>
        <v>Non-Veg</v>
      </c>
      <c r="AD41" s="21" t="str">
        <f>IFERROR(__xludf.DUMMYFUNCTION("""COMPUTED_VALUE"""),"Drop at Kolkata Airport")</f>
        <v>Drop at Kolkata Airport</v>
      </c>
      <c r="AE41" s="21">
        <f>IFERROR(__xludf.DUMMYFUNCTION("""COMPUTED_VALUE"""),3.0)</f>
        <v>3</v>
      </c>
    </row>
    <row r="42" ht="22.5" customHeight="1">
      <c r="A42" s="18">
        <f>IFERROR(__xludf.DUMMYFUNCTION("""COMPUTED_VALUE"""),46265.64432767361)</f>
        <v>46265.64433</v>
      </c>
      <c r="B42" s="21" t="str">
        <f>IFERROR(__xludf.DUMMYFUNCTION("""COMPUTED_VALUE"""),"debmalya.mbbs-2020@aiimskalyani.edu.in")</f>
        <v>debmalya.mbbs-2020@aiimskalyani.edu.in</v>
      </c>
      <c r="C42" s="21" t="str">
        <f>IFERROR(__xludf.DUMMYFUNCTION("""COMPUTED_VALUE"""),"DEBMALYA BANERJEE ")</f>
        <v>DEBMALYA BANERJEE </v>
      </c>
      <c r="D42" s="21" t="str">
        <f>IFERROR(__xludf.DUMMYFUNCTION("""COMPUTED_VALUE"""),"42/ 20200192")</f>
        <v>42/ 20200192</v>
      </c>
      <c r="E42" s="21" t="str">
        <f>IFERROR(__xludf.DUMMYFUNCTION("""COMPUTED_VALUE"""),"MBBS 2020")</f>
        <v>MBBS 2020</v>
      </c>
      <c r="F42" s="21">
        <f>IFERROR(__xludf.DUMMYFUNCTION("""COMPUTED_VALUE"""),9.88394833E9)</f>
        <v>9883948330</v>
      </c>
      <c r="G42" s="21" t="str">
        <f>IFERROR(__xludf.DUMMYFUNCTION("""COMPUTED_VALUE"""),"debmalya.mbbs-2020@aiimskalyani.edu.in")</f>
        <v>debmalya.mbbs-2020@aiimskalyani.edu.in</v>
      </c>
      <c r="H42" s="21" t="str">
        <f>IFERROR(__xludf.DUMMYFUNCTION("""COMPUTED_VALUE"""),"Yes")</f>
        <v>Yes</v>
      </c>
      <c r="I42" s="21" t="str">
        <f>IFERROR(__xludf.DUMMYFUNCTION("""COMPUTED_VALUE"""),"Cricket")</f>
        <v>Cricket</v>
      </c>
      <c r="J42" s="21"/>
      <c r="K42" s="21" t="str">
        <f>IFERROR(__xludf.DUMMYFUNCTION("""COMPUTED_VALUE"""),"Burdwan")</f>
        <v>Burdwan</v>
      </c>
      <c r="L42" s="22" t="str">
        <f>IFERROR(__xludf.DUMMYFUNCTION("""COMPUTED_VALUE"""),"https://drive.google.com/open?id=1w0p1UgCZceHpl4zAHRlEDEs-mamWZRR0")</f>
        <v>https://drive.google.com/open?id=1w0p1UgCZceHpl4zAHRlEDEs-mamWZRR0</v>
      </c>
      <c r="M42" s="22" t="str">
        <f>IFERROR(__xludf.DUMMYFUNCTION("""COMPUTED_VALUE"""),"https://drive.google.com/open?id=1VypwVnmo6UgJ2Qmc_15cn-26yojIIqxW")</f>
        <v>https://drive.google.com/open?id=1VypwVnmo6UgJ2Qmc_15cn-26yojIIqxW</v>
      </c>
      <c r="N42" s="21" t="str">
        <f>IFERROR(__xludf.DUMMYFUNCTION("""COMPUTED_VALUE"""),"Debasis Banerjee ")</f>
        <v>Debasis Banerjee </v>
      </c>
      <c r="O42" s="21" t="str">
        <f>IFERROR(__xludf.DUMMYFUNCTION("""COMPUTED_VALUE"""),"Business")</f>
        <v>Business</v>
      </c>
      <c r="P42" s="21" t="str">
        <f>IFERROR(__xludf.DUMMYFUNCTION("""COMPUTED_VALUE"""),"Burdwan ")</f>
        <v>Burdwan </v>
      </c>
      <c r="Q42" s="21">
        <f>IFERROR(__xludf.DUMMYFUNCTION("""COMPUTED_VALUE"""),9.933403721E9)</f>
        <v>9933403721</v>
      </c>
      <c r="R42" s="21" t="str">
        <f>IFERROR(__xludf.DUMMYFUNCTION("""COMPUTED_VALUE"""),"Mala Banerjee")</f>
        <v>Mala Banerjee</v>
      </c>
      <c r="S42" s="21" t="str">
        <f>IFERROR(__xludf.DUMMYFUNCTION("""COMPUTED_VALUE"""),"Homemaker ")</f>
        <v>Homemaker </v>
      </c>
      <c r="T42" s="21" t="str">
        <f>IFERROR(__xludf.DUMMYFUNCTION("""COMPUTED_VALUE"""),"Burdwan")</f>
        <v>Burdwan</v>
      </c>
      <c r="U42" s="21">
        <f>IFERROR(__xludf.DUMMYFUNCTION("""COMPUTED_VALUE"""),7.908808593E9)</f>
        <v>7908808593</v>
      </c>
      <c r="V42" s="21">
        <f>IFERROR(__xludf.DUMMYFUNCTION("""COMPUTED_VALUE"""),2.0)</f>
        <v>2</v>
      </c>
      <c r="W42" s="21" t="str">
        <f>IFERROR(__xludf.DUMMYFUNCTION("""COMPUTED_VALUE"""),"Debasis Banerjee ")</f>
        <v>Debasis Banerjee </v>
      </c>
      <c r="X42" s="21" t="str">
        <f>IFERROR(__xludf.DUMMYFUNCTION("""COMPUTED_VALUE"""),"Father")</f>
        <v>Father</v>
      </c>
      <c r="Y42" s="21" t="str">
        <f>IFERROR(__xludf.DUMMYFUNCTION("""COMPUTED_VALUE"""),"Mala Banerjee ")</f>
        <v>Mala Banerjee </v>
      </c>
      <c r="Z42" s="21" t="str">
        <f>IFERROR(__xludf.DUMMYFUNCTION("""COMPUTED_VALUE"""),"Mother")</f>
        <v>Mother</v>
      </c>
      <c r="AA42" s="21" t="str">
        <f>IFERROR(__xludf.DUMMYFUNCTION("""COMPUTED_VALUE"""),"Non-Veg")</f>
        <v>Non-Veg</v>
      </c>
      <c r="AB42" s="21" t="str">
        <f>IFERROR(__xludf.DUMMYFUNCTION("""COMPUTED_VALUE"""),"Non-Veg")</f>
        <v>Non-Veg</v>
      </c>
      <c r="AC42" s="21" t="str">
        <f>IFERROR(__xludf.DUMMYFUNCTION("""COMPUTED_VALUE"""),"Veg")</f>
        <v>Veg</v>
      </c>
      <c r="AD42" s="21" t="str">
        <f>IFERROR(__xludf.DUMMYFUNCTION("""COMPUTED_VALUE"""),"Bus Drop Service not needed")</f>
        <v>Bus Drop Service not needed</v>
      </c>
      <c r="AE42" s="21">
        <f>IFERROR(__xludf.DUMMYFUNCTION("""COMPUTED_VALUE"""),0.0)</f>
        <v>0</v>
      </c>
    </row>
    <row r="43" ht="22.5" customHeight="1">
      <c r="A43" s="18">
        <f>IFERROR(__xludf.DUMMYFUNCTION("""COMPUTED_VALUE"""),46265.587196747685)</f>
        <v>46265.5872</v>
      </c>
      <c r="B43" s="21" t="str">
        <f>IFERROR(__xludf.DUMMYFUNCTION("""COMPUTED_VALUE"""),"druvan.mbbs-2020@aiimskalyani.edu.in")</f>
        <v>druvan.mbbs-2020@aiimskalyani.edu.in</v>
      </c>
      <c r="C43" s="21" t="str">
        <f>IFERROR(__xludf.DUMMYFUNCTION("""COMPUTED_VALUE"""),"DRUVAN J")</f>
        <v>DRUVAN J</v>
      </c>
      <c r="D43" s="21">
        <f>IFERROR(__xludf.DUMMYFUNCTION("""COMPUTED_VALUE"""),2.0200198E7)</f>
        <v>20200198</v>
      </c>
      <c r="E43" s="21" t="str">
        <f>IFERROR(__xludf.DUMMYFUNCTION("""COMPUTED_VALUE"""),"MBBS 2020")</f>
        <v>MBBS 2020</v>
      </c>
      <c r="F43" s="21">
        <f>IFERROR(__xludf.DUMMYFUNCTION("""COMPUTED_VALUE"""),7.558930045E9)</f>
        <v>7558930045</v>
      </c>
      <c r="G43" s="21" t="str">
        <f>IFERROR(__xludf.DUMMYFUNCTION("""COMPUTED_VALUE"""),"druvanj@gmail.com")</f>
        <v>druvanj@gmail.com</v>
      </c>
      <c r="H43" s="21" t="str">
        <f>IFERROR(__xludf.DUMMYFUNCTION("""COMPUTED_VALUE"""),"Yes")</f>
        <v>Yes</v>
      </c>
      <c r="I43" s="21"/>
      <c r="J43" s="21"/>
      <c r="K43" s="21" t="str">
        <f>IFERROR(__xludf.DUMMYFUNCTION("""COMPUTED_VALUE"""),"Malappuram")</f>
        <v>Malappuram</v>
      </c>
      <c r="L43" s="22" t="str">
        <f>IFERROR(__xludf.DUMMYFUNCTION("""COMPUTED_VALUE"""),"https://drive.google.com/open?id=1_Fws1n7UzAq40kmglexanOG1kBZE5KGi")</f>
        <v>https://drive.google.com/open?id=1_Fws1n7UzAq40kmglexanOG1kBZE5KGi</v>
      </c>
      <c r="M43" s="22" t="str">
        <f>IFERROR(__xludf.DUMMYFUNCTION("""COMPUTED_VALUE"""),"https://drive.google.com/open?id=1SV6HkHqvwbebo7ozYz_e03owDQxGPPt5")</f>
        <v>https://drive.google.com/open?id=1SV6HkHqvwbebo7ozYz_e03owDQxGPPt5</v>
      </c>
      <c r="N43" s="21" t="str">
        <f>IFERROR(__xludf.DUMMYFUNCTION("""COMPUTED_VALUE"""),"JayanDas  P P")</f>
        <v>JayanDas  P P</v>
      </c>
      <c r="O43" s="21" t="str">
        <f>IFERROR(__xludf.DUMMYFUNCTION("""COMPUTED_VALUE"""),"Senior Superintendent, Kerala State Electricity Board")</f>
        <v>Senior Superintendent, Kerala State Electricity Board</v>
      </c>
      <c r="P43" s="21" t="str">
        <f>IFERROR(__xludf.DUMMYFUNCTION("""COMPUTED_VALUE"""),"Malappuram")</f>
        <v>Malappuram</v>
      </c>
      <c r="Q43" s="21">
        <f>IFERROR(__xludf.DUMMYFUNCTION("""COMPUTED_VALUE"""),7.0121221E9)</f>
        <v>7012122100</v>
      </c>
      <c r="R43" s="21" t="str">
        <f>IFERROR(__xludf.DUMMYFUNCTION("""COMPUTED_VALUE"""),"Nisha Balachandran")</f>
        <v>Nisha Balachandran</v>
      </c>
      <c r="S43" s="21" t="str">
        <f>IFERROR(__xludf.DUMMYFUNCTION("""COMPUTED_VALUE"""),"Teacher, Ace public school")</f>
        <v>Teacher, Ace public school</v>
      </c>
      <c r="T43" s="21" t="str">
        <f>IFERROR(__xludf.DUMMYFUNCTION("""COMPUTED_VALUE"""),"Malappuram")</f>
        <v>Malappuram</v>
      </c>
      <c r="U43" s="21">
        <f>IFERROR(__xludf.DUMMYFUNCTION("""COMPUTED_VALUE"""),9.496460408E9)</f>
        <v>9496460408</v>
      </c>
      <c r="V43" s="21">
        <f>IFERROR(__xludf.DUMMYFUNCTION("""COMPUTED_VALUE"""),2.0)</f>
        <v>2</v>
      </c>
      <c r="W43" s="21" t="str">
        <f>IFERROR(__xludf.DUMMYFUNCTION("""COMPUTED_VALUE"""),"JayanDas P P")</f>
        <v>JayanDas P P</v>
      </c>
      <c r="X43" s="21" t="str">
        <f>IFERROR(__xludf.DUMMYFUNCTION("""COMPUTED_VALUE"""),"Father")</f>
        <v>Father</v>
      </c>
      <c r="Y43" s="21" t="str">
        <f>IFERROR(__xludf.DUMMYFUNCTION("""COMPUTED_VALUE"""),"Nisha Balachandran")</f>
        <v>Nisha Balachandran</v>
      </c>
      <c r="Z43" s="21" t="str">
        <f>IFERROR(__xludf.DUMMYFUNCTION("""COMPUTED_VALUE"""),"Mother")</f>
        <v>Mother</v>
      </c>
      <c r="AA43" s="21" t="str">
        <f>IFERROR(__xludf.DUMMYFUNCTION("""COMPUTED_VALUE"""),"Non-Veg")</f>
        <v>Non-Veg</v>
      </c>
      <c r="AB43" s="21" t="str">
        <f>IFERROR(__xludf.DUMMYFUNCTION("""COMPUTED_VALUE"""),"Non-Veg")</f>
        <v>Non-Veg</v>
      </c>
      <c r="AC43" s="21" t="str">
        <f>IFERROR(__xludf.DUMMYFUNCTION("""COMPUTED_VALUE"""),"Non-Veg")</f>
        <v>Non-Veg</v>
      </c>
      <c r="AD43" s="21" t="str">
        <f>IFERROR(__xludf.DUMMYFUNCTION("""COMPUTED_VALUE"""),"Bus Drop Service not needed")</f>
        <v>Bus Drop Service not needed</v>
      </c>
      <c r="AE43" s="21">
        <f>IFERROR(__xludf.DUMMYFUNCTION("""COMPUTED_VALUE"""),0.0)</f>
        <v>0</v>
      </c>
    </row>
    <row r="44" ht="22.5" customHeight="1">
      <c r="A44" s="18">
        <f>IFERROR(__xludf.DUMMYFUNCTION("""COMPUTED_VALUE"""),46265.51328320602)</f>
        <v>46265.51328</v>
      </c>
      <c r="B44" s="21" t="str">
        <f>IFERROR(__xludf.DUMMYFUNCTION("""COMPUTED_VALUE"""),"ritik.mbbs-2020@aiimskalyani.edu.in")</f>
        <v>ritik.mbbs-2020@aiimskalyani.edu.in</v>
      </c>
      <c r="C44" s="21" t="str">
        <f>IFERROR(__xludf.DUMMYFUNCTION("""COMPUTED_VALUE"""),"RITIK KOTHARI")</f>
        <v>RITIK KOTHARI</v>
      </c>
      <c r="D44" s="21">
        <f>IFERROR(__xludf.DUMMYFUNCTION("""COMPUTED_VALUE"""),2.02001126E8)</f>
        <v>202001126</v>
      </c>
      <c r="E44" s="21" t="str">
        <f>IFERROR(__xludf.DUMMYFUNCTION("""COMPUTED_VALUE"""),"MBBS 2020")</f>
        <v>MBBS 2020</v>
      </c>
      <c r="F44" s="21">
        <f>IFERROR(__xludf.DUMMYFUNCTION("""COMPUTED_VALUE"""),7.632894316E9)</f>
        <v>7632894316</v>
      </c>
      <c r="G44" s="21" t="str">
        <f>IFERROR(__xludf.DUMMYFUNCTION("""COMPUTED_VALUE"""),"ritikkotharigrd2000@gmail.com")</f>
        <v>ritikkotharigrd2000@gmail.com</v>
      </c>
      <c r="H44" s="21" t="str">
        <f>IFERROR(__xludf.DUMMYFUNCTION("""COMPUTED_VALUE"""),"Yes")</f>
        <v>Yes</v>
      </c>
      <c r="I44" s="21" t="str">
        <f>IFERROR(__xludf.DUMMYFUNCTION("""COMPUTED_VALUE"""),"travelling ,trekking, adventure activities and fitness.
Community engagement and doing health camps.
")</f>
        <v>travelling ,trekking, adventure activities and fitness.
Community engagement and doing health camps.
</v>
      </c>
      <c r="J44" s="21" t="str">
        <f>IFERROR(__xludf.DUMMYFUNCTION("""COMPUTED_VALUE"""),"Badminton &amp; trekking.")</f>
        <v>Badminton &amp; trekking.</v>
      </c>
      <c r="K44" s="21" t="str">
        <f>IFERROR(__xludf.DUMMYFUNCTION("""COMPUTED_VALUE"""),"Giridih")</f>
        <v>Giridih</v>
      </c>
      <c r="L44" s="22" t="str">
        <f>IFERROR(__xludf.DUMMYFUNCTION("""COMPUTED_VALUE"""),"https://drive.google.com/open?id=1wHZS8OrWJEM90wgdYvyFydCuzRS1HMFQ")</f>
        <v>https://drive.google.com/open?id=1wHZS8OrWJEM90wgdYvyFydCuzRS1HMFQ</v>
      </c>
      <c r="M44" s="22" t="str">
        <f>IFERROR(__xludf.DUMMYFUNCTION("""COMPUTED_VALUE"""),"https://drive.google.com/open?id=1sChepRzxmD6AOCZJfQ2_8-Wd-2_z2vfU")</f>
        <v>https://drive.google.com/open?id=1sChepRzxmD6AOCZJfQ2_8-Wd-2_z2vfU</v>
      </c>
      <c r="N44" s="21" t="str">
        <f>IFERROR(__xludf.DUMMYFUNCTION("""COMPUTED_VALUE"""),"Dilip saw")</f>
        <v>Dilip saw</v>
      </c>
      <c r="O44" s="21" t="str">
        <f>IFERROR(__xludf.DUMMYFUNCTION("""COMPUTED_VALUE"""),"Business")</f>
        <v>Business</v>
      </c>
      <c r="P44" s="21" t="str">
        <f>IFERROR(__xludf.DUMMYFUNCTION("""COMPUTED_VALUE"""),"Giridih")</f>
        <v>Giridih</v>
      </c>
      <c r="Q44" s="21">
        <f>IFERROR(__xludf.DUMMYFUNCTION("""COMPUTED_VALUE"""),9.934195982E9)</f>
        <v>9934195982</v>
      </c>
      <c r="R44" s="21" t="str">
        <f>IFERROR(__xludf.DUMMYFUNCTION("""COMPUTED_VALUE"""),"Geeta Devi")</f>
        <v>Geeta Devi</v>
      </c>
      <c r="S44" s="21" t="str">
        <f>IFERROR(__xludf.DUMMYFUNCTION("""COMPUTED_VALUE"""),"Housewife")</f>
        <v>Housewife</v>
      </c>
      <c r="T44" s="21" t="str">
        <f>IFERROR(__xludf.DUMMYFUNCTION("""COMPUTED_VALUE"""),"Giridih")</f>
        <v>Giridih</v>
      </c>
      <c r="U44" s="21">
        <f>IFERROR(__xludf.DUMMYFUNCTION("""COMPUTED_VALUE"""),7.06190087E9)</f>
        <v>7061900870</v>
      </c>
      <c r="V44" s="21">
        <f>IFERROR(__xludf.DUMMYFUNCTION("""COMPUTED_VALUE"""),2.0)</f>
        <v>2</v>
      </c>
      <c r="W44" s="21" t="str">
        <f>IFERROR(__xludf.DUMMYFUNCTION("""COMPUTED_VALUE"""),"Dilip saw ")</f>
        <v>Dilip saw </v>
      </c>
      <c r="X44" s="21" t="str">
        <f>IFERROR(__xludf.DUMMYFUNCTION("""COMPUTED_VALUE"""),"Father")</f>
        <v>Father</v>
      </c>
      <c r="Y44" s="21" t="str">
        <f>IFERROR(__xludf.DUMMYFUNCTION("""COMPUTED_VALUE"""),"Geeta Devi")</f>
        <v>Geeta Devi</v>
      </c>
      <c r="Z44" s="21" t="str">
        <f>IFERROR(__xludf.DUMMYFUNCTION("""COMPUTED_VALUE"""),"Mother")</f>
        <v>Mother</v>
      </c>
      <c r="AA44" s="21" t="str">
        <f>IFERROR(__xludf.DUMMYFUNCTION("""COMPUTED_VALUE"""),"Non-Veg")</f>
        <v>Non-Veg</v>
      </c>
      <c r="AB44" s="21" t="str">
        <f>IFERROR(__xludf.DUMMYFUNCTION("""COMPUTED_VALUE"""),"Non-Veg")</f>
        <v>Non-Veg</v>
      </c>
      <c r="AC44" s="21" t="str">
        <f>IFERROR(__xludf.DUMMYFUNCTION("""COMPUTED_VALUE"""),"Non-Veg")</f>
        <v>Non-Veg</v>
      </c>
      <c r="AD44" s="21" t="str">
        <f>IFERROR(__xludf.DUMMYFUNCTION("""COMPUTED_VALUE"""),"Drop at Kalyani Railway Station")</f>
        <v>Drop at Kalyani Railway Station</v>
      </c>
      <c r="AE44" s="21">
        <f>IFERROR(__xludf.DUMMYFUNCTION("""COMPUTED_VALUE"""),3.0)</f>
        <v>3</v>
      </c>
    </row>
    <row r="45" ht="22.5" customHeight="1">
      <c r="A45" s="18">
        <f>IFERROR(__xludf.DUMMYFUNCTION("""COMPUTED_VALUE"""),46265.513045555555)</f>
        <v>46265.51305</v>
      </c>
      <c r="B45" s="21" t="str">
        <f>IFERROR(__xludf.DUMMYFUNCTION("""COMPUTED_VALUE"""),"sudip.mbbs-2020@aiimskalyani.edu.in")</f>
        <v>sudip.mbbs-2020@aiimskalyani.edu.in</v>
      </c>
      <c r="C45" s="21" t="str">
        <f>IFERROR(__xludf.DUMMYFUNCTION("""COMPUTED_VALUE"""),"SUDIP CHATTERJEE")</f>
        <v>SUDIP CHATTERJEE</v>
      </c>
      <c r="D45" s="21" t="str">
        <f>IFERROR(__xludf.DUMMYFUNCTION("""COMPUTED_VALUE"""),"102/202001152")</f>
        <v>102/202001152</v>
      </c>
      <c r="E45" s="21" t="str">
        <f>IFERROR(__xludf.DUMMYFUNCTION("""COMPUTED_VALUE"""),"MBBS 2020")</f>
        <v>MBBS 2020</v>
      </c>
      <c r="F45" s="21">
        <f>IFERROR(__xludf.DUMMYFUNCTION("""COMPUTED_VALUE"""),8.116171221E9)</f>
        <v>8116171221</v>
      </c>
      <c r="G45" s="21" t="str">
        <f>IFERROR(__xludf.DUMMYFUNCTION("""COMPUTED_VALUE"""),"sudipchatterjee429@gmail.com")</f>
        <v>sudipchatterjee429@gmail.com</v>
      </c>
      <c r="H45" s="21" t="str">
        <f>IFERROR(__xludf.DUMMYFUNCTION("""COMPUTED_VALUE"""),"Yes")</f>
        <v>Yes</v>
      </c>
      <c r="I45" s="21" t="str">
        <f>IFERROR(__xludf.DUMMYFUNCTION("""COMPUTED_VALUE"""),"Drawing")</f>
        <v>Drawing</v>
      </c>
      <c r="J45" s="21"/>
      <c r="K45" s="21" t="str">
        <f>IFERROR(__xludf.DUMMYFUNCTION("""COMPUTED_VALUE"""),"Tarakeswar")</f>
        <v>Tarakeswar</v>
      </c>
      <c r="L45" s="22" t="str">
        <f>IFERROR(__xludf.DUMMYFUNCTION("""COMPUTED_VALUE"""),"https://drive.google.com/open?id=1A4XDVORt_CDsjhRF3DMaEsPZHR5ZnYcg")</f>
        <v>https://drive.google.com/open?id=1A4XDVORt_CDsjhRF3DMaEsPZHR5ZnYcg</v>
      </c>
      <c r="M45" s="22" t="str">
        <f>IFERROR(__xludf.DUMMYFUNCTION("""COMPUTED_VALUE"""),"https://drive.google.com/open?id=1-CT1lElOCOApOe8HcjXxEVMeahpqcT2L")</f>
        <v>https://drive.google.com/open?id=1-CT1lElOCOApOe8HcjXxEVMeahpqcT2L</v>
      </c>
      <c r="N45" s="21" t="str">
        <f>IFERROR(__xludf.DUMMYFUNCTION("""COMPUTED_VALUE"""),"RAGHUNATH CHATTERJEE")</f>
        <v>RAGHUNATH CHATTERJEE</v>
      </c>
      <c r="O45" s="21" t="str">
        <f>IFERROR(__xludf.DUMMYFUNCTION("""COMPUTED_VALUE"""),"Businessman")</f>
        <v>Businessman</v>
      </c>
      <c r="P45" s="21" t="str">
        <f>IFERROR(__xludf.DUMMYFUNCTION("""COMPUTED_VALUE"""),"Tarakeswar")</f>
        <v>Tarakeswar</v>
      </c>
      <c r="Q45" s="21">
        <f>IFERROR(__xludf.DUMMYFUNCTION("""COMPUTED_VALUE"""),9.339283518E9)</f>
        <v>9339283518</v>
      </c>
      <c r="R45" s="21" t="str">
        <f>IFERROR(__xludf.DUMMYFUNCTION("""COMPUTED_VALUE"""),"MANASI CHATTERJEE")</f>
        <v>MANASI CHATTERJEE</v>
      </c>
      <c r="S45" s="21" t="str">
        <f>IFERROR(__xludf.DUMMYFUNCTION("""COMPUTED_VALUE"""),"Housewife")</f>
        <v>Housewife</v>
      </c>
      <c r="T45" s="21" t="str">
        <f>IFERROR(__xludf.DUMMYFUNCTION("""COMPUTED_VALUE"""),"Tarakeswar")</f>
        <v>Tarakeswar</v>
      </c>
      <c r="U45" s="21">
        <f>IFERROR(__xludf.DUMMYFUNCTION("""COMPUTED_VALUE"""),8.670852689E9)</f>
        <v>8670852689</v>
      </c>
      <c r="V45" s="21">
        <f>IFERROR(__xludf.DUMMYFUNCTION("""COMPUTED_VALUE"""),2.0)</f>
        <v>2</v>
      </c>
      <c r="W45" s="21" t="str">
        <f>IFERROR(__xludf.DUMMYFUNCTION("""COMPUTED_VALUE"""),"RAGHUNATH CHATTERJEE ")</f>
        <v>RAGHUNATH CHATTERJEE </v>
      </c>
      <c r="X45" s="21" t="str">
        <f>IFERROR(__xludf.DUMMYFUNCTION("""COMPUTED_VALUE"""),"Father")</f>
        <v>Father</v>
      </c>
      <c r="Y45" s="21" t="str">
        <f>IFERROR(__xludf.DUMMYFUNCTION("""COMPUTED_VALUE"""),"MANASI CHATTERJEE ")</f>
        <v>MANASI CHATTERJEE </v>
      </c>
      <c r="Z45" s="21" t="str">
        <f>IFERROR(__xludf.DUMMYFUNCTION("""COMPUTED_VALUE"""),"Mother")</f>
        <v>Mother</v>
      </c>
      <c r="AA45" s="21" t="str">
        <f>IFERROR(__xludf.DUMMYFUNCTION("""COMPUTED_VALUE"""),"Non-Veg")</f>
        <v>Non-Veg</v>
      </c>
      <c r="AB45" s="21" t="str">
        <f>IFERROR(__xludf.DUMMYFUNCTION("""COMPUTED_VALUE"""),"Non-Veg")</f>
        <v>Non-Veg</v>
      </c>
      <c r="AC45" s="21" t="str">
        <f>IFERROR(__xludf.DUMMYFUNCTION("""COMPUTED_VALUE"""),"Non-Veg")</f>
        <v>Non-Veg</v>
      </c>
      <c r="AD45" s="21" t="str">
        <f>IFERROR(__xludf.DUMMYFUNCTION("""COMPUTED_VALUE"""),"Drop at Kalyani Railway Station")</f>
        <v>Drop at Kalyani Railway Station</v>
      </c>
      <c r="AE45" s="21">
        <f>IFERROR(__xludf.DUMMYFUNCTION("""COMPUTED_VALUE"""),3.0)</f>
        <v>3</v>
      </c>
    </row>
    <row r="46" ht="22.5" customHeight="1">
      <c r="A46" s="18">
        <f>IFERROR(__xludf.DUMMYFUNCTION("""COMPUTED_VALUE"""),46265.494035972224)</f>
        <v>46265.49404</v>
      </c>
      <c r="B46" s="21" t="str">
        <f>IFERROR(__xludf.DUMMYFUNCTION("""COMPUTED_VALUE"""),"murari.mbbs-2020@aiimskalyani.edu.in")</f>
        <v>murari.mbbs-2020@aiimskalyani.edu.in</v>
      </c>
      <c r="C46" s="21" t="str">
        <f>IFERROR(__xludf.DUMMYFUNCTION("""COMPUTED_VALUE"""),"MURARI SHARMA ")</f>
        <v>MURARI SHARMA </v>
      </c>
      <c r="D46" s="21">
        <f>IFERROR(__xludf.DUMMYFUNCTION("""COMPUTED_VALUE"""),2.02001173E8)</f>
        <v>202001173</v>
      </c>
      <c r="E46" s="21" t="str">
        <f>IFERROR(__xludf.DUMMYFUNCTION("""COMPUTED_VALUE"""),"MBBS 2020")</f>
        <v>MBBS 2020</v>
      </c>
      <c r="F46" s="21">
        <f>IFERROR(__xludf.DUMMYFUNCTION("""COMPUTED_VALUE"""),7.424949993E9)</f>
        <v>7424949993</v>
      </c>
      <c r="G46" s="21" t="str">
        <f>IFERROR(__xludf.DUMMYFUNCTION("""COMPUTED_VALUE"""),"sharmamd1405@gmail.com")</f>
        <v>sharmamd1405@gmail.com</v>
      </c>
      <c r="H46" s="21" t="str">
        <f>IFERROR(__xludf.DUMMYFUNCTION("""COMPUTED_VALUE"""),"Yes")</f>
        <v>Yes</v>
      </c>
      <c r="I46" s="21"/>
      <c r="J46" s="21" t="str">
        <f>IFERROR(__xludf.DUMMYFUNCTION("""COMPUTED_VALUE"""),"cricket and shotput ")</f>
        <v>cricket and shotput </v>
      </c>
      <c r="K46" s="21" t="str">
        <f>IFERROR(__xludf.DUMMYFUNCTION("""COMPUTED_VALUE"""),"jaipur ")</f>
        <v>jaipur </v>
      </c>
      <c r="L46" s="22" t="str">
        <f>IFERROR(__xludf.DUMMYFUNCTION("""COMPUTED_VALUE"""),"https://drive.google.com/open?id=1KQ-Xwv7YV4z_8uNWiPqxFY3is8juWUs-")</f>
        <v>https://drive.google.com/open?id=1KQ-Xwv7YV4z_8uNWiPqxFY3is8juWUs-</v>
      </c>
      <c r="M46" s="22" t="str">
        <f>IFERROR(__xludf.DUMMYFUNCTION("""COMPUTED_VALUE"""),"https://drive.google.com/open?id=1KyaLIdCt2MgshoIA4JrddZDP2txkUFS8")</f>
        <v>https://drive.google.com/open?id=1KyaLIdCt2MgshoIA4JrddZDP2txkUFS8</v>
      </c>
      <c r="N46" s="21" t="str">
        <f>IFERROR(__xludf.DUMMYFUNCTION("""COMPUTED_VALUE"""),"HANUMAN SAHAY SHARMA ")</f>
        <v>HANUMAN SAHAY SHARMA </v>
      </c>
      <c r="O46" s="21" t="str">
        <f>IFERROR(__xludf.DUMMYFUNCTION("""COMPUTED_VALUE"""),"businessman ")</f>
        <v>businessman </v>
      </c>
      <c r="P46" s="21" t="str">
        <f>IFERROR(__xludf.DUMMYFUNCTION("""COMPUTED_VALUE"""),"jaipur ")</f>
        <v>jaipur </v>
      </c>
      <c r="Q46" s="21">
        <f>IFERROR(__xludf.DUMMYFUNCTION("""COMPUTED_VALUE"""),9.829803332E9)</f>
        <v>9829803332</v>
      </c>
      <c r="R46" s="21" t="str">
        <f>IFERROR(__xludf.DUMMYFUNCTION("""COMPUTED_VALUE"""),"Raju Devi ")</f>
        <v>Raju Devi </v>
      </c>
      <c r="S46" s="21" t="str">
        <f>IFERROR(__xludf.DUMMYFUNCTION("""COMPUTED_VALUE"""),"N/a")</f>
        <v>N/a</v>
      </c>
      <c r="T46" s="21" t="str">
        <f>IFERROR(__xludf.DUMMYFUNCTION("""COMPUTED_VALUE"""),"jaipur ")</f>
        <v>jaipur </v>
      </c>
      <c r="U46" s="21">
        <f>IFERROR(__xludf.DUMMYFUNCTION("""COMPUTED_VALUE"""),9.950151856E9)</f>
        <v>9950151856</v>
      </c>
      <c r="V46" s="21">
        <f>IFERROR(__xludf.DUMMYFUNCTION("""COMPUTED_VALUE"""),0.0)</f>
        <v>0</v>
      </c>
      <c r="W46" s="21"/>
      <c r="X46" s="21"/>
      <c r="Y46" s="21"/>
      <c r="Z46" s="21"/>
      <c r="AA46" s="21" t="str">
        <f>IFERROR(__xludf.DUMMYFUNCTION("""COMPUTED_VALUE"""),"Veg")</f>
        <v>Veg</v>
      </c>
      <c r="AB46" s="21"/>
      <c r="AC46" s="21"/>
      <c r="AD46" s="21" t="str">
        <f>IFERROR(__xludf.DUMMYFUNCTION("""COMPUTED_VALUE"""),"Bus Drop Service not needed")</f>
        <v>Bus Drop Service not needed</v>
      </c>
      <c r="AE46" s="21">
        <f>IFERROR(__xludf.DUMMYFUNCTION("""COMPUTED_VALUE"""),0.0)</f>
        <v>0</v>
      </c>
    </row>
    <row r="47" ht="22.5" customHeight="1">
      <c r="A47" s="18">
        <f>IFERROR(__xludf.DUMMYFUNCTION("""COMPUTED_VALUE"""),46265.42724255787)</f>
        <v>46265.42724</v>
      </c>
      <c r="B47" s="21" t="str">
        <f>IFERROR(__xludf.DUMMYFUNCTION("""COMPUTED_VALUE"""),"sabita.mbbs-2020@aiimskalyani.edu.in")</f>
        <v>sabita.mbbs-2020@aiimskalyani.edu.in</v>
      </c>
      <c r="C47" s="21" t="str">
        <f>IFERROR(__xludf.DUMMYFUNCTION("""COMPUTED_VALUE"""),"SABITA MEHER")</f>
        <v>SABITA MEHER</v>
      </c>
      <c r="D47" s="21">
        <f>IFERROR(__xludf.DUMMYFUNCTION("""COMPUTED_VALUE"""),2.0200113E8)</f>
        <v>202001130</v>
      </c>
      <c r="E47" s="21" t="str">
        <f>IFERROR(__xludf.DUMMYFUNCTION("""COMPUTED_VALUE"""),"MBBS 2020")</f>
        <v>MBBS 2020</v>
      </c>
      <c r="F47" s="21">
        <f>IFERROR(__xludf.DUMMYFUNCTION("""COMPUTED_VALUE"""),8.260607752E9)</f>
        <v>8260607752</v>
      </c>
      <c r="G47" s="21" t="str">
        <f>IFERROR(__xludf.DUMMYFUNCTION("""COMPUTED_VALUE"""),"sabitameher054@gmail.com")</f>
        <v>sabitameher054@gmail.com</v>
      </c>
      <c r="H47" s="21" t="str">
        <f>IFERROR(__xludf.DUMMYFUNCTION("""COMPUTED_VALUE"""),"Yes")</f>
        <v>Yes</v>
      </c>
      <c r="I47" s="21" t="str">
        <f>IFERROR(__xludf.DUMMYFUNCTION("""COMPUTED_VALUE"""),"Painting")</f>
        <v>Painting</v>
      </c>
      <c r="J47" s="21" t="str">
        <f>IFERROR(__xludf.DUMMYFUNCTION("""COMPUTED_VALUE"""),"Badminton, Volleyball")</f>
        <v>Badminton, Volleyball</v>
      </c>
      <c r="K47" s="21" t="str">
        <f>IFERROR(__xludf.DUMMYFUNCTION("""COMPUTED_VALUE"""),"Duajhar, khariar , Nuapada , Odisha")</f>
        <v>Duajhar, khariar , Nuapada , Odisha</v>
      </c>
      <c r="L47" s="22" t="str">
        <f>IFERROR(__xludf.DUMMYFUNCTION("""COMPUTED_VALUE"""),"https://drive.google.com/open?id=1Awo4tkcxz5_bkVWxO7auydndnGz_goeX")</f>
        <v>https://drive.google.com/open?id=1Awo4tkcxz5_bkVWxO7auydndnGz_goeX</v>
      </c>
      <c r="M47" s="22" t="str">
        <f>IFERROR(__xludf.DUMMYFUNCTION("""COMPUTED_VALUE"""),"https://drive.google.com/open?id=1mq7q831Mr_qKEhpGM03-BNeH3VBL5AbI")</f>
        <v>https://drive.google.com/open?id=1mq7q831Mr_qKEhpGM03-BNeH3VBL5AbI</v>
      </c>
      <c r="N47" s="21" t="str">
        <f>IFERROR(__xludf.DUMMYFUNCTION("""COMPUTED_VALUE"""),"Bibatsa Meher")</f>
        <v>Bibatsa Meher</v>
      </c>
      <c r="O47" s="21" t="str">
        <f>IFERROR(__xludf.DUMMYFUNCTION("""COMPUTED_VALUE"""),"Teacher")</f>
        <v>Teacher</v>
      </c>
      <c r="P47" s="21" t="str">
        <f>IFERROR(__xludf.DUMMYFUNCTION("""COMPUTED_VALUE"""),"Duajhar, Khariar, Nuapada ,Odisha")</f>
        <v>Duajhar, Khariar, Nuapada ,Odisha</v>
      </c>
      <c r="Q47" s="21">
        <f>IFERROR(__xludf.DUMMYFUNCTION("""COMPUTED_VALUE"""),9.437725896E9)</f>
        <v>9437725896</v>
      </c>
      <c r="R47" s="21" t="str">
        <f>IFERROR(__xludf.DUMMYFUNCTION("""COMPUTED_VALUE"""),"Sanjukta Meher")</f>
        <v>Sanjukta Meher</v>
      </c>
      <c r="S47" s="21" t="str">
        <f>IFERROR(__xludf.DUMMYFUNCTION("""COMPUTED_VALUE"""),"Home maker")</f>
        <v>Home maker</v>
      </c>
      <c r="T47" s="21" t="str">
        <f>IFERROR(__xludf.DUMMYFUNCTION("""COMPUTED_VALUE"""),"Duajhar, Khariar, Nuapada ,Odisha")</f>
        <v>Duajhar, Khariar, Nuapada ,Odisha</v>
      </c>
      <c r="U47" s="21">
        <f>IFERROR(__xludf.DUMMYFUNCTION("""COMPUTED_VALUE"""),9.178614061E9)</f>
        <v>9178614061</v>
      </c>
      <c r="V47" s="21">
        <f>IFERROR(__xludf.DUMMYFUNCTION("""COMPUTED_VALUE"""),2.0)</f>
        <v>2</v>
      </c>
      <c r="W47" s="21" t="str">
        <f>IFERROR(__xludf.DUMMYFUNCTION("""COMPUTED_VALUE"""),"Sanjukta Meher")</f>
        <v>Sanjukta Meher</v>
      </c>
      <c r="X47" s="21" t="str">
        <f>IFERROR(__xludf.DUMMYFUNCTION("""COMPUTED_VALUE"""),"Mother")</f>
        <v>Mother</v>
      </c>
      <c r="Y47" s="21" t="str">
        <f>IFERROR(__xludf.DUMMYFUNCTION("""COMPUTED_VALUE"""),"Bibatsa Meher")</f>
        <v>Bibatsa Meher</v>
      </c>
      <c r="Z47" s="21" t="str">
        <f>IFERROR(__xludf.DUMMYFUNCTION("""COMPUTED_VALUE"""),"Father")</f>
        <v>Father</v>
      </c>
      <c r="AA47" s="21" t="str">
        <f>IFERROR(__xludf.DUMMYFUNCTION("""COMPUTED_VALUE"""),"Veg")</f>
        <v>Veg</v>
      </c>
      <c r="AB47" s="21" t="str">
        <f>IFERROR(__xludf.DUMMYFUNCTION("""COMPUTED_VALUE"""),"Veg")</f>
        <v>Veg</v>
      </c>
      <c r="AC47" s="21" t="str">
        <f>IFERROR(__xludf.DUMMYFUNCTION("""COMPUTED_VALUE"""),"Veg")</f>
        <v>Veg</v>
      </c>
      <c r="AD47" s="21" t="str">
        <f>IFERROR(__xludf.DUMMYFUNCTION("""COMPUTED_VALUE"""),"Bus Drop Service not needed")</f>
        <v>Bus Drop Service not needed</v>
      </c>
      <c r="AE47" s="21"/>
    </row>
    <row r="48" ht="22.5" customHeight="1">
      <c r="A48" s="18">
        <f>IFERROR(__xludf.DUMMYFUNCTION("""COMPUTED_VALUE"""),46265.398029108794)</f>
        <v>46265.39803</v>
      </c>
      <c r="B48" s="21" t="str">
        <f>IFERROR(__xludf.DUMMYFUNCTION("""COMPUTED_VALUE"""),"satyajeetrajmgr@gmail.com")</f>
        <v>satyajeetrajmgr@gmail.com</v>
      </c>
      <c r="C48" s="21" t="str">
        <f>IFERROR(__xludf.DUMMYFUNCTION("""COMPUTED_VALUE"""),"SATYAJEET RAJ ")</f>
        <v>SATYAJEET RAJ </v>
      </c>
      <c r="D48" s="21">
        <f>IFERROR(__xludf.DUMMYFUNCTION("""COMPUTED_VALUE"""),2.02001135E8)</f>
        <v>202001135</v>
      </c>
      <c r="E48" s="21" t="str">
        <f>IFERROR(__xludf.DUMMYFUNCTION("""COMPUTED_VALUE"""),"MBBS 2020")</f>
        <v>MBBS 2020</v>
      </c>
      <c r="F48" s="21">
        <f>IFERROR(__xludf.DUMMYFUNCTION("""COMPUTED_VALUE"""),7.564035942E9)</f>
        <v>7564035942</v>
      </c>
      <c r="G48" s="21" t="str">
        <f>IFERROR(__xludf.DUMMYFUNCTION("""COMPUTED_VALUE"""),"satyajeet.mbbs-2020@aiimskalyani.edu.in")</f>
        <v>satyajeet.mbbs-2020@aiimskalyani.edu.in</v>
      </c>
      <c r="H48" s="21" t="str">
        <f>IFERROR(__xludf.DUMMYFUNCTION("""COMPUTED_VALUE"""),"Yes")</f>
        <v>Yes</v>
      </c>
      <c r="I48" s="21" t="str">
        <f>IFERROR(__xludf.DUMMYFUNCTION("""COMPUTED_VALUE"""),"Playing cricket ")</f>
        <v>Playing cricket </v>
      </c>
      <c r="J48" s="21" t="str">
        <f>IFERROR(__xludf.DUMMYFUNCTION("""COMPUTED_VALUE"""),"ICMR STS completed ")</f>
        <v>ICMR STS completed </v>
      </c>
      <c r="K48" s="21" t="str">
        <f>IFERROR(__xludf.DUMMYFUNCTION("""COMPUTED_VALUE"""),"Munger ")</f>
        <v>Munger </v>
      </c>
      <c r="L48" s="22" t="str">
        <f>IFERROR(__xludf.DUMMYFUNCTION("""COMPUTED_VALUE"""),"https://drive.google.com/open?id=168MUPAft9nz3m2kjmj8i_54f5AFf1pyf")</f>
        <v>https://drive.google.com/open?id=168MUPAft9nz3m2kjmj8i_54f5AFf1pyf</v>
      </c>
      <c r="M48" s="22" t="str">
        <f>IFERROR(__xludf.DUMMYFUNCTION("""COMPUTED_VALUE"""),"https://drive.google.com/open?id=1BlByegnrRZoQ6dQfUCSXpHSMRgmp18KO")</f>
        <v>https://drive.google.com/open?id=1BlByegnrRZoQ6dQfUCSXpHSMRgmp18KO</v>
      </c>
      <c r="N48" s="21" t="str">
        <f>IFERROR(__xludf.DUMMYFUNCTION("""COMPUTED_VALUE"""),"Gopal Kumar ")</f>
        <v>Gopal Kumar </v>
      </c>
      <c r="O48" s="21" t="str">
        <f>IFERROR(__xludf.DUMMYFUNCTION("""COMPUTED_VALUE"""),"Government employee ")</f>
        <v>Government employee </v>
      </c>
      <c r="P48" s="21" t="str">
        <f>IFERROR(__xludf.DUMMYFUNCTION("""COMPUTED_VALUE"""),"Munger")</f>
        <v>Munger</v>
      </c>
      <c r="Q48" s="21">
        <f>IFERROR(__xludf.DUMMYFUNCTION("""COMPUTED_VALUE"""),9.63165648E9)</f>
        <v>9631656480</v>
      </c>
      <c r="R48" s="21" t="str">
        <f>IFERROR(__xludf.DUMMYFUNCTION("""COMPUTED_VALUE"""),"Soni Devi")</f>
        <v>Soni Devi</v>
      </c>
      <c r="S48" s="21" t="str">
        <f>IFERROR(__xludf.DUMMYFUNCTION("""COMPUTED_VALUE"""),"Housewife ")</f>
        <v>Housewife </v>
      </c>
      <c r="T48" s="21" t="str">
        <f>IFERROR(__xludf.DUMMYFUNCTION("""COMPUTED_VALUE"""),"Munger")</f>
        <v>Munger</v>
      </c>
      <c r="U48" s="21">
        <f>IFERROR(__xludf.DUMMYFUNCTION("""COMPUTED_VALUE"""),9.065179139E9)</f>
        <v>9065179139</v>
      </c>
      <c r="V48" s="21">
        <f>IFERROR(__xludf.DUMMYFUNCTION("""COMPUTED_VALUE"""),2.0)</f>
        <v>2</v>
      </c>
      <c r="W48" s="21" t="str">
        <f>IFERROR(__xludf.DUMMYFUNCTION("""COMPUTED_VALUE"""),"Soni Devi")</f>
        <v>Soni Devi</v>
      </c>
      <c r="X48" s="21" t="str">
        <f>IFERROR(__xludf.DUMMYFUNCTION("""COMPUTED_VALUE"""),"Mother")</f>
        <v>Mother</v>
      </c>
      <c r="Y48" s="21" t="str">
        <f>IFERROR(__xludf.DUMMYFUNCTION("""COMPUTED_VALUE"""),"Satyapriya Raj ")</f>
        <v>Satyapriya Raj </v>
      </c>
      <c r="Z48" s="21" t="str">
        <f>IFERROR(__xludf.DUMMYFUNCTION("""COMPUTED_VALUE"""),"Brother")</f>
        <v>Brother</v>
      </c>
      <c r="AA48" s="21" t="str">
        <f>IFERROR(__xludf.DUMMYFUNCTION("""COMPUTED_VALUE"""),"Non-Veg")</f>
        <v>Non-Veg</v>
      </c>
      <c r="AB48" s="21" t="str">
        <f>IFERROR(__xludf.DUMMYFUNCTION("""COMPUTED_VALUE"""),"Non-Veg")</f>
        <v>Non-Veg</v>
      </c>
      <c r="AC48" s="21" t="str">
        <f>IFERROR(__xludf.DUMMYFUNCTION("""COMPUTED_VALUE"""),"Non-Veg")</f>
        <v>Non-Veg</v>
      </c>
      <c r="AD48" s="21" t="str">
        <f>IFERROR(__xludf.DUMMYFUNCTION("""COMPUTED_VALUE"""),"Bus Drop Service not needed")</f>
        <v>Bus Drop Service not needed</v>
      </c>
      <c r="AE48" s="21"/>
    </row>
    <row r="49" ht="22.5" customHeight="1">
      <c r="A49" s="18">
        <f>IFERROR(__xludf.DUMMYFUNCTION("""COMPUTED_VALUE"""),46265.39387876158)</f>
        <v>46265.39388</v>
      </c>
      <c r="B49" s="21" t="str">
        <f>IFERROR(__xludf.DUMMYFUNCTION("""COMPUTED_VALUE"""),"aniket.mbbs-2020@aiimskalyani.edu.in")</f>
        <v>aniket.mbbs-2020@aiimskalyani.edu.in</v>
      </c>
      <c r="C49" s="21" t="str">
        <f>IFERROR(__xludf.DUMMYFUNCTION("""COMPUTED_VALUE"""),"ANIKET SARKAR")</f>
        <v>ANIKET SARKAR</v>
      </c>
      <c r="D49" s="21" t="str">
        <f>IFERROR(__xludf.DUMMYFUNCTION("""COMPUTED_VALUE"""),"16/ 20200166")</f>
        <v>16/ 20200166</v>
      </c>
      <c r="E49" s="21" t="str">
        <f>IFERROR(__xludf.DUMMYFUNCTION("""COMPUTED_VALUE"""),"MBBS 2020")</f>
        <v>MBBS 2020</v>
      </c>
      <c r="F49" s="21">
        <f>IFERROR(__xludf.DUMMYFUNCTION("""COMPUTED_VALUE"""),9.547483864E9)</f>
        <v>9547483864</v>
      </c>
      <c r="G49" s="21" t="str">
        <f>IFERROR(__xludf.DUMMYFUNCTION("""COMPUTED_VALUE"""),"aniket.mbbs-2020@aiimskalyani.edu.in")</f>
        <v>aniket.mbbs-2020@aiimskalyani.edu.in</v>
      </c>
      <c r="H49" s="21" t="str">
        <f>IFERROR(__xludf.DUMMYFUNCTION("""COMPUTED_VALUE"""),"Yes")</f>
        <v>Yes</v>
      </c>
      <c r="I49" s="21" t="str">
        <f>IFERROR(__xludf.DUMMYFUNCTION("""COMPUTED_VALUE"""),"Trekking ")</f>
        <v>Trekking </v>
      </c>
      <c r="J49" s="21" t="str">
        <f>IFERROR(__xludf.DUMMYFUNCTION("""COMPUTED_VALUE"""),"Nil")</f>
        <v>Nil</v>
      </c>
      <c r="K49" s="21" t="str">
        <f>IFERROR(__xludf.DUMMYFUNCTION("""COMPUTED_VALUE"""),"Haldia ")</f>
        <v>Haldia </v>
      </c>
      <c r="L49" s="22" t="str">
        <f>IFERROR(__xludf.DUMMYFUNCTION("""COMPUTED_VALUE"""),"https://drive.google.com/open?id=1bEWCSfyhLSa7C1kgtitoPCS8bkIuBpmf")</f>
        <v>https://drive.google.com/open?id=1bEWCSfyhLSa7C1kgtitoPCS8bkIuBpmf</v>
      </c>
      <c r="M49" s="22" t="str">
        <f>IFERROR(__xludf.DUMMYFUNCTION("""COMPUTED_VALUE"""),"https://drive.google.com/open?id=1a8yvFYEqjTFWSGtX0ctxOqXemjricIEX")</f>
        <v>https://drive.google.com/open?id=1a8yvFYEqjTFWSGtX0ctxOqXemjricIEX</v>
      </c>
      <c r="N49" s="21" t="str">
        <f>IFERROR(__xludf.DUMMYFUNCTION("""COMPUTED_VALUE"""),"BARUN KUMAR SARKAR")</f>
        <v>BARUN KUMAR SARKAR</v>
      </c>
      <c r="O49" s="21" t="str">
        <f>IFERROR(__xludf.DUMMYFUNCTION("""COMPUTED_VALUE"""),"Retired govt. Employee")</f>
        <v>Retired govt. Employee</v>
      </c>
      <c r="P49" s="21" t="str">
        <f>IFERROR(__xludf.DUMMYFUNCTION("""COMPUTED_VALUE"""),"Haldia ")</f>
        <v>Haldia </v>
      </c>
      <c r="Q49" s="21">
        <f>IFERROR(__xludf.DUMMYFUNCTION("""COMPUTED_VALUE"""),9.434087023E9)</f>
        <v>9434087023</v>
      </c>
      <c r="R49" s="21" t="str">
        <f>IFERROR(__xludf.DUMMYFUNCTION("""COMPUTED_VALUE"""),"Rinku Sarkar")</f>
        <v>Rinku Sarkar</v>
      </c>
      <c r="S49" s="21" t="str">
        <f>IFERROR(__xludf.DUMMYFUNCTION("""COMPUTED_VALUE"""),"Govt. School teacher")</f>
        <v>Govt. School teacher</v>
      </c>
      <c r="T49" s="21" t="str">
        <f>IFERROR(__xludf.DUMMYFUNCTION("""COMPUTED_VALUE"""),"Haldia ")</f>
        <v>Haldia </v>
      </c>
      <c r="U49" s="21">
        <f>IFERROR(__xludf.DUMMYFUNCTION("""COMPUTED_VALUE"""),9.474068198E9)</f>
        <v>9474068198</v>
      </c>
      <c r="V49" s="21">
        <f>IFERROR(__xludf.DUMMYFUNCTION("""COMPUTED_VALUE"""),2.0)</f>
        <v>2</v>
      </c>
      <c r="W49" s="21" t="str">
        <f>IFERROR(__xludf.DUMMYFUNCTION("""COMPUTED_VALUE"""),"Barun Kumar Sarkar")</f>
        <v>Barun Kumar Sarkar</v>
      </c>
      <c r="X49" s="21" t="str">
        <f>IFERROR(__xludf.DUMMYFUNCTION("""COMPUTED_VALUE"""),"Father")</f>
        <v>Father</v>
      </c>
      <c r="Y49" s="21" t="str">
        <f>IFERROR(__xludf.DUMMYFUNCTION("""COMPUTED_VALUE"""),"Rinku Sarkar")</f>
        <v>Rinku Sarkar</v>
      </c>
      <c r="Z49" s="21" t="str">
        <f>IFERROR(__xludf.DUMMYFUNCTION("""COMPUTED_VALUE"""),"Mother")</f>
        <v>Mother</v>
      </c>
      <c r="AA49" s="21" t="str">
        <f>IFERROR(__xludf.DUMMYFUNCTION("""COMPUTED_VALUE"""),"Non-Veg")</f>
        <v>Non-Veg</v>
      </c>
      <c r="AB49" s="21" t="str">
        <f>IFERROR(__xludf.DUMMYFUNCTION("""COMPUTED_VALUE"""),"Non-Veg")</f>
        <v>Non-Veg</v>
      </c>
      <c r="AC49" s="21" t="str">
        <f>IFERROR(__xludf.DUMMYFUNCTION("""COMPUTED_VALUE"""),"Veg")</f>
        <v>Veg</v>
      </c>
      <c r="AD49" s="21" t="str">
        <f>IFERROR(__xludf.DUMMYFUNCTION("""COMPUTED_VALUE"""),"Bus Drop Service not needed")</f>
        <v>Bus Drop Service not needed</v>
      </c>
      <c r="AE49" s="21">
        <f>IFERROR(__xludf.DUMMYFUNCTION("""COMPUTED_VALUE"""),0.0)</f>
        <v>0</v>
      </c>
    </row>
    <row r="50" ht="22.5" customHeight="1">
      <c r="A50" s="18">
        <f>IFERROR(__xludf.DUMMYFUNCTION("""COMPUTED_VALUE"""),46265.39331462963)</f>
        <v>46265.39331</v>
      </c>
      <c r="B50" s="21" t="str">
        <f>IFERROR(__xludf.DUMMYFUNCTION("""COMPUTED_VALUE"""),"anusree.mbbs-2020@aiimskalyani.edu.in")</f>
        <v>anusree.mbbs-2020@aiimskalyani.edu.in</v>
      </c>
      <c r="C50" s="21" t="str">
        <f>IFERROR(__xludf.DUMMYFUNCTION("""COMPUTED_VALUE"""),"ANUSREE JAYAN")</f>
        <v>ANUSREE JAYAN</v>
      </c>
      <c r="D50" s="21">
        <f>IFERROR(__xludf.DUMMYFUNCTION("""COMPUTED_VALUE"""),2.0200172E7)</f>
        <v>20200172</v>
      </c>
      <c r="E50" s="21" t="str">
        <f>IFERROR(__xludf.DUMMYFUNCTION("""COMPUTED_VALUE"""),"MBBS 2020")</f>
        <v>MBBS 2020</v>
      </c>
      <c r="F50" s="21">
        <f>IFERROR(__xludf.DUMMYFUNCTION("""COMPUTED_VALUE"""),7.510692429E9)</f>
        <v>7510692429</v>
      </c>
      <c r="G50" s="21" t="str">
        <f>IFERROR(__xludf.DUMMYFUNCTION("""COMPUTED_VALUE"""),"anusreejayan77@gmail.com")</f>
        <v>anusreejayan77@gmail.com</v>
      </c>
      <c r="H50" s="21" t="str">
        <f>IFERROR(__xludf.DUMMYFUNCTION("""COMPUTED_VALUE"""),"Yes")</f>
        <v>Yes</v>
      </c>
      <c r="I50" s="21" t="str">
        <f>IFERROR(__xludf.DUMMYFUNCTION("""COMPUTED_VALUE"""),"Music-vocals, movies")</f>
        <v>Music-vocals, movies</v>
      </c>
      <c r="J50" s="21"/>
      <c r="K50" s="21" t="str">
        <f>IFERROR(__xludf.DUMMYFUNCTION("""COMPUTED_VALUE"""),"Edappal, Kerala ")</f>
        <v>Edappal, Kerala </v>
      </c>
      <c r="L50" s="22" t="str">
        <f>IFERROR(__xludf.DUMMYFUNCTION("""COMPUTED_VALUE"""),"https://drive.google.com/open?id=11TxnwfocD6eDqSWk_1PNN0MI2jyrL5ZS")</f>
        <v>https://drive.google.com/open?id=11TxnwfocD6eDqSWk_1PNN0MI2jyrL5ZS</v>
      </c>
      <c r="M50" s="22" t="str">
        <f>IFERROR(__xludf.DUMMYFUNCTION("""COMPUTED_VALUE"""),"https://drive.google.com/open?id=1friM3Un9sYBrvVFof6J8GyRDWrPBGbVU")</f>
        <v>https://drive.google.com/open?id=1friM3Un9sYBrvVFof6J8GyRDWrPBGbVU</v>
      </c>
      <c r="N50" s="21" t="str">
        <f>IFERROR(__xludf.DUMMYFUNCTION("""COMPUTED_VALUE"""),"Jayan k k")</f>
        <v>Jayan k k</v>
      </c>
      <c r="O50" s="21" t="str">
        <f>IFERROR(__xludf.DUMMYFUNCTION("""COMPUTED_VALUE"""),"Boat mechanic")</f>
        <v>Boat mechanic</v>
      </c>
      <c r="P50" s="21" t="str">
        <f>IFERROR(__xludf.DUMMYFUNCTION("""COMPUTED_VALUE"""),"Palakkad, kerala")</f>
        <v>Palakkad, kerala</v>
      </c>
      <c r="Q50" s="21">
        <f>IFERROR(__xludf.DUMMYFUNCTION("""COMPUTED_VALUE"""),9.048595467E9)</f>
        <v>9048595467</v>
      </c>
      <c r="R50" s="21" t="str">
        <f>IFERROR(__xludf.DUMMYFUNCTION("""COMPUTED_VALUE"""),"Ranjini jayan ")</f>
        <v>Ranjini jayan </v>
      </c>
      <c r="S50" s="21" t="str">
        <f>IFERROR(__xludf.DUMMYFUNCTION("""COMPUTED_VALUE"""),"Homemaker ")</f>
        <v>Homemaker </v>
      </c>
      <c r="T50" s="21" t="str">
        <f>IFERROR(__xludf.DUMMYFUNCTION("""COMPUTED_VALUE"""),"Ponnani, Kerala")</f>
        <v>Ponnani, Kerala</v>
      </c>
      <c r="U50" s="21">
        <f>IFERROR(__xludf.DUMMYFUNCTION("""COMPUTED_VALUE"""),9.961177429E9)</f>
        <v>9961177429</v>
      </c>
      <c r="V50" s="21">
        <f>IFERROR(__xludf.DUMMYFUNCTION("""COMPUTED_VALUE"""),2.0)</f>
        <v>2</v>
      </c>
      <c r="W50" s="21" t="str">
        <f>IFERROR(__xludf.DUMMYFUNCTION("""COMPUTED_VALUE"""),"Ranjini Jayan")</f>
        <v>Ranjini Jayan</v>
      </c>
      <c r="X50" s="21" t="str">
        <f>IFERROR(__xludf.DUMMYFUNCTION("""COMPUTED_VALUE"""),"Mother")</f>
        <v>Mother</v>
      </c>
      <c r="Y50" s="21" t="str">
        <f>IFERROR(__xludf.DUMMYFUNCTION("""COMPUTED_VALUE"""),"Jayan K K")</f>
        <v>Jayan K K</v>
      </c>
      <c r="Z50" s="21" t="str">
        <f>IFERROR(__xludf.DUMMYFUNCTION("""COMPUTED_VALUE"""),"Father")</f>
        <v>Father</v>
      </c>
      <c r="AA50" s="21" t="str">
        <f>IFERROR(__xludf.DUMMYFUNCTION("""COMPUTED_VALUE"""),"Non-Veg")</f>
        <v>Non-Veg</v>
      </c>
      <c r="AB50" s="21" t="str">
        <f>IFERROR(__xludf.DUMMYFUNCTION("""COMPUTED_VALUE"""),"Non-Veg")</f>
        <v>Non-Veg</v>
      </c>
      <c r="AC50" s="21" t="str">
        <f>IFERROR(__xludf.DUMMYFUNCTION("""COMPUTED_VALUE"""),"Non-Veg")</f>
        <v>Non-Veg</v>
      </c>
      <c r="AD50" s="21" t="str">
        <f>IFERROR(__xludf.DUMMYFUNCTION("""COMPUTED_VALUE"""),"Bus Drop Service not needed")</f>
        <v>Bus Drop Service not needed</v>
      </c>
      <c r="AE50" s="21">
        <f>IFERROR(__xludf.DUMMYFUNCTION("""COMPUTED_VALUE"""),0.0)</f>
        <v>0</v>
      </c>
    </row>
    <row r="51" ht="22.5" customHeight="1">
      <c r="A51" s="18">
        <f>IFERROR(__xludf.DUMMYFUNCTION("""COMPUTED_VALUE"""),46265.39031640046)</f>
        <v>46265.39032</v>
      </c>
      <c r="B51" s="21" t="str">
        <f>IFERROR(__xludf.DUMMYFUNCTION("""COMPUTED_VALUE"""),"vikash.mbbs-2020@aiimskalyani.edu.in")</f>
        <v>vikash.mbbs-2020@aiimskalyani.edu.in</v>
      </c>
      <c r="C51" s="21" t="str">
        <f>IFERROR(__xludf.DUMMYFUNCTION("""COMPUTED_VALUE"""),"VIKASH KUMAR RAI ")</f>
        <v>VIKASH KUMAR RAI </v>
      </c>
      <c r="D51" s="21" t="str">
        <f>IFERROR(__xludf.DUMMYFUNCTION("""COMPUTED_VALUE"""),"111/202001161")</f>
        <v>111/202001161</v>
      </c>
      <c r="E51" s="21" t="str">
        <f>IFERROR(__xludf.DUMMYFUNCTION("""COMPUTED_VALUE"""),"MBBS 2020")</f>
        <v>MBBS 2020</v>
      </c>
      <c r="F51" s="21">
        <f>IFERROR(__xludf.DUMMYFUNCTION("""COMPUTED_VALUE"""),9.546802465E9)</f>
        <v>9546802465</v>
      </c>
      <c r="G51" s="21" t="str">
        <f>IFERROR(__xludf.DUMMYFUNCTION("""COMPUTED_VALUE"""),"vikash.mbbs-2020@aiimskalyani.edu.in")</f>
        <v>vikash.mbbs-2020@aiimskalyani.edu.in</v>
      </c>
      <c r="H51" s="21" t="str">
        <f>IFERROR(__xludf.DUMMYFUNCTION("""COMPUTED_VALUE"""),"Yes")</f>
        <v>Yes</v>
      </c>
      <c r="I51" s="21" t="str">
        <f>IFERROR(__xludf.DUMMYFUNCTION("""COMPUTED_VALUE"""),"Playing cricket ,watching movies ")</f>
        <v>Playing cricket ,watching movies </v>
      </c>
      <c r="J51" s="21" t="str">
        <f>IFERROR(__xludf.DUMMYFUNCTION("""COMPUTED_VALUE"""),"STS 2023 awardee.published 5 research papers during MBBS.")</f>
        <v>STS 2023 awardee.published 5 research papers during MBBS.</v>
      </c>
      <c r="K51" s="21" t="str">
        <f>IFERROR(__xludf.DUMMYFUNCTION("""COMPUTED_VALUE"""),"Pokhrera,Taraiya ,Saran ,841424 ,Bihar ")</f>
        <v>Pokhrera,Taraiya ,Saran ,841424 ,Bihar </v>
      </c>
      <c r="L51" s="22" t="str">
        <f>IFERROR(__xludf.DUMMYFUNCTION("""COMPUTED_VALUE"""),"https://drive.google.com/open?id=1xoY71ouDAOV0jnsCI692BaKWbhCiZL-r")</f>
        <v>https://drive.google.com/open?id=1xoY71ouDAOV0jnsCI692BaKWbhCiZL-r</v>
      </c>
      <c r="M51" s="22" t="str">
        <f>IFERROR(__xludf.DUMMYFUNCTION("""COMPUTED_VALUE"""),"https://drive.google.com/open?id=1CpvOYOqC8OXeTRFmNioCrYg3_7hSZ39Q")</f>
        <v>https://drive.google.com/open?id=1CpvOYOqC8OXeTRFmNioCrYg3_7hSZ39Q</v>
      </c>
      <c r="N51" s="21" t="str">
        <f>IFERROR(__xludf.DUMMYFUNCTION("""COMPUTED_VALUE"""),"Brahma Deo Rai")</f>
        <v>Brahma Deo Rai</v>
      </c>
      <c r="O51" s="21" t="str">
        <f>IFERROR(__xludf.DUMMYFUNCTION("""COMPUTED_VALUE"""),"Business/graduate ")</f>
        <v>Business/graduate </v>
      </c>
      <c r="P51" s="21" t="str">
        <f>IFERROR(__xludf.DUMMYFUNCTION("""COMPUTED_VALUE"""),"Pokhrera ,Taraiya ,Saran ")</f>
        <v>Pokhrera ,Taraiya ,Saran </v>
      </c>
      <c r="Q51" s="21">
        <f>IFERROR(__xludf.DUMMYFUNCTION("""COMPUTED_VALUE"""),9.939257994E9)</f>
        <v>9939257994</v>
      </c>
      <c r="R51" s="21" t="str">
        <f>IFERROR(__xludf.DUMMYFUNCTION("""COMPUTED_VALUE"""),"Sushila devi ")</f>
        <v>Sushila devi </v>
      </c>
      <c r="S51" s="21" t="str">
        <f>IFERROR(__xludf.DUMMYFUNCTION("""COMPUTED_VALUE"""),"Homemaker /graduate ")</f>
        <v>Homemaker /graduate </v>
      </c>
      <c r="T51" s="21" t="str">
        <f>IFERROR(__xludf.DUMMYFUNCTION("""COMPUTED_VALUE"""),"Pokhrera ,Taraiya ,Saran ")</f>
        <v>Pokhrera ,Taraiya ,Saran </v>
      </c>
      <c r="U51" s="21">
        <f>IFERROR(__xludf.DUMMYFUNCTION("""COMPUTED_VALUE"""),9.939257994E9)</f>
        <v>9939257994</v>
      </c>
      <c r="V51" s="21">
        <f>IFERROR(__xludf.DUMMYFUNCTION("""COMPUTED_VALUE"""),2.0)</f>
        <v>2</v>
      </c>
      <c r="W51" s="21" t="str">
        <f>IFERROR(__xludf.DUMMYFUNCTION("""COMPUTED_VALUE"""),"Brahma Deo Rai ")</f>
        <v>Brahma Deo Rai </v>
      </c>
      <c r="X51" s="21" t="str">
        <f>IFERROR(__xludf.DUMMYFUNCTION("""COMPUTED_VALUE"""),"Father ")</f>
        <v>Father </v>
      </c>
      <c r="Y51" s="21" t="str">
        <f>IFERROR(__xludf.DUMMYFUNCTION("""COMPUTED_VALUE"""),"Sushila devi ")</f>
        <v>Sushila devi </v>
      </c>
      <c r="Z51" s="21" t="str">
        <f>IFERROR(__xludf.DUMMYFUNCTION("""COMPUTED_VALUE"""),"Mother ")</f>
        <v>Mother </v>
      </c>
      <c r="AA51" s="21" t="str">
        <f>IFERROR(__xludf.DUMMYFUNCTION("""COMPUTED_VALUE"""),"Non-Veg")</f>
        <v>Non-Veg</v>
      </c>
      <c r="AB51" s="21" t="str">
        <f>IFERROR(__xludf.DUMMYFUNCTION("""COMPUTED_VALUE"""),"Non-Veg")</f>
        <v>Non-Veg</v>
      </c>
      <c r="AC51" s="21" t="str">
        <f>IFERROR(__xludf.DUMMYFUNCTION("""COMPUTED_VALUE"""),"Non-Veg")</f>
        <v>Non-Veg</v>
      </c>
      <c r="AD51" s="21" t="str">
        <f>IFERROR(__xludf.DUMMYFUNCTION("""COMPUTED_VALUE"""),"Bus Drop Service not needed")</f>
        <v>Bus Drop Service not needed</v>
      </c>
      <c r="AE51" s="21"/>
    </row>
    <row r="52" ht="22.5" customHeight="1">
      <c r="A52" s="18">
        <f>IFERROR(__xludf.DUMMYFUNCTION("""COMPUTED_VALUE"""),46265.322078599536)</f>
        <v>46265.32208</v>
      </c>
      <c r="B52" s="21" t="str">
        <f>IFERROR(__xludf.DUMMYFUNCTION("""COMPUTED_VALUE"""),"swastik.mbbs-2020@aiimskalyani.edu.in")</f>
        <v>swastik.mbbs-2020@aiimskalyani.edu.in</v>
      </c>
      <c r="C52" s="21" t="str">
        <f>IFERROR(__xludf.DUMMYFUNCTION("""COMPUTED_VALUE"""),"SWASTIK TRIPATHY")</f>
        <v>SWASTIK TRIPATHY</v>
      </c>
      <c r="D52" s="21" t="str">
        <f>IFERROR(__xludf.DUMMYFUNCTION("""COMPUTED_VALUE"""),"104 / 202001154")</f>
        <v>104 / 202001154</v>
      </c>
      <c r="E52" s="21" t="str">
        <f>IFERROR(__xludf.DUMMYFUNCTION("""COMPUTED_VALUE"""),"MBBS 2020")</f>
        <v>MBBS 2020</v>
      </c>
      <c r="F52" s="21">
        <f>IFERROR(__xludf.DUMMYFUNCTION("""COMPUTED_VALUE"""),7.604052975E9)</f>
        <v>7604052975</v>
      </c>
      <c r="G52" s="21" t="str">
        <f>IFERROR(__xludf.DUMMYFUNCTION("""COMPUTED_VALUE"""),"swastik.mbbs-2020@aiimskalyani.edu.in")</f>
        <v>swastik.mbbs-2020@aiimskalyani.edu.in</v>
      </c>
      <c r="H52" s="21" t="str">
        <f>IFERROR(__xludf.DUMMYFUNCTION("""COMPUTED_VALUE"""),"Yes")</f>
        <v>Yes</v>
      </c>
      <c r="I52" s="21" t="str">
        <f>IFERROR(__xludf.DUMMYFUNCTION("""COMPUTED_VALUE"""),"Playing tabla, rail travel, WW2 history")</f>
        <v>Playing tabla, rail travel, WW2 history</v>
      </c>
      <c r="J52" s="21"/>
      <c r="K52" s="21" t="str">
        <f>IFERROR(__xludf.DUMMYFUNCTION("""COMPUTED_VALUE"""),"Bhubaneswar")</f>
        <v>Bhubaneswar</v>
      </c>
      <c r="L52" s="22" t="str">
        <f>IFERROR(__xludf.DUMMYFUNCTION("""COMPUTED_VALUE"""),"https://drive.google.com/open?id=1FlQgY3Scj_y3_BUa8Skrlka4aRvx9rXi")</f>
        <v>https://drive.google.com/open?id=1FlQgY3Scj_y3_BUa8Skrlka4aRvx9rXi</v>
      </c>
      <c r="M52" s="22" t="str">
        <f>IFERROR(__xludf.DUMMYFUNCTION("""COMPUTED_VALUE"""),"https://drive.google.com/open?id=1nwJLxBaIq1O7GAOlDLWaU8w59li6tz1W")</f>
        <v>https://drive.google.com/open?id=1nwJLxBaIq1O7GAOlDLWaU8w59li6tz1W</v>
      </c>
      <c r="N52" s="21" t="str">
        <f>IFERROR(__xludf.DUMMYFUNCTION("""COMPUTED_VALUE"""),"MANOJ KUMAR TRIPATHY")</f>
        <v>MANOJ KUMAR TRIPATHY</v>
      </c>
      <c r="O52" s="21" t="str">
        <f>IFERROR(__xludf.DUMMYFUNCTION("""COMPUTED_VALUE"""),"LIC HFL")</f>
        <v>LIC HFL</v>
      </c>
      <c r="P52" s="21" t="str">
        <f>IFERROR(__xludf.DUMMYFUNCTION("""COMPUTED_VALUE"""),"BHUBANESWAR")</f>
        <v>BHUBANESWAR</v>
      </c>
      <c r="Q52" s="21">
        <f>IFERROR(__xludf.DUMMYFUNCTION("""COMPUTED_VALUE"""),9.836819135E9)</f>
        <v>9836819135</v>
      </c>
      <c r="R52" s="21" t="str">
        <f>IFERROR(__xludf.DUMMYFUNCTION("""COMPUTED_VALUE"""),"SWAGATIKA SARANGI")</f>
        <v>SWAGATIKA SARANGI</v>
      </c>
      <c r="S52" s="21" t="str">
        <f>IFERROR(__xludf.DUMMYFUNCTION("""COMPUTED_VALUE"""),"HOMEMAKER")</f>
        <v>HOMEMAKER</v>
      </c>
      <c r="T52" s="21" t="str">
        <f>IFERROR(__xludf.DUMMYFUNCTION("""COMPUTED_VALUE"""),"BHUBANESWAR")</f>
        <v>BHUBANESWAR</v>
      </c>
      <c r="U52" s="21">
        <f>IFERROR(__xludf.DUMMYFUNCTION("""COMPUTED_VALUE"""),9.831525908E9)</f>
        <v>9831525908</v>
      </c>
      <c r="V52" s="21">
        <f>IFERROR(__xludf.DUMMYFUNCTION("""COMPUTED_VALUE"""),2.0)</f>
        <v>2</v>
      </c>
      <c r="W52" s="21" t="str">
        <f>IFERROR(__xludf.DUMMYFUNCTION("""COMPUTED_VALUE"""),"MANOJ KUMAR TRIPATHY")</f>
        <v>MANOJ KUMAR TRIPATHY</v>
      </c>
      <c r="X52" s="21" t="str">
        <f>IFERROR(__xludf.DUMMYFUNCTION("""COMPUTED_VALUE"""),"FATHER")</f>
        <v>FATHER</v>
      </c>
      <c r="Y52" s="21" t="str">
        <f>IFERROR(__xludf.DUMMYFUNCTION("""COMPUTED_VALUE"""),"SWAGATIKA SARANGI")</f>
        <v>SWAGATIKA SARANGI</v>
      </c>
      <c r="Z52" s="21" t="str">
        <f>IFERROR(__xludf.DUMMYFUNCTION("""COMPUTED_VALUE"""),"MOTHER")</f>
        <v>MOTHER</v>
      </c>
      <c r="AA52" s="21" t="str">
        <f>IFERROR(__xludf.DUMMYFUNCTION("""COMPUTED_VALUE"""),"Non-Veg")</f>
        <v>Non-Veg</v>
      </c>
      <c r="AB52" s="21" t="str">
        <f>IFERROR(__xludf.DUMMYFUNCTION("""COMPUTED_VALUE"""),"Non-Veg")</f>
        <v>Non-Veg</v>
      </c>
      <c r="AC52" s="21" t="str">
        <f>IFERROR(__xludf.DUMMYFUNCTION("""COMPUTED_VALUE"""),"Non-Veg")</f>
        <v>Non-Veg</v>
      </c>
      <c r="AD52" s="21" t="str">
        <f>IFERROR(__xludf.DUMMYFUNCTION("""COMPUTED_VALUE"""),"Bus Drop Service not needed")</f>
        <v>Bus Drop Service not needed</v>
      </c>
      <c r="AE52" s="21"/>
    </row>
    <row r="53" ht="22.5" customHeight="1">
      <c r="A53" s="18">
        <f>IFERROR(__xludf.DUMMYFUNCTION("""COMPUTED_VALUE"""),46265.19043809028)</f>
        <v>46265.19044</v>
      </c>
      <c r="B53" s="21" t="str">
        <f>IFERROR(__xludf.DUMMYFUNCTION("""COMPUTED_VALUE"""),"varuna.mbbs-2020@aiimskalyani.edu.in")</f>
        <v>varuna.mbbs-2020@aiimskalyani.edu.in</v>
      </c>
      <c r="C53" s="21" t="str">
        <f>IFERROR(__xludf.DUMMYFUNCTION("""COMPUTED_VALUE"""),"VARUNA VINOD A ")</f>
        <v>VARUNA VINOD A </v>
      </c>
      <c r="D53" s="21">
        <f>IFERROR(__xludf.DUMMYFUNCTION("""COMPUTED_VALUE"""),2.0200116E8)</f>
        <v>202001160</v>
      </c>
      <c r="E53" s="21" t="str">
        <f>IFERROR(__xludf.DUMMYFUNCTION("""COMPUTED_VALUE"""),"MBBS 2020")</f>
        <v>MBBS 2020</v>
      </c>
      <c r="F53" s="21">
        <f>IFERROR(__xludf.DUMMYFUNCTION("""COMPUTED_VALUE"""),9.65675673E9)</f>
        <v>9656756730</v>
      </c>
      <c r="G53" s="21" t="str">
        <f>IFERROR(__xludf.DUMMYFUNCTION("""COMPUTED_VALUE"""),"iamvaruna20@gmail.com")</f>
        <v>iamvaruna20@gmail.com</v>
      </c>
      <c r="H53" s="21" t="str">
        <f>IFERROR(__xludf.DUMMYFUNCTION("""COMPUTED_VALUE"""),"Yes")</f>
        <v>Yes</v>
      </c>
      <c r="I53" s="21" t="str">
        <f>IFERROR(__xludf.DUMMYFUNCTION("""COMPUTED_VALUE"""),"Loves dancing and drawing ")</f>
        <v>Loves dancing and drawing </v>
      </c>
      <c r="J53" s="21"/>
      <c r="K53" s="21" t="str">
        <f>IFERROR(__xludf.DUMMYFUNCTION("""COMPUTED_VALUE"""),"Kerala")</f>
        <v>Kerala</v>
      </c>
      <c r="L53" s="22" t="str">
        <f>IFERROR(__xludf.DUMMYFUNCTION("""COMPUTED_VALUE"""),"https://drive.google.com/open?id=1ubA8C6KPdYXJpYtv38xpnDxhKGsA9lTF")</f>
        <v>https://drive.google.com/open?id=1ubA8C6KPdYXJpYtv38xpnDxhKGsA9lTF</v>
      </c>
      <c r="M53" s="22" t="str">
        <f>IFERROR(__xludf.DUMMYFUNCTION("""COMPUTED_VALUE"""),"https://drive.google.com/open?id=1h13cIXFRqFSwxteOs7r-i-vAcmAhm6-6")</f>
        <v>https://drive.google.com/open?id=1h13cIXFRqFSwxteOs7r-i-vAcmAhm6-6</v>
      </c>
      <c r="N53" s="21" t="str">
        <f>IFERROR(__xludf.DUMMYFUNCTION("""COMPUTED_VALUE"""),"VINOD ")</f>
        <v>VINOD </v>
      </c>
      <c r="O53" s="21" t="str">
        <f>IFERROR(__xludf.DUMMYFUNCTION("""COMPUTED_VALUE"""),"Ex soldier ")</f>
        <v>Ex soldier </v>
      </c>
      <c r="P53" s="21" t="str">
        <f>IFERROR(__xludf.DUMMYFUNCTION("""COMPUTED_VALUE"""),"Kerala")</f>
        <v>Kerala</v>
      </c>
      <c r="Q53" s="21">
        <f>IFERROR(__xludf.DUMMYFUNCTION("""COMPUTED_VALUE"""),9.744691019E9)</f>
        <v>9744691019</v>
      </c>
      <c r="R53" s="21" t="str">
        <f>IFERROR(__xludf.DUMMYFUNCTION("""COMPUTED_VALUE"""),"AJITHA")</f>
        <v>AJITHA</v>
      </c>
      <c r="S53" s="21" t="str">
        <f>IFERROR(__xludf.DUMMYFUNCTION("""COMPUTED_VALUE"""),"Teacher")</f>
        <v>Teacher</v>
      </c>
      <c r="T53" s="21" t="str">
        <f>IFERROR(__xludf.DUMMYFUNCTION("""COMPUTED_VALUE"""),"Kerala")</f>
        <v>Kerala</v>
      </c>
      <c r="U53" s="21">
        <f>IFERROR(__xludf.DUMMYFUNCTION("""COMPUTED_VALUE"""),8.11384862E9)</f>
        <v>8113848620</v>
      </c>
      <c r="V53" s="21">
        <f>IFERROR(__xludf.DUMMYFUNCTION("""COMPUTED_VALUE"""),2.0)</f>
        <v>2</v>
      </c>
      <c r="W53" s="21" t="str">
        <f>IFERROR(__xludf.DUMMYFUNCTION("""COMPUTED_VALUE"""),"Varnna Vinod A")</f>
        <v>Varnna Vinod A</v>
      </c>
      <c r="X53" s="21" t="str">
        <f>IFERROR(__xludf.DUMMYFUNCTION("""COMPUTED_VALUE"""),"Sister ")</f>
        <v>Sister </v>
      </c>
      <c r="Y53" s="21" t="str">
        <f>IFERROR(__xludf.DUMMYFUNCTION("""COMPUTED_VALUE"""),"Dr gowri")</f>
        <v>Dr gowri</v>
      </c>
      <c r="Z53" s="21" t="str">
        <f>IFERROR(__xludf.DUMMYFUNCTION("""COMPUTED_VALUE"""),"Sister ")</f>
        <v>Sister </v>
      </c>
      <c r="AA53" s="21" t="str">
        <f>IFERROR(__xludf.DUMMYFUNCTION("""COMPUTED_VALUE"""),"Non-Veg")</f>
        <v>Non-Veg</v>
      </c>
      <c r="AB53" s="21" t="str">
        <f>IFERROR(__xludf.DUMMYFUNCTION("""COMPUTED_VALUE"""),"Non-Veg")</f>
        <v>Non-Veg</v>
      </c>
      <c r="AC53" s="21" t="str">
        <f>IFERROR(__xludf.DUMMYFUNCTION("""COMPUTED_VALUE"""),"Non-Veg")</f>
        <v>Non-Veg</v>
      </c>
      <c r="AD53" s="21" t="str">
        <f>IFERROR(__xludf.DUMMYFUNCTION("""COMPUTED_VALUE"""),"Drop at Kolkata Airport")</f>
        <v>Drop at Kolkata Airport</v>
      </c>
      <c r="AE53" s="21">
        <f>IFERROR(__xludf.DUMMYFUNCTION("""COMPUTED_VALUE"""),1.0)</f>
        <v>1</v>
      </c>
    </row>
    <row r="54" ht="22.5" customHeight="1">
      <c r="A54" s="18">
        <f>IFERROR(__xludf.DUMMYFUNCTION("""COMPUTED_VALUE"""),46265.16448895833)</f>
        <v>46265.16449</v>
      </c>
      <c r="B54" s="21" t="str">
        <f>IFERROR(__xludf.DUMMYFUNCTION("""COMPUTED_VALUE"""),"khadija.mbbs-2020@aiimskalyani.edu.in")</f>
        <v>khadija.mbbs-2020@aiimskalyani.edu.in</v>
      </c>
      <c r="C54" s="21" t="str">
        <f>IFERROR(__xludf.DUMMYFUNCTION("""COMPUTED_VALUE"""),"KHADIJA KALAM")</f>
        <v>KHADIJA KALAM</v>
      </c>
      <c r="D54" s="21" t="str">
        <f>IFERROR(__xludf.DUMMYFUNCTION("""COMPUTED_VALUE"""),"56/202001106")</f>
        <v>56/202001106</v>
      </c>
      <c r="E54" s="21" t="str">
        <f>IFERROR(__xludf.DUMMYFUNCTION("""COMPUTED_VALUE"""),"MBBS 2020")</f>
        <v>MBBS 2020</v>
      </c>
      <c r="F54" s="21">
        <f>IFERROR(__xludf.DUMMYFUNCTION("""COMPUTED_VALUE"""),9.234370051E9)</f>
        <v>9234370051</v>
      </c>
      <c r="G54" s="21" t="str">
        <f>IFERROR(__xludf.DUMMYFUNCTION("""COMPUTED_VALUE"""),"khadija.mbbs-2020@aiimskalyani.edu.in")</f>
        <v>khadija.mbbs-2020@aiimskalyani.edu.in</v>
      </c>
      <c r="H54" s="21" t="str">
        <f>IFERROR(__xludf.DUMMYFUNCTION("""COMPUTED_VALUE"""),"Yes")</f>
        <v>Yes</v>
      </c>
      <c r="I54" s="21" t="str">
        <f>IFERROR(__xludf.DUMMYFUNCTION("""COMPUTED_VALUE"""),"Playing outdoor games,watching drama.")</f>
        <v>Playing outdoor games,watching drama.</v>
      </c>
      <c r="J54" s="21" t="str">
        <f>IFERROR(__xludf.DUMMYFUNCTION("""COMPUTED_VALUE"""),"Badminton ")</f>
        <v>Badminton </v>
      </c>
      <c r="K54" s="21" t="str">
        <f>IFERROR(__xludf.DUMMYFUNCTION("""COMPUTED_VALUE"""),"Bihar")</f>
        <v>Bihar</v>
      </c>
      <c r="L54" s="22" t="str">
        <f>IFERROR(__xludf.DUMMYFUNCTION("""COMPUTED_VALUE"""),"https://drive.google.com/open?id=1_K0EM6KuVzTOwEM7_XyD_mrOCpQYJfWQ")</f>
        <v>https://drive.google.com/open?id=1_K0EM6KuVzTOwEM7_XyD_mrOCpQYJfWQ</v>
      </c>
      <c r="M54" s="22" t="str">
        <f>IFERROR(__xludf.DUMMYFUNCTION("""COMPUTED_VALUE"""),"https://drive.google.com/open?id=1FiCM2PverwGAbEmervv-W_xjWI_HDVI4")</f>
        <v>https://drive.google.com/open?id=1FiCM2PverwGAbEmervv-W_xjWI_HDVI4</v>
      </c>
      <c r="N54" s="21" t="str">
        <f>IFERROR(__xludf.DUMMYFUNCTION("""COMPUTED_VALUE"""),"Late Abdul kalam ")</f>
        <v>Late Abdul kalam </v>
      </c>
      <c r="O54" s="21" t="str">
        <f>IFERROR(__xludf.DUMMYFUNCTION("""COMPUTED_VALUE"""),"Ooo")</f>
        <v>Ooo</v>
      </c>
      <c r="P54" s="21" t="str">
        <f>IFERROR(__xludf.DUMMYFUNCTION("""COMPUTED_VALUE"""),"Ooo")</f>
        <v>Ooo</v>
      </c>
      <c r="Q54" s="21">
        <f>IFERROR(__xludf.DUMMYFUNCTION("""COMPUTED_VALUE"""),8.084069687E9)</f>
        <v>8084069687</v>
      </c>
      <c r="R54" s="21" t="str">
        <f>IFERROR(__xludf.DUMMYFUNCTION("""COMPUTED_VALUE"""),"Roquaida Khatoon ")</f>
        <v>Roquaida Khatoon </v>
      </c>
      <c r="S54" s="21" t="str">
        <f>IFERROR(__xludf.DUMMYFUNCTION("""COMPUTED_VALUE"""),"Homemaker")</f>
        <v>Homemaker</v>
      </c>
      <c r="T54" s="21" t="str">
        <f>IFERROR(__xludf.DUMMYFUNCTION("""COMPUTED_VALUE"""),"Bihar ")</f>
        <v>Bihar </v>
      </c>
      <c r="U54" s="21">
        <f>IFERROR(__xludf.DUMMYFUNCTION("""COMPUTED_VALUE"""),8.084069687E9)</f>
        <v>8084069687</v>
      </c>
      <c r="V54" s="21">
        <f>IFERROR(__xludf.DUMMYFUNCTION("""COMPUTED_VALUE"""),2.0)</f>
        <v>2</v>
      </c>
      <c r="W54" s="21" t="str">
        <f>IFERROR(__xludf.DUMMYFUNCTION("""COMPUTED_VALUE"""),"Ayesha kalam ")</f>
        <v>Ayesha kalam </v>
      </c>
      <c r="X54" s="21" t="str">
        <f>IFERROR(__xludf.DUMMYFUNCTION("""COMPUTED_VALUE"""),"Sister")</f>
        <v>Sister</v>
      </c>
      <c r="Y54" s="21" t="str">
        <f>IFERROR(__xludf.DUMMYFUNCTION("""COMPUTED_VALUE"""),"Tausif Ahmed ")</f>
        <v>Tausif Ahmed </v>
      </c>
      <c r="Z54" s="21" t="str">
        <f>IFERROR(__xludf.DUMMYFUNCTION("""COMPUTED_VALUE"""),"Brother ")</f>
        <v>Brother </v>
      </c>
      <c r="AA54" s="21" t="str">
        <f>IFERROR(__xludf.DUMMYFUNCTION("""COMPUTED_VALUE"""),"Non-Veg")</f>
        <v>Non-Veg</v>
      </c>
      <c r="AB54" s="21" t="str">
        <f>IFERROR(__xludf.DUMMYFUNCTION("""COMPUTED_VALUE"""),"Non-Veg")</f>
        <v>Non-Veg</v>
      </c>
      <c r="AC54" s="21" t="str">
        <f>IFERROR(__xludf.DUMMYFUNCTION("""COMPUTED_VALUE"""),"Non-Veg")</f>
        <v>Non-Veg</v>
      </c>
      <c r="AD54" s="21" t="str">
        <f>IFERROR(__xludf.DUMMYFUNCTION("""COMPUTED_VALUE"""),"Bus Drop Service not needed")</f>
        <v>Bus Drop Service not needed</v>
      </c>
      <c r="AE54" s="21">
        <f>IFERROR(__xludf.DUMMYFUNCTION("""COMPUTED_VALUE"""),0.0)</f>
        <v>0</v>
      </c>
    </row>
    <row r="55" ht="22.5" customHeight="1">
      <c r="A55" s="18">
        <f>IFERROR(__xludf.DUMMYFUNCTION("""COMPUTED_VALUE"""),46265.00516487268)</f>
        <v>46265.00516</v>
      </c>
      <c r="B55" s="21" t="str">
        <f>IFERROR(__xludf.DUMMYFUNCTION("""COMPUTED_VALUE"""),"sumit.mbbs-2020@aiimskalyani.edu.in")</f>
        <v>sumit.mbbs-2020@aiimskalyani.edu.in</v>
      </c>
      <c r="C55" s="21" t="str">
        <f>IFERROR(__xludf.DUMMYFUNCTION("""COMPUTED_VALUE"""),"SUMIT KUMAR MONDAL ")</f>
        <v>SUMIT KUMAR MONDAL </v>
      </c>
      <c r="D55" s="21" t="str">
        <f>IFERROR(__xludf.DUMMYFUNCTION("""COMPUTED_VALUE"""),"103/202001153")</f>
        <v>103/202001153</v>
      </c>
      <c r="E55" s="21" t="str">
        <f>IFERROR(__xludf.DUMMYFUNCTION("""COMPUTED_VALUE"""),"MBBS 2020")</f>
        <v>MBBS 2020</v>
      </c>
      <c r="F55" s="21">
        <f>IFERROR(__xludf.DUMMYFUNCTION("""COMPUTED_VALUE"""),8.274949371E9)</f>
        <v>8274949371</v>
      </c>
      <c r="G55" s="21" t="str">
        <f>IFERROR(__xludf.DUMMYFUNCTION("""COMPUTED_VALUE"""),"sumit.mbbs-2020@aiimskalyani.edu.in")</f>
        <v>sumit.mbbs-2020@aiimskalyani.edu.in</v>
      </c>
      <c r="H55" s="21" t="str">
        <f>IFERROR(__xludf.DUMMYFUNCTION("""COMPUTED_VALUE"""),"Yes")</f>
        <v>Yes</v>
      </c>
      <c r="I55" s="21" t="str">
        <f>IFERROR(__xludf.DUMMYFUNCTION("""COMPUTED_VALUE"""),"Interested in sports specifically in Football ")</f>
        <v>Interested in sports specifically in Football </v>
      </c>
      <c r="J55" s="21"/>
      <c r="K55" s="21" t="str">
        <f>IFERROR(__xludf.DUMMYFUNCTION("""COMPUTED_VALUE"""),"BARUIPUR ")</f>
        <v>BARUIPUR </v>
      </c>
      <c r="L55" s="22" t="str">
        <f>IFERROR(__xludf.DUMMYFUNCTION("""COMPUTED_VALUE"""),"https://drive.google.com/open?id=1RP1xjpB3dL7gx3qTEOqfmYOhSLbYKPq4")</f>
        <v>https://drive.google.com/open?id=1RP1xjpB3dL7gx3qTEOqfmYOhSLbYKPq4</v>
      </c>
      <c r="M55" s="22" t="str">
        <f>IFERROR(__xludf.DUMMYFUNCTION("""COMPUTED_VALUE"""),"https://drive.google.com/open?id=1B3u1WKM8EwF8a4ko8op32ttXwGMfZgxO")</f>
        <v>https://drive.google.com/open?id=1B3u1WKM8EwF8a4ko8op32ttXwGMfZgxO</v>
      </c>
      <c r="N55" s="21" t="str">
        <f>IFERROR(__xludf.DUMMYFUNCTION("""COMPUTED_VALUE"""),"CHANDRA KANTA MONDAL")</f>
        <v>CHANDRA KANTA MONDAL</v>
      </c>
      <c r="O55" s="21" t="str">
        <f>IFERROR(__xludf.DUMMYFUNCTION("""COMPUTED_VALUE"""),"GOVERNMENT HIGH SCHOOL TEACHER")</f>
        <v>GOVERNMENT HIGH SCHOOL TEACHER</v>
      </c>
      <c r="P55" s="21" t="str">
        <f>IFERROR(__xludf.DUMMYFUNCTION("""COMPUTED_VALUE"""),"BARUIPUR")</f>
        <v>BARUIPUR</v>
      </c>
      <c r="Q55" s="21">
        <f>IFERROR(__xludf.DUMMYFUNCTION("""COMPUTED_VALUE"""),9.903255498E9)</f>
        <v>9903255498</v>
      </c>
      <c r="R55" s="21" t="str">
        <f>IFERROR(__xludf.DUMMYFUNCTION("""COMPUTED_VALUE"""),"SATHI MONDAL SARKAR")</f>
        <v>SATHI MONDAL SARKAR</v>
      </c>
      <c r="S55" s="21" t="str">
        <f>IFERROR(__xludf.DUMMYFUNCTION("""COMPUTED_VALUE"""),"HOUSEWIFE ")</f>
        <v>HOUSEWIFE </v>
      </c>
      <c r="T55" s="21" t="str">
        <f>IFERROR(__xludf.DUMMYFUNCTION("""COMPUTED_VALUE"""),"BARUIPUR")</f>
        <v>BARUIPUR</v>
      </c>
      <c r="U55" s="21">
        <f>IFERROR(__xludf.DUMMYFUNCTION("""COMPUTED_VALUE"""),6.290182457E9)</f>
        <v>6290182457</v>
      </c>
      <c r="V55" s="21">
        <f>IFERROR(__xludf.DUMMYFUNCTION("""COMPUTED_VALUE"""),2.0)</f>
        <v>2</v>
      </c>
      <c r="W55" s="21" t="str">
        <f>IFERROR(__xludf.DUMMYFUNCTION("""COMPUTED_VALUE"""),"CHANDRA KANTA MONDAL ")</f>
        <v>CHANDRA KANTA MONDAL </v>
      </c>
      <c r="X55" s="21" t="str">
        <f>IFERROR(__xludf.DUMMYFUNCTION("""COMPUTED_VALUE"""),"FATHER")</f>
        <v>FATHER</v>
      </c>
      <c r="Y55" s="21" t="str">
        <f>IFERROR(__xludf.DUMMYFUNCTION("""COMPUTED_VALUE"""),"SATHI MONDAL SARKAR")</f>
        <v>SATHI MONDAL SARKAR</v>
      </c>
      <c r="Z55" s="21" t="str">
        <f>IFERROR(__xludf.DUMMYFUNCTION("""COMPUTED_VALUE"""),"MOTHER")</f>
        <v>MOTHER</v>
      </c>
      <c r="AA55" s="21" t="str">
        <f>IFERROR(__xludf.DUMMYFUNCTION("""COMPUTED_VALUE"""),"Non-Veg")</f>
        <v>Non-Veg</v>
      </c>
      <c r="AB55" s="21" t="str">
        <f>IFERROR(__xludf.DUMMYFUNCTION("""COMPUTED_VALUE"""),"Non-Veg")</f>
        <v>Non-Veg</v>
      </c>
      <c r="AC55" s="21" t="str">
        <f>IFERROR(__xludf.DUMMYFUNCTION("""COMPUTED_VALUE"""),"Veg")</f>
        <v>Veg</v>
      </c>
      <c r="AD55" s="21" t="str">
        <f>IFERROR(__xludf.DUMMYFUNCTION("""COMPUTED_VALUE"""),"Bus Drop Service not needed")</f>
        <v>Bus Drop Service not needed</v>
      </c>
      <c r="AE55" s="21">
        <f>IFERROR(__xludf.DUMMYFUNCTION("""COMPUTED_VALUE"""),0.0)</f>
        <v>0</v>
      </c>
    </row>
    <row r="56" ht="22.5" customHeight="1">
      <c r="A56" s="18">
        <f>IFERROR(__xludf.DUMMYFUNCTION("""COMPUTED_VALUE"""),46264.98208627314)</f>
        <v>46264.98209</v>
      </c>
      <c r="B56" s="21" t="str">
        <f>IFERROR(__xludf.DUMMYFUNCTION("""COMPUTED_VALUE"""),"ayrin.mbbs-2020@aiimskalyani.edu.in")</f>
        <v>ayrin.mbbs-2020@aiimskalyani.edu.in</v>
      </c>
      <c r="C56" s="21" t="str">
        <f>IFERROR(__xludf.DUMMYFUNCTION("""COMPUTED_VALUE"""),"AYRIN C SIMON")</f>
        <v>AYRIN C SIMON</v>
      </c>
      <c r="D56" s="21" t="str">
        <f>IFERROR(__xludf.DUMMYFUNCTION("""COMPUTED_VALUE"""),"32/20200182")</f>
        <v>32/20200182</v>
      </c>
      <c r="E56" s="21" t="str">
        <f>IFERROR(__xludf.DUMMYFUNCTION("""COMPUTED_VALUE"""),"MBBS 2020")</f>
        <v>MBBS 2020</v>
      </c>
      <c r="F56" s="21">
        <f>IFERROR(__xludf.DUMMYFUNCTION("""COMPUTED_VALUE"""),8.281643135E9)</f>
        <v>8281643135</v>
      </c>
      <c r="G56" s="21" t="str">
        <f>IFERROR(__xludf.DUMMYFUNCTION("""COMPUTED_VALUE"""),"ayrin.mbbs-2020@aiimskalyani.edu.in")</f>
        <v>ayrin.mbbs-2020@aiimskalyani.edu.in</v>
      </c>
      <c r="H56" s="21" t="str">
        <f>IFERROR(__xludf.DUMMYFUNCTION("""COMPUTED_VALUE"""),"Yes")</f>
        <v>Yes</v>
      </c>
      <c r="I56" s="21" t="str">
        <f>IFERROR(__xludf.DUMMYFUNCTION("""COMPUTED_VALUE"""),"I’m into dancing, travelling and exploring new places ,creating and editing Reels and YouTube videos, photography, experimenting with food , understanding people and human behaviour, and capturing all the little moments that eventually become the best mem"&amp;"ories.")</f>
        <v>I’m into dancing, travelling and exploring new places ,creating and editing Reels and YouTube videos, photography, experimenting with food , understanding people and human behaviour, and capturing all the little moments that eventually become the best memories.</v>
      </c>
      <c r="J56" s="21" t="str">
        <f>IFERROR(__xludf.DUMMYFUNCTION("""COMPUTED_VALUE"""),"From winning Mathematics Olympiads and general quizzes during my school years to exploring dance, sports, and creative activities in college which includes prizes in solo western dance, poster making and slogan writing competitions.")</f>
        <v>From winning Mathematics Olympiads and general quizzes during my school years to exploring dance, sports, and creative activities in college which includes prizes in solo western dance, poster making and slogan writing competitions.</v>
      </c>
      <c r="K56" s="21" t="str">
        <f>IFERROR(__xludf.DUMMYFUNCTION("""COMPUTED_VALUE"""),"Thrissur")</f>
        <v>Thrissur</v>
      </c>
      <c r="L56" s="22" t="str">
        <f>IFERROR(__xludf.DUMMYFUNCTION("""COMPUTED_VALUE"""),"https://drive.google.com/open?id=1Zx_3dSzBU78LU2mqClv3ZK2lkwJJN45c")</f>
        <v>https://drive.google.com/open?id=1Zx_3dSzBU78LU2mqClv3ZK2lkwJJN45c</v>
      </c>
      <c r="M56" s="22" t="str">
        <f>IFERROR(__xludf.DUMMYFUNCTION("""COMPUTED_VALUE"""),"https://drive.google.com/open?id=1vF9JH8yM1J9uka48ktINb6hYBXMbWNtR")</f>
        <v>https://drive.google.com/open?id=1vF9JH8yM1J9uka48ktINb6hYBXMbWNtR</v>
      </c>
      <c r="N56" s="21" t="str">
        <f>IFERROR(__xludf.DUMMYFUNCTION("""COMPUTED_VALUE"""),"Simon C J")</f>
        <v>Simon C J</v>
      </c>
      <c r="O56" s="21" t="str">
        <f>IFERROR(__xludf.DUMMYFUNCTION("""COMPUTED_VALUE"""),"Business ")</f>
        <v>Business </v>
      </c>
      <c r="P56" s="21" t="str">
        <f>IFERROR(__xludf.DUMMYFUNCTION("""COMPUTED_VALUE"""),"Thrissur ")</f>
        <v>Thrissur </v>
      </c>
      <c r="Q56" s="21">
        <f>IFERROR(__xludf.DUMMYFUNCTION("""COMPUTED_VALUE"""),9.847015135E9)</f>
        <v>9847015135</v>
      </c>
      <c r="R56" s="21" t="str">
        <f>IFERROR(__xludf.DUMMYFUNCTION("""COMPUTED_VALUE"""),"Smitha Simon")</f>
        <v>Smitha Simon</v>
      </c>
      <c r="S56" s="21" t="str">
        <f>IFERROR(__xludf.DUMMYFUNCTION("""COMPUTED_VALUE"""),"Business ")</f>
        <v>Business </v>
      </c>
      <c r="T56" s="21" t="str">
        <f>IFERROR(__xludf.DUMMYFUNCTION("""COMPUTED_VALUE"""),"Thrissur ")</f>
        <v>Thrissur </v>
      </c>
      <c r="U56" s="21">
        <f>IFERROR(__xludf.DUMMYFUNCTION("""COMPUTED_VALUE"""),9.656215135E9)</f>
        <v>9656215135</v>
      </c>
      <c r="V56" s="21">
        <f>IFERROR(__xludf.DUMMYFUNCTION("""COMPUTED_VALUE"""),2.0)</f>
        <v>2</v>
      </c>
      <c r="W56" s="21" t="str">
        <f>IFERROR(__xludf.DUMMYFUNCTION("""COMPUTED_VALUE"""),"Sijo C J")</f>
        <v>Sijo C J</v>
      </c>
      <c r="X56" s="21" t="str">
        <f>IFERROR(__xludf.DUMMYFUNCTION("""COMPUTED_VALUE"""),"Father ")</f>
        <v>Father </v>
      </c>
      <c r="Y56" s="21" t="str">
        <f>IFERROR(__xludf.DUMMYFUNCTION("""COMPUTED_VALUE"""),"Smitha Sijo")</f>
        <v>Smitha Sijo</v>
      </c>
      <c r="Z56" s="21" t="str">
        <f>IFERROR(__xludf.DUMMYFUNCTION("""COMPUTED_VALUE"""),"Mother ")</f>
        <v>Mother </v>
      </c>
      <c r="AA56" s="21" t="str">
        <f>IFERROR(__xludf.DUMMYFUNCTION("""COMPUTED_VALUE"""),"Non-Veg")</f>
        <v>Non-Veg</v>
      </c>
      <c r="AB56" s="21" t="str">
        <f>IFERROR(__xludf.DUMMYFUNCTION("""COMPUTED_VALUE"""),"Non-Veg")</f>
        <v>Non-Veg</v>
      </c>
      <c r="AC56" s="21" t="str">
        <f>IFERROR(__xludf.DUMMYFUNCTION("""COMPUTED_VALUE"""),"Non-Veg")</f>
        <v>Non-Veg</v>
      </c>
      <c r="AD56" s="21" t="str">
        <f>IFERROR(__xludf.DUMMYFUNCTION("""COMPUTED_VALUE"""),"Bus Drop Service not needed")</f>
        <v>Bus Drop Service not needed</v>
      </c>
      <c r="AE56" s="21">
        <f>IFERROR(__xludf.DUMMYFUNCTION("""COMPUTED_VALUE"""),0.0)</f>
        <v>0</v>
      </c>
    </row>
    <row r="57" ht="22.5" customHeight="1">
      <c r="A57" s="18">
        <f>IFERROR(__xludf.DUMMYFUNCTION("""COMPUTED_VALUE"""),46264.97686145833)</f>
        <v>46264.97686</v>
      </c>
      <c r="B57" s="21" t="str">
        <f>IFERROR(__xludf.DUMMYFUNCTION("""COMPUTED_VALUE"""),"soham.mbbs-2020@aiimskalyani.edu.in")</f>
        <v>soham.mbbs-2020@aiimskalyani.edu.in</v>
      </c>
      <c r="C57" s="21" t="str">
        <f>IFERROR(__xludf.DUMMYFUNCTION("""COMPUTED_VALUE"""),"SOHAM MANDAL")</f>
        <v>SOHAM MANDAL</v>
      </c>
      <c r="D57" s="21" t="str">
        <f>IFERROR(__xludf.DUMMYFUNCTION("""COMPUTED_VALUE"""),"96/ 2020001146")</f>
        <v>96/ 2020001146</v>
      </c>
      <c r="E57" s="21" t="str">
        <f>IFERROR(__xludf.DUMMYFUNCTION("""COMPUTED_VALUE"""),"MBBS 2020")</f>
        <v>MBBS 2020</v>
      </c>
      <c r="F57" s="21">
        <f>IFERROR(__xludf.DUMMYFUNCTION("""COMPUTED_VALUE"""),8.250397348E9)</f>
        <v>8250397348</v>
      </c>
      <c r="G57" s="21" t="str">
        <f>IFERROR(__xludf.DUMMYFUNCTION("""COMPUTED_VALUE"""),"mandalsoham30@gmail.com")</f>
        <v>mandalsoham30@gmail.com</v>
      </c>
      <c r="H57" s="21" t="str">
        <f>IFERROR(__xludf.DUMMYFUNCTION("""COMPUTED_VALUE"""),"Yes")</f>
        <v>Yes</v>
      </c>
      <c r="I57" s="21" t="str">
        <f>IFERROR(__xludf.DUMMYFUNCTION("""COMPUTED_VALUE"""),"Like playing and listening to music
Reading fiction")</f>
        <v>Like playing and listening to music
Reading fiction</v>
      </c>
      <c r="J57" s="21" t="str">
        <f>IFERROR(__xludf.DUMMYFUNCTION("""COMPUTED_VALUE"""),"Like playing Badminton and football
Represented college as a keyboardist in the college band")</f>
        <v>Like playing Badminton and football
Represented college as a keyboardist in the college band</v>
      </c>
      <c r="K57" s="21" t="str">
        <f>IFERROR(__xludf.DUMMYFUNCTION("""COMPUTED_VALUE"""),"Siliguri ")</f>
        <v>Siliguri </v>
      </c>
      <c r="L57" s="22" t="str">
        <f>IFERROR(__xludf.DUMMYFUNCTION("""COMPUTED_VALUE"""),"https://drive.google.com/open?id=1unyjf6RiDAljTw9YHRi5kp76eQjCCHCi")</f>
        <v>https://drive.google.com/open?id=1unyjf6RiDAljTw9YHRi5kp76eQjCCHCi</v>
      </c>
      <c r="M57" s="22" t="str">
        <f>IFERROR(__xludf.DUMMYFUNCTION("""COMPUTED_VALUE"""),"https://drive.google.com/open?id=1LJZyywE5qTyMUbYxTcxLI6sv9D4nYEcY")</f>
        <v>https://drive.google.com/open?id=1LJZyywE5qTyMUbYxTcxLI6sv9D4nYEcY</v>
      </c>
      <c r="N57" s="21" t="str">
        <f>IFERROR(__xludf.DUMMYFUNCTION("""COMPUTED_VALUE"""),"Somnath Mandal")</f>
        <v>Somnath Mandal</v>
      </c>
      <c r="O57" s="21" t="str">
        <f>IFERROR(__xludf.DUMMYFUNCTION("""COMPUTED_VALUE"""),"Professor at Government College")</f>
        <v>Professor at Government College</v>
      </c>
      <c r="P57" s="21" t="str">
        <f>IFERROR(__xludf.DUMMYFUNCTION("""COMPUTED_VALUE"""),"Siliguri")</f>
        <v>Siliguri</v>
      </c>
      <c r="Q57" s="21">
        <f>IFERROR(__xludf.DUMMYFUNCTION("""COMPUTED_VALUE"""),9.434181325E9)</f>
        <v>9434181325</v>
      </c>
      <c r="R57" s="21" t="str">
        <f>IFERROR(__xludf.DUMMYFUNCTION("""COMPUTED_VALUE"""),"Ruma Mandal")</f>
        <v>Ruma Mandal</v>
      </c>
      <c r="S57" s="21" t="str">
        <f>IFERROR(__xludf.DUMMYFUNCTION("""COMPUTED_VALUE"""),"Homemaker")</f>
        <v>Homemaker</v>
      </c>
      <c r="T57" s="21" t="str">
        <f>IFERROR(__xludf.DUMMYFUNCTION("""COMPUTED_VALUE"""),"Siliguri")</f>
        <v>Siliguri</v>
      </c>
      <c r="U57" s="21">
        <f>IFERROR(__xludf.DUMMYFUNCTION("""COMPUTED_VALUE"""),9.475081596E9)</f>
        <v>9475081596</v>
      </c>
      <c r="V57" s="21">
        <f>IFERROR(__xludf.DUMMYFUNCTION("""COMPUTED_VALUE"""),2.0)</f>
        <v>2</v>
      </c>
      <c r="W57" s="21" t="str">
        <f>IFERROR(__xludf.DUMMYFUNCTION("""COMPUTED_VALUE"""),"Somnath Mandal")</f>
        <v>Somnath Mandal</v>
      </c>
      <c r="X57" s="21" t="str">
        <f>IFERROR(__xludf.DUMMYFUNCTION("""COMPUTED_VALUE"""),"Father")</f>
        <v>Father</v>
      </c>
      <c r="Y57" s="21" t="str">
        <f>IFERROR(__xludf.DUMMYFUNCTION("""COMPUTED_VALUE"""),"Ruma Mandal")</f>
        <v>Ruma Mandal</v>
      </c>
      <c r="Z57" s="21" t="str">
        <f>IFERROR(__xludf.DUMMYFUNCTION("""COMPUTED_VALUE"""),"Mother")</f>
        <v>Mother</v>
      </c>
      <c r="AA57" s="21" t="str">
        <f>IFERROR(__xludf.DUMMYFUNCTION("""COMPUTED_VALUE"""),"Non-Veg")</f>
        <v>Non-Veg</v>
      </c>
      <c r="AB57" s="21" t="str">
        <f>IFERROR(__xludf.DUMMYFUNCTION("""COMPUTED_VALUE"""),"Non-Veg")</f>
        <v>Non-Veg</v>
      </c>
      <c r="AC57" s="21" t="str">
        <f>IFERROR(__xludf.DUMMYFUNCTION("""COMPUTED_VALUE"""),"Non-Veg")</f>
        <v>Non-Veg</v>
      </c>
      <c r="AD57" s="21" t="str">
        <f>IFERROR(__xludf.DUMMYFUNCTION("""COMPUTED_VALUE"""),"Drop at Kolkata Airport")</f>
        <v>Drop at Kolkata Airport</v>
      </c>
      <c r="AE57" s="21">
        <f>IFERROR(__xludf.DUMMYFUNCTION("""COMPUTED_VALUE"""),3.0)</f>
        <v>3</v>
      </c>
    </row>
    <row r="58" ht="22.5" customHeight="1">
      <c r="A58" s="18">
        <f>IFERROR(__xludf.DUMMYFUNCTION("""COMPUTED_VALUE"""),46264.97498388889)</f>
        <v>46264.97498</v>
      </c>
      <c r="B58" s="21" t="str">
        <f>IFERROR(__xludf.DUMMYFUNCTION("""COMPUTED_VALUE"""),"fayiza.mbbs-2020@aiimskalyani.edu.in")</f>
        <v>fayiza.mbbs-2020@aiimskalyani.edu.in</v>
      </c>
      <c r="C58" s="21" t="str">
        <f>IFERROR(__xludf.DUMMYFUNCTION("""COMPUTED_VALUE"""),"FAYIZA C")</f>
        <v>FAYIZA C</v>
      </c>
      <c r="D58" s="21" t="str">
        <f>IFERROR(__xludf.DUMMYFUNCTION("""COMPUTED_VALUE"""),"119/202001169")</f>
        <v>119/202001169</v>
      </c>
      <c r="E58" s="21" t="str">
        <f>IFERROR(__xludf.DUMMYFUNCTION("""COMPUTED_VALUE"""),"MBBS 2020")</f>
        <v>MBBS 2020</v>
      </c>
      <c r="F58" s="21">
        <f>IFERROR(__xludf.DUMMYFUNCTION("""COMPUTED_VALUE"""),7.025146621E9)</f>
        <v>7025146621</v>
      </c>
      <c r="G58" s="21" t="str">
        <f>IFERROR(__xludf.DUMMYFUNCTION("""COMPUTED_VALUE"""),"fayiza.mbbs-2020@aiimskalyani.edu.in")</f>
        <v>fayiza.mbbs-2020@aiimskalyani.edu.in</v>
      </c>
      <c r="H58" s="21" t="str">
        <f>IFERROR(__xludf.DUMMYFUNCTION("""COMPUTED_VALUE"""),"Yes")</f>
        <v>Yes</v>
      </c>
      <c r="I58" s="21" t="str">
        <f>IFERROR(__xludf.DUMMYFUNCTION("""COMPUTED_VALUE"""),"Travelling, exploring new places, listening music, and spending time with family and friends. I also enjoy staying active and maintaining a healthy lifestyle.")</f>
        <v>Travelling, exploring new places, listening music, and spending time with family and friends. I also enjoy staying active and maintaining a healthy lifestyle.</v>
      </c>
      <c r="J58" s="21" t="str">
        <f>IFERROR(__xludf.DUMMYFUNCTION("""COMPUTED_VALUE"""),"Interested in sports and games. No major notable achievements to mention.")</f>
        <v>Interested in sports and games. No major notable achievements to mention.</v>
      </c>
      <c r="K58" s="21" t="str">
        <f>IFERROR(__xludf.DUMMYFUNCTION("""COMPUTED_VALUE"""),"Kottakkal ")</f>
        <v>Kottakkal </v>
      </c>
      <c r="L58" s="22" t="str">
        <f>IFERROR(__xludf.DUMMYFUNCTION("""COMPUTED_VALUE"""),"https://drive.google.com/open?id=1VHgbY-v8_qHv3zYg-WSNSzSDnFfSlBRH")</f>
        <v>https://drive.google.com/open?id=1VHgbY-v8_qHv3zYg-WSNSzSDnFfSlBRH</v>
      </c>
      <c r="M58" s="22" t="str">
        <f>IFERROR(__xludf.DUMMYFUNCTION("""COMPUTED_VALUE"""),"https://drive.google.com/open?id=1e2BL7xJSZKlBb_4xzFeTowydz4-G2oCj")</f>
        <v>https://drive.google.com/open?id=1e2BL7xJSZKlBb_4xzFeTowydz4-G2oCj</v>
      </c>
      <c r="N58" s="21" t="str">
        <f>IFERROR(__xludf.DUMMYFUNCTION("""COMPUTED_VALUE"""),"YOOSUF")</f>
        <v>YOOSUF</v>
      </c>
      <c r="O58" s="21" t="str">
        <f>IFERROR(__xludf.DUMMYFUNCTION("""COMPUTED_VALUE"""),"Madrasa Teacher")</f>
        <v>Madrasa Teacher</v>
      </c>
      <c r="P58" s="21" t="str">
        <f>IFERROR(__xludf.DUMMYFUNCTION("""COMPUTED_VALUE"""),"Kottakkal ")</f>
        <v>Kottakkal </v>
      </c>
      <c r="Q58" s="21">
        <f>IFERROR(__xludf.DUMMYFUNCTION("""COMPUTED_VALUE"""),7.907703594E9)</f>
        <v>7907703594</v>
      </c>
      <c r="R58" s="21" t="str">
        <f>IFERROR(__xludf.DUMMYFUNCTION("""COMPUTED_VALUE"""),"KHADEEJA")</f>
        <v>KHADEEJA</v>
      </c>
      <c r="S58" s="21" t="str">
        <f>IFERROR(__xludf.DUMMYFUNCTION("""COMPUTED_VALUE"""),"Home maker")</f>
        <v>Home maker</v>
      </c>
      <c r="T58" s="21" t="str">
        <f>IFERROR(__xludf.DUMMYFUNCTION("""COMPUTED_VALUE"""),"Kottakkal ")</f>
        <v>Kottakkal </v>
      </c>
      <c r="U58" s="21">
        <f>IFERROR(__xludf.DUMMYFUNCTION("""COMPUTED_VALUE"""),9.544007937E9)</f>
        <v>9544007937</v>
      </c>
      <c r="V58" s="21">
        <f>IFERROR(__xludf.DUMMYFUNCTION("""COMPUTED_VALUE"""),2.0)</f>
        <v>2</v>
      </c>
      <c r="W58" s="21" t="str">
        <f>IFERROR(__xludf.DUMMYFUNCTION("""COMPUTED_VALUE"""),"YOOSUF ")</f>
        <v>YOOSUF </v>
      </c>
      <c r="X58" s="21" t="str">
        <f>IFERROR(__xludf.DUMMYFUNCTION("""COMPUTED_VALUE"""),"Father")</f>
        <v>Father</v>
      </c>
      <c r="Y58" s="21" t="str">
        <f>IFERROR(__xludf.DUMMYFUNCTION("""COMPUTED_VALUE"""),"KHADEEJA")</f>
        <v>KHADEEJA</v>
      </c>
      <c r="Z58" s="21" t="str">
        <f>IFERROR(__xludf.DUMMYFUNCTION("""COMPUTED_VALUE"""),"Mother")</f>
        <v>Mother</v>
      </c>
      <c r="AA58" s="21" t="str">
        <f>IFERROR(__xludf.DUMMYFUNCTION("""COMPUTED_VALUE"""),"Non-Veg")</f>
        <v>Non-Veg</v>
      </c>
      <c r="AB58" s="21" t="str">
        <f>IFERROR(__xludf.DUMMYFUNCTION("""COMPUTED_VALUE"""),"Non-Veg")</f>
        <v>Non-Veg</v>
      </c>
      <c r="AC58" s="21" t="str">
        <f>IFERROR(__xludf.DUMMYFUNCTION("""COMPUTED_VALUE"""),"Non-Veg")</f>
        <v>Non-Veg</v>
      </c>
      <c r="AD58" s="21" t="str">
        <f>IFERROR(__xludf.DUMMYFUNCTION("""COMPUTED_VALUE"""),"Bus Drop Service not needed")</f>
        <v>Bus Drop Service not needed</v>
      </c>
      <c r="AE58" s="21">
        <f>IFERROR(__xludf.DUMMYFUNCTION("""COMPUTED_VALUE"""),0.0)</f>
        <v>0</v>
      </c>
    </row>
    <row r="59" ht="22.5" customHeight="1">
      <c r="A59" s="18">
        <f>IFERROR(__xludf.DUMMYFUNCTION("""COMPUTED_VALUE"""),46264.96352222222)</f>
        <v>46264.96352</v>
      </c>
      <c r="B59" s="21" t="str">
        <f>IFERROR(__xludf.DUMMYFUNCTION("""COMPUTED_VALUE"""),"bijit.mbbs-2020@aiimskalyani.edu.in")</f>
        <v>bijit.mbbs-2020@aiimskalyani.edu.in</v>
      </c>
      <c r="C59" s="21" t="str">
        <f>IFERROR(__xludf.DUMMYFUNCTION("""COMPUTED_VALUE"""),"BIJIT SARKAR ")</f>
        <v>BIJIT SARKAR </v>
      </c>
      <c r="D59" s="21">
        <f>IFERROR(__xludf.DUMMYFUNCTION("""COMPUTED_VALUE"""),2.0200187E7)</f>
        <v>20200187</v>
      </c>
      <c r="E59" s="21" t="str">
        <f>IFERROR(__xludf.DUMMYFUNCTION("""COMPUTED_VALUE"""),"MBBS 2020")</f>
        <v>MBBS 2020</v>
      </c>
      <c r="F59" s="21">
        <f>IFERROR(__xludf.DUMMYFUNCTION("""COMPUTED_VALUE"""),9.593374105E9)</f>
        <v>9593374105</v>
      </c>
      <c r="G59" s="21" t="str">
        <f>IFERROR(__xludf.DUMMYFUNCTION("""COMPUTED_VALUE"""),"bijit.mbbs-2020@aiimskalyani.edu.in")</f>
        <v>bijit.mbbs-2020@aiimskalyani.edu.in</v>
      </c>
      <c r="H59" s="21" t="str">
        <f>IFERROR(__xludf.DUMMYFUNCTION("""COMPUTED_VALUE"""),"Yes")</f>
        <v>Yes</v>
      </c>
      <c r="I59" s="21" t="str">
        <f>IFERROR(__xludf.DUMMYFUNCTION("""COMPUTED_VALUE"""),"Gaming 
Sports 
Music 
Travel ")</f>
        <v>Gaming 
Sports 
Music 
Travel </v>
      </c>
      <c r="J59" s="21" t="str">
        <f>IFERROR(__xludf.DUMMYFUNCTION("""COMPUTED_VALUE"""),"Represented college football team as goalkeeper
Won several Efootball gaming Intercollege competitions
Represented college as percussionist in college music band ")</f>
        <v>Represented college football team as goalkeeper
Won several Efootball gaming Intercollege competitions
Represented college as percussionist in college music band </v>
      </c>
      <c r="K59" s="21" t="str">
        <f>IFERROR(__xludf.DUMMYFUNCTION("""COMPUTED_VALUE"""),"Coochbehar ,West Bengal ")</f>
        <v>Coochbehar ,West Bengal </v>
      </c>
      <c r="L59" s="22" t="str">
        <f>IFERROR(__xludf.DUMMYFUNCTION("""COMPUTED_VALUE"""),"https://drive.google.com/open?id=1BnmVrj_yUQSAjmizxR7spBxs5h8gMuFR")</f>
        <v>https://drive.google.com/open?id=1BnmVrj_yUQSAjmizxR7spBxs5h8gMuFR</v>
      </c>
      <c r="M59" s="22" t="str">
        <f>IFERROR(__xludf.DUMMYFUNCTION("""COMPUTED_VALUE"""),"https://drive.google.com/open?id=1F78-nluQSO7U1kU5aNP2PTMHP2KgOGuC")</f>
        <v>https://drive.google.com/open?id=1F78-nluQSO7U1kU5aNP2PTMHP2KgOGuC</v>
      </c>
      <c r="N59" s="21" t="str">
        <f>IFERROR(__xludf.DUMMYFUNCTION("""COMPUTED_VALUE"""),"BIKASH SARKAR")</f>
        <v>BIKASH SARKAR</v>
      </c>
      <c r="O59" s="21" t="str">
        <f>IFERROR(__xludf.DUMMYFUNCTION("""COMPUTED_VALUE"""),"Assistant engineer ,public health engineering ,Govt of West Bengal ")</f>
        <v>Assistant engineer ,public health engineering ,Govt of West Bengal </v>
      </c>
      <c r="P59" s="21" t="str">
        <f>IFERROR(__xludf.DUMMYFUNCTION("""COMPUTED_VALUE"""),"Coochbehar ")</f>
        <v>Coochbehar </v>
      </c>
      <c r="Q59" s="21">
        <f>IFERROR(__xludf.DUMMYFUNCTION("""COMPUTED_VALUE"""),8.250308109E9)</f>
        <v>8250308109</v>
      </c>
      <c r="R59" s="21" t="str">
        <f>IFERROR(__xludf.DUMMYFUNCTION("""COMPUTED_VALUE"""),"Sulekha Haldar ")</f>
        <v>Sulekha Haldar </v>
      </c>
      <c r="S59" s="21" t="str">
        <f>IFERROR(__xludf.DUMMYFUNCTION("""COMPUTED_VALUE"""),"Public health nurse , Govt  of Westbengal ")</f>
        <v>Public health nurse , Govt  of Westbengal </v>
      </c>
      <c r="T59" s="21" t="str">
        <f>IFERROR(__xludf.DUMMYFUNCTION("""COMPUTED_VALUE"""),"Coochbehar ")</f>
        <v>Coochbehar </v>
      </c>
      <c r="U59" s="21">
        <f>IFERROR(__xludf.DUMMYFUNCTION("""COMPUTED_VALUE"""),9.339817732E9)</f>
        <v>9339817732</v>
      </c>
      <c r="V59" s="21">
        <f>IFERROR(__xludf.DUMMYFUNCTION("""COMPUTED_VALUE"""),2.0)</f>
        <v>2</v>
      </c>
      <c r="W59" s="21" t="str">
        <f>IFERROR(__xludf.DUMMYFUNCTION("""COMPUTED_VALUE"""),"Mr Bikash Sarkar ")</f>
        <v>Mr Bikash Sarkar </v>
      </c>
      <c r="X59" s="21" t="str">
        <f>IFERROR(__xludf.DUMMYFUNCTION("""COMPUTED_VALUE"""),"Father ")</f>
        <v>Father </v>
      </c>
      <c r="Y59" s="21" t="str">
        <f>IFERROR(__xludf.DUMMYFUNCTION("""COMPUTED_VALUE"""),"Sulekha Haldar ")</f>
        <v>Sulekha Haldar </v>
      </c>
      <c r="Z59" s="21" t="str">
        <f>IFERROR(__xludf.DUMMYFUNCTION("""COMPUTED_VALUE"""),"Mother ")</f>
        <v>Mother </v>
      </c>
      <c r="AA59" s="21" t="str">
        <f>IFERROR(__xludf.DUMMYFUNCTION("""COMPUTED_VALUE"""),"Non-Veg")</f>
        <v>Non-Veg</v>
      </c>
      <c r="AB59" s="21" t="str">
        <f>IFERROR(__xludf.DUMMYFUNCTION("""COMPUTED_VALUE"""),"Non-Veg")</f>
        <v>Non-Veg</v>
      </c>
      <c r="AC59" s="21" t="str">
        <f>IFERROR(__xludf.DUMMYFUNCTION("""COMPUTED_VALUE"""),"Non-Veg")</f>
        <v>Non-Veg</v>
      </c>
      <c r="AD59" s="21" t="str">
        <f>IFERROR(__xludf.DUMMYFUNCTION("""COMPUTED_VALUE"""),"Drop at Kolkata Airport")</f>
        <v>Drop at Kolkata Airport</v>
      </c>
      <c r="AE59" s="21">
        <f>IFERROR(__xludf.DUMMYFUNCTION("""COMPUTED_VALUE"""),3.0)</f>
        <v>3</v>
      </c>
    </row>
    <row r="60" ht="22.5" customHeight="1">
      <c r="A60" s="18">
        <f>IFERROR(__xludf.DUMMYFUNCTION("""COMPUTED_VALUE"""),46264.90421167824)</f>
        <v>46264.90421</v>
      </c>
      <c r="B60" s="21" t="str">
        <f>IFERROR(__xludf.DUMMYFUNCTION("""COMPUTED_VALUE"""),"kinshuk.mbbs-2020@aiimskalyani.edu.in")</f>
        <v>kinshuk.mbbs-2020@aiimskalyani.edu.in</v>
      </c>
      <c r="C60" s="21" t="str">
        <f>IFERROR(__xludf.DUMMYFUNCTION("""COMPUTED_VALUE"""),"KINSHUK KHALUA ")</f>
        <v>KINSHUK KHALUA </v>
      </c>
      <c r="D60" s="21" t="str">
        <f>IFERROR(__xludf.DUMMYFUNCTION("""COMPUTED_VALUE"""),"Roll :-57 / Enrollment no:- 202001107")</f>
        <v>Roll :-57 / Enrollment no:- 202001107</v>
      </c>
      <c r="E60" s="21" t="str">
        <f>IFERROR(__xludf.DUMMYFUNCTION("""COMPUTED_VALUE"""),"MBBS 2020")</f>
        <v>MBBS 2020</v>
      </c>
      <c r="F60" s="21">
        <f>IFERROR(__xludf.DUMMYFUNCTION("""COMPUTED_VALUE"""),9.339307495E9)</f>
        <v>9339307495</v>
      </c>
      <c r="G60" s="21" t="str">
        <f>IFERROR(__xludf.DUMMYFUNCTION("""COMPUTED_VALUE"""),"kinshuk.mbbs-2020@aiimskalyani.edu.in")</f>
        <v>kinshuk.mbbs-2020@aiimskalyani.edu.in</v>
      </c>
      <c r="H60" s="21" t="str">
        <f>IFERROR(__xludf.DUMMYFUNCTION("""COMPUTED_VALUE"""),"Yes")</f>
        <v>Yes</v>
      </c>
      <c r="I60" s="21"/>
      <c r="J60" s="21"/>
      <c r="K60" s="21" t="str">
        <f>IFERROR(__xludf.DUMMYFUNCTION("""COMPUTED_VALUE"""),"Moyna, Purba Medinipur , 721642")</f>
        <v>Moyna, Purba Medinipur , 721642</v>
      </c>
      <c r="L60" s="22" t="str">
        <f>IFERROR(__xludf.DUMMYFUNCTION("""COMPUTED_VALUE"""),"https://drive.google.com/open?id=1X72wInD9AZd_FjWj8dYlC55ijAuQHYM-")</f>
        <v>https://drive.google.com/open?id=1X72wInD9AZd_FjWj8dYlC55ijAuQHYM-</v>
      </c>
      <c r="M60" s="22" t="str">
        <f>IFERROR(__xludf.DUMMYFUNCTION("""COMPUTED_VALUE"""),"https://drive.google.com/open?id=1aqvxPfiLCcEoD5tn2ygpiJqfn4gzD8rz")</f>
        <v>https://drive.google.com/open?id=1aqvxPfiLCcEoD5tn2ygpiJqfn4gzD8rz</v>
      </c>
      <c r="N60" s="21" t="str">
        <f>IFERROR(__xludf.DUMMYFUNCTION("""COMPUTED_VALUE"""),"KHOKAN KUMAR KHALUA")</f>
        <v>KHOKAN KUMAR KHALUA</v>
      </c>
      <c r="O60" s="21" t="str">
        <f>IFERROR(__xludf.DUMMYFUNCTION("""COMPUTED_VALUE"""),"SCHOOL TEACHER ")</f>
        <v>SCHOOL TEACHER </v>
      </c>
      <c r="P60" s="21" t="str">
        <f>IFERROR(__xludf.DUMMYFUNCTION("""COMPUTED_VALUE"""),"Ismalichak , Moyna , Purba Medinipur ,721642")</f>
        <v>Ismalichak , Moyna , Purba Medinipur ,721642</v>
      </c>
      <c r="Q60" s="21">
        <f>IFERROR(__xludf.DUMMYFUNCTION("""COMPUTED_VALUE"""),9.775223168E9)</f>
        <v>9775223168</v>
      </c>
      <c r="R60" s="21" t="str">
        <f>IFERROR(__xludf.DUMMYFUNCTION("""COMPUTED_VALUE"""),"TISTA HAZRA KHALUA")</f>
        <v>TISTA HAZRA KHALUA</v>
      </c>
      <c r="S60" s="21" t="str">
        <f>IFERROR(__xludf.DUMMYFUNCTION("""COMPUTED_VALUE"""),"NURSING OFFICER ")</f>
        <v>NURSING OFFICER </v>
      </c>
      <c r="T60" s="21" t="str">
        <f>IFERROR(__xludf.DUMMYFUNCTION("""COMPUTED_VALUE"""),"Ismalichak , Moyna , Purba Medinipur ,721642")</f>
        <v>Ismalichak , Moyna , Purba Medinipur ,721642</v>
      </c>
      <c r="U60" s="21">
        <f>IFERROR(__xludf.DUMMYFUNCTION("""COMPUTED_VALUE"""),9.73435414E9)</f>
        <v>9734354140</v>
      </c>
      <c r="V60" s="21">
        <f>IFERROR(__xludf.DUMMYFUNCTION("""COMPUTED_VALUE"""),2.0)</f>
        <v>2</v>
      </c>
      <c r="W60" s="21" t="str">
        <f>IFERROR(__xludf.DUMMYFUNCTION("""COMPUTED_VALUE"""),"KHOKAN KUMAR KHALUA ")</f>
        <v>KHOKAN KUMAR KHALUA </v>
      </c>
      <c r="X60" s="21" t="str">
        <f>IFERROR(__xludf.DUMMYFUNCTION("""COMPUTED_VALUE"""),"FATHER")</f>
        <v>FATHER</v>
      </c>
      <c r="Y60" s="21" t="str">
        <f>IFERROR(__xludf.DUMMYFUNCTION("""COMPUTED_VALUE"""),"TISTA HAZRA KHALUA ")</f>
        <v>TISTA HAZRA KHALUA </v>
      </c>
      <c r="Z60" s="21" t="str">
        <f>IFERROR(__xludf.DUMMYFUNCTION("""COMPUTED_VALUE"""),"MOTHER")</f>
        <v>MOTHER</v>
      </c>
      <c r="AA60" s="21" t="str">
        <f>IFERROR(__xludf.DUMMYFUNCTION("""COMPUTED_VALUE"""),"Non-Veg")</f>
        <v>Non-Veg</v>
      </c>
      <c r="AB60" s="21" t="str">
        <f>IFERROR(__xludf.DUMMYFUNCTION("""COMPUTED_VALUE"""),"Non-Veg")</f>
        <v>Non-Veg</v>
      </c>
      <c r="AC60" s="21" t="str">
        <f>IFERROR(__xludf.DUMMYFUNCTION("""COMPUTED_VALUE"""),"Non-Veg")</f>
        <v>Non-Veg</v>
      </c>
      <c r="AD60" s="21"/>
      <c r="AE60" s="21"/>
    </row>
    <row r="61" ht="22.5" customHeight="1">
      <c r="A61" s="18">
        <f>IFERROR(__xludf.DUMMYFUNCTION("""COMPUTED_VALUE"""),46264.901803518514)</f>
        <v>46264.9018</v>
      </c>
      <c r="B61" s="21" t="str">
        <f>IFERROR(__xludf.DUMMYFUNCTION("""COMPUTED_VALUE"""),"pragya.mbbs-2020@aiimskalyani.edu.in")</f>
        <v>pragya.mbbs-2020@aiimskalyani.edu.in</v>
      </c>
      <c r="C61" s="21" t="str">
        <f>IFERROR(__xludf.DUMMYFUNCTION("""COMPUTED_VALUE"""),"PRAGYA BHARATI")</f>
        <v>PRAGYA BHARATI</v>
      </c>
      <c r="D61" s="21" t="str">
        <f>IFERROR(__xludf.DUMMYFUNCTION("""COMPUTED_VALUE"""),"69 / 202001119")</f>
        <v>69 / 202001119</v>
      </c>
      <c r="E61" s="21" t="str">
        <f>IFERROR(__xludf.DUMMYFUNCTION("""COMPUTED_VALUE"""),"MBBS 2020")</f>
        <v>MBBS 2020</v>
      </c>
      <c r="F61" s="21">
        <f>IFERROR(__xludf.DUMMYFUNCTION("""COMPUTED_VALUE"""),9.821267506E9)</f>
        <v>9821267506</v>
      </c>
      <c r="G61" s="21" t="str">
        <f>IFERROR(__xludf.DUMMYFUNCTION("""COMPUTED_VALUE"""),"Pebble12000@gmail.com")</f>
        <v>Pebble12000@gmail.com</v>
      </c>
      <c r="H61" s="21" t="str">
        <f>IFERROR(__xludf.DUMMYFUNCTION("""COMPUTED_VALUE"""),"Yes")</f>
        <v>Yes</v>
      </c>
      <c r="I61" s="21" t="str">
        <f>IFERROR(__xludf.DUMMYFUNCTION("""COMPUTED_VALUE"""),"Singing, sketching")</f>
        <v>Singing, sketching</v>
      </c>
      <c r="J61" s="21" t="str">
        <f>IFERROR(__xludf.DUMMYFUNCTION("""COMPUTED_VALUE"""),"Yoga nationals 2018")</f>
        <v>Yoga nationals 2018</v>
      </c>
      <c r="K61" s="21" t="str">
        <f>IFERROR(__xludf.DUMMYFUNCTION("""COMPUTED_VALUE"""),"Patna, bihar")</f>
        <v>Patna, bihar</v>
      </c>
      <c r="L61" s="22" t="str">
        <f>IFERROR(__xludf.DUMMYFUNCTION("""COMPUTED_VALUE"""),"https://drive.google.com/open?id=1AgF_jk0KJ6Zalc4c9iPPr9IvqSwjDCXu")</f>
        <v>https://drive.google.com/open?id=1AgF_jk0KJ6Zalc4c9iPPr9IvqSwjDCXu</v>
      </c>
      <c r="M61" s="22" t="str">
        <f>IFERROR(__xludf.DUMMYFUNCTION("""COMPUTED_VALUE"""),"https://drive.google.com/open?id=1rbGz2tCFTemlGr2jS0AmItnim0PMvksE")</f>
        <v>https://drive.google.com/open?id=1rbGz2tCFTemlGr2jS0AmItnim0PMvksE</v>
      </c>
      <c r="N61" s="21" t="str">
        <f>IFERROR(__xludf.DUMMYFUNCTION("""COMPUTED_VALUE"""),"Mr. Kundan kumar")</f>
        <v>Mr. Kundan kumar</v>
      </c>
      <c r="O61" s="21" t="str">
        <f>IFERROR(__xludf.DUMMYFUNCTION("""COMPUTED_VALUE"""),"Senior Manager, Bank of Baroda")</f>
        <v>Senior Manager, Bank of Baroda</v>
      </c>
      <c r="P61" s="21" t="str">
        <f>IFERROR(__xludf.DUMMYFUNCTION("""COMPUTED_VALUE"""),"Delhi")</f>
        <v>Delhi</v>
      </c>
      <c r="Q61" s="21">
        <f>IFERROR(__xludf.DUMMYFUNCTION("""COMPUTED_VALUE"""),8.851573417E9)</f>
        <v>8851573417</v>
      </c>
      <c r="R61" s="21" t="str">
        <f>IFERROR(__xludf.DUMMYFUNCTION("""COMPUTED_VALUE"""),"Dr. Usha kumari")</f>
        <v>Dr. Usha kumari</v>
      </c>
      <c r="S61" s="21" t="str">
        <f>IFERROR(__xludf.DUMMYFUNCTION("""COMPUTED_VALUE"""),"Chairperson, Child Welfare Committee, Patna, Bihar")</f>
        <v>Chairperson, Child Welfare Committee, Patna, Bihar</v>
      </c>
      <c r="T61" s="21" t="str">
        <f>IFERROR(__xludf.DUMMYFUNCTION("""COMPUTED_VALUE"""),"Patna, Bihar")</f>
        <v>Patna, Bihar</v>
      </c>
      <c r="U61" s="21">
        <f>IFERROR(__xludf.DUMMYFUNCTION("""COMPUTED_VALUE"""),7.00443658E9)</f>
        <v>7004436580</v>
      </c>
      <c r="V61" s="21">
        <f>IFERROR(__xludf.DUMMYFUNCTION("""COMPUTED_VALUE"""),2.0)</f>
        <v>2</v>
      </c>
      <c r="W61" s="21" t="str">
        <f>IFERROR(__xludf.DUMMYFUNCTION("""COMPUTED_VALUE"""),"Dr. Usha Kumari")</f>
        <v>Dr. Usha Kumari</v>
      </c>
      <c r="X61" s="21" t="str">
        <f>IFERROR(__xludf.DUMMYFUNCTION("""COMPUTED_VALUE"""),"Mother")</f>
        <v>Mother</v>
      </c>
      <c r="Y61" s="21" t="str">
        <f>IFERROR(__xludf.DUMMYFUNCTION("""COMPUTED_VALUE"""),"Mr. Manas Kumar Vatsal")</f>
        <v>Mr. Manas Kumar Vatsal</v>
      </c>
      <c r="Z61" s="21" t="str">
        <f>IFERROR(__xludf.DUMMYFUNCTION("""COMPUTED_VALUE"""),"Maternal Uncle")</f>
        <v>Maternal Uncle</v>
      </c>
      <c r="AA61" s="21" t="str">
        <f>IFERROR(__xludf.DUMMYFUNCTION("""COMPUTED_VALUE"""),"Veg")</f>
        <v>Veg</v>
      </c>
      <c r="AB61" s="21" t="str">
        <f>IFERROR(__xludf.DUMMYFUNCTION("""COMPUTED_VALUE"""),"Non-Veg")</f>
        <v>Non-Veg</v>
      </c>
      <c r="AC61" s="21" t="str">
        <f>IFERROR(__xludf.DUMMYFUNCTION("""COMPUTED_VALUE"""),"Veg")</f>
        <v>Veg</v>
      </c>
      <c r="AD61" s="21" t="str">
        <f>IFERROR(__xludf.DUMMYFUNCTION("""COMPUTED_VALUE"""),"Bus Drop Service not needed")</f>
        <v>Bus Drop Service not needed</v>
      </c>
      <c r="AE61" s="21">
        <f>IFERROR(__xludf.DUMMYFUNCTION("""COMPUTED_VALUE"""),0.0)</f>
        <v>0</v>
      </c>
    </row>
    <row r="62" ht="22.5" customHeight="1">
      <c r="A62" s="18">
        <f>IFERROR(__xludf.DUMMYFUNCTION("""COMPUTED_VALUE"""),46264.89768414352)</f>
        <v>46264.89768</v>
      </c>
      <c r="B62" s="21" t="str">
        <f>IFERROR(__xludf.DUMMYFUNCTION("""COMPUTED_VALUE"""),"tiyasha.mbbs-2020@aiimskalyani.edu.in")</f>
        <v>tiyasha.mbbs-2020@aiimskalyani.edu.in</v>
      </c>
      <c r="C62" s="21" t="str">
        <f>IFERROR(__xludf.DUMMYFUNCTION("""COMPUTED_VALUE"""),"TIYASHA CHATTERJEE")</f>
        <v>TIYASHA CHATTERJEE</v>
      </c>
      <c r="D62" s="21">
        <f>IFERROR(__xludf.DUMMYFUNCTION("""COMPUTED_VALUE"""),2.02001157E8)</f>
        <v>202001157</v>
      </c>
      <c r="E62" s="21" t="str">
        <f>IFERROR(__xludf.DUMMYFUNCTION("""COMPUTED_VALUE"""),"MBBS 2020")</f>
        <v>MBBS 2020</v>
      </c>
      <c r="F62" s="21">
        <f>IFERROR(__xludf.DUMMYFUNCTION("""COMPUTED_VALUE"""),9.67462244E9)</f>
        <v>9674622440</v>
      </c>
      <c r="G62" s="21" t="str">
        <f>IFERROR(__xludf.DUMMYFUNCTION("""COMPUTED_VALUE"""),"tiyasha.mbbs-2020@aiimskalyani.edu.in")</f>
        <v>tiyasha.mbbs-2020@aiimskalyani.edu.in</v>
      </c>
      <c r="H62" s="21" t="str">
        <f>IFERROR(__xludf.DUMMYFUNCTION("""COMPUTED_VALUE"""),"Yes")</f>
        <v>Yes</v>
      </c>
      <c r="I62" s="21"/>
      <c r="J62" s="21"/>
      <c r="K62" s="21" t="str">
        <f>IFERROR(__xludf.DUMMYFUNCTION("""COMPUTED_VALUE"""),"Kolkata")</f>
        <v>Kolkata</v>
      </c>
      <c r="L62" s="22" t="str">
        <f>IFERROR(__xludf.DUMMYFUNCTION("""COMPUTED_VALUE"""),"https://drive.google.com/open?id=1nmE9wXF0rSvMqTuC6uREA91cFeJXAsj6")</f>
        <v>https://drive.google.com/open?id=1nmE9wXF0rSvMqTuC6uREA91cFeJXAsj6</v>
      </c>
      <c r="M62" s="22" t="str">
        <f>IFERROR(__xludf.DUMMYFUNCTION("""COMPUTED_VALUE"""),"https://drive.google.com/open?id=14RNrUN4mpkbO7eAM95HuFDkFOWUgWnaK")</f>
        <v>https://drive.google.com/open?id=14RNrUN4mpkbO7eAM95HuFDkFOWUgWnaK</v>
      </c>
      <c r="N62" s="21" t="str">
        <f>IFERROR(__xludf.DUMMYFUNCTION("""COMPUTED_VALUE"""),"Rahul Chatterjee")</f>
        <v>Rahul Chatterjee</v>
      </c>
      <c r="O62" s="21" t="str">
        <f>IFERROR(__xludf.DUMMYFUNCTION("""COMPUTED_VALUE"""),"Service ")</f>
        <v>Service </v>
      </c>
      <c r="P62" s="21" t="str">
        <f>IFERROR(__xludf.DUMMYFUNCTION("""COMPUTED_VALUE"""),"Kolkata")</f>
        <v>Kolkata</v>
      </c>
      <c r="Q62" s="21">
        <f>IFERROR(__xludf.DUMMYFUNCTION("""COMPUTED_VALUE"""),9.87426436E9)</f>
        <v>9874264360</v>
      </c>
      <c r="R62" s="21" t="str">
        <f>IFERROR(__xludf.DUMMYFUNCTION("""COMPUTED_VALUE"""),"Madhumita Chatterjee")</f>
        <v>Madhumita Chatterjee</v>
      </c>
      <c r="S62" s="21" t="str">
        <f>IFERROR(__xludf.DUMMYFUNCTION("""COMPUTED_VALUE"""),"Entrepreneur ")</f>
        <v>Entrepreneur </v>
      </c>
      <c r="T62" s="21" t="str">
        <f>IFERROR(__xludf.DUMMYFUNCTION("""COMPUTED_VALUE"""),"Kolkata")</f>
        <v>Kolkata</v>
      </c>
      <c r="U62" s="21">
        <f>IFERROR(__xludf.DUMMYFUNCTION("""COMPUTED_VALUE"""),9.836080313E9)</f>
        <v>9836080313</v>
      </c>
      <c r="V62" s="21">
        <f>IFERROR(__xludf.DUMMYFUNCTION("""COMPUTED_VALUE"""),2.0)</f>
        <v>2</v>
      </c>
      <c r="W62" s="21" t="str">
        <f>IFERROR(__xludf.DUMMYFUNCTION("""COMPUTED_VALUE"""),"Madhumita Chatterjee ")</f>
        <v>Madhumita Chatterjee </v>
      </c>
      <c r="X62" s="21" t="str">
        <f>IFERROR(__xludf.DUMMYFUNCTION("""COMPUTED_VALUE"""),"Mother")</f>
        <v>Mother</v>
      </c>
      <c r="Y62" s="21" t="str">
        <f>IFERROR(__xludf.DUMMYFUNCTION("""COMPUTED_VALUE"""),"Rahul Chatterjee ")</f>
        <v>Rahul Chatterjee </v>
      </c>
      <c r="Z62" s="21" t="str">
        <f>IFERROR(__xludf.DUMMYFUNCTION("""COMPUTED_VALUE"""),"Father")</f>
        <v>Father</v>
      </c>
      <c r="AA62" s="21" t="str">
        <f>IFERROR(__xludf.DUMMYFUNCTION("""COMPUTED_VALUE"""),"Non-Veg")</f>
        <v>Non-Veg</v>
      </c>
      <c r="AB62" s="21" t="str">
        <f>IFERROR(__xludf.DUMMYFUNCTION("""COMPUTED_VALUE"""),"Veg")</f>
        <v>Veg</v>
      </c>
      <c r="AC62" s="21" t="str">
        <f>IFERROR(__xludf.DUMMYFUNCTION("""COMPUTED_VALUE"""),"Veg")</f>
        <v>Veg</v>
      </c>
      <c r="AD62" s="21" t="str">
        <f>IFERROR(__xludf.DUMMYFUNCTION("""COMPUTED_VALUE"""),"Bus Drop Service not needed")</f>
        <v>Bus Drop Service not needed</v>
      </c>
      <c r="AE62" s="21">
        <f>IFERROR(__xludf.DUMMYFUNCTION("""COMPUTED_VALUE"""),0.0)</f>
        <v>0</v>
      </c>
    </row>
    <row r="63" ht="22.5" customHeight="1">
      <c r="A63" s="18">
        <f>IFERROR(__xludf.DUMMYFUNCTION("""COMPUTED_VALUE"""),46264.895832951384)</f>
        <v>46264.89583</v>
      </c>
      <c r="B63" s="21" t="str">
        <f>IFERROR(__xludf.DUMMYFUNCTION("""COMPUTED_VALUE"""),"altaf.mbbs-2020@aiimskalyani.edu.in")</f>
        <v>altaf.mbbs-2020@aiimskalyani.edu.in</v>
      </c>
      <c r="C63" s="21" t="str">
        <f>IFERROR(__xludf.DUMMYFUNCTION("""COMPUTED_VALUE"""),"ALTAF KHAN ")</f>
        <v>ALTAF KHAN </v>
      </c>
      <c r="D63" s="21">
        <f>IFERROR(__xludf.DUMMYFUNCTION("""COMPUTED_VALUE"""),2.0200158E7)</f>
        <v>20200158</v>
      </c>
      <c r="E63" s="21" t="str">
        <f>IFERROR(__xludf.DUMMYFUNCTION("""COMPUTED_VALUE"""),"MBBS 2020")</f>
        <v>MBBS 2020</v>
      </c>
      <c r="F63" s="21">
        <f>IFERROR(__xludf.DUMMYFUNCTION("""COMPUTED_VALUE"""),9.453612551E9)</f>
        <v>9453612551</v>
      </c>
      <c r="G63" s="21" t="str">
        <f>IFERROR(__xludf.DUMMYFUNCTION("""COMPUTED_VALUE"""),"Altaf.mbbs-2020@aiimskalyani.edu.in")</f>
        <v>Altaf.mbbs-2020@aiimskalyani.edu.in</v>
      </c>
      <c r="H63" s="21" t="str">
        <f>IFERROR(__xludf.DUMMYFUNCTION("""COMPUTED_VALUE"""),"Yes")</f>
        <v>Yes</v>
      </c>
      <c r="I63" s="21" t="str">
        <f>IFERROR(__xludf.DUMMYFUNCTION("""COMPUTED_VALUE"""),"None")</f>
        <v>None</v>
      </c>
      <c r="J63" s="21" t="str">
        <f>IFERROR(__xludf.DUMMYFUNCTION("""COMPUTED_VALUE"""),"None")</f>
        <v>None</v>
      </c>
      <c r="K63" s="21" t="str">
        <f>IFERROR(__xludf.DUMMYFUNCTION("""COMPUTED_VALUE"""),"Lucknow ")</f>
        <v>Lucknow </v>
      </c>
      <c r="L63" s="22" t="str">
        <f>IFERROR(__xludf.DUMMYFUNCTION("""COMPUTED_VALUE"""),"https://drive.google.com/open?id=1OKHYOcwxo5KX9hlTtCqE_9AV5KAEvPQt")</f>
        <v>https://drive.google.com/open?id=1OKHYOcwxo5KX9hlTtCqE_9AV5KAEvPQt</v>
      </c>
      <c r="M63" s="22" t="str">
        <f>IFERROR(__xludf.DUMMYFUNCTION("""COMPUTED_VALUE"""),"https://drive.google.com/open?id=1oE2EZGy9gu12RvtXM-WBxqvnrUSWKilB")</f>
        <v>https://drive.google.com/open?id=1oE2EZGy9gu12RvtXM-WBxqvnrUSWKilB</v>
      </c>
      <c r="N63" s="21" t="str">
        <f>IFERROR(__xludf.DUMMYFUNCTION("""COMPUTED_VALUE"""),"Lt. Dr. Dilshad Nabi Khan ")</f>
        <v>Lt. Dr. Dilshad Nabi Khan </v>
      </c>
      <c r="O63" s="21" t="str">
        <f>IFERROR(__xludf.DUMMYFUNCTION("""COMPUTED_VALUE"""),"--")</f>
        <v>--</v>
      </c>
      <c r="P63" s="21" t="str">
        <f>IFERROR(__xludf.DUMMYFUNCTION("""COMPUTED_VALUE"""),"--")</f>
        <v>--</v>
      </c>
      <c r="Q63" s="21">
        <f>IFERROR(__xludf.DUMMYFUNCTION("""COMPUTED_VALUE"""),9.453612551E9)</f>
        <v>9453612551</v>
      </c>
      <c r="R63" s="21" t="str">
        <f>IFERROR(__xludf.DUMMYFUNCTION("""COMPUTED_VALUE"""),"Noorjahan Khan ")</f>
        <v>Noorjahan Khan </v>
      </c>
      <c r="S63" s="21" t="str">
        <f>IFERROR(__xludf.DUMMYFUNCTION("""COMPUTED_VALUE"""),"Home maker")</f>
        <v>Home maker</v>
      </c>
      <c r="T63" s="21" t="str">
        <f>IFERROR(__xludf.DUMMYFUNCTION("""COMPUTED_VALUE"""),"Lucknow")</f>
        <v>Lucknow</v>
      </c>
      <c r="U63" s="21">
        <f>IFERROR(__xludf.DUMMYFUNCTION("""COMPUTED_VALUE"""),9.12593713E9)</f>
        <v>9125937130</v>
      </c>
      <c r="V63" s="21">
        <f>IFERROR(__xludf.DUMMYFUNCTION("""COMPUTED_VALUE"""),0.0)</f>
        <v>0</v>
      </c>
      <c r="W63" s="21"/>
      <c r="X63" s="21"/>
      <c r="Y63" s="21"/>
      <c r="Z63" s="21"/>
      <c r="AA63" s="21" t="str">
        <f>IFERROR(__xludf.DUMMYFUNCTION("""COMPUTED_VALUE"""),"Non-Veg")</f>
        <v>Non-Veg</v>
      </c>
      <c r="AB63" s="21"/>
      <c r="AC63" s="21"/>
      <c r="AD63" s="21" t="str">
        <f>IFERROR(__xludf.DUMMYFUNCTION("""COMPUTED_VALUE"""),"Bus Drop Service not needed")</f>
        <v>Bus Drop Service not needed</v>
      </c>
      <c r="AE63" s="21"/>
    </row>
    <row r="64" ht="22.5" customHeight="1">
      <c r="A64" s="18">
        <f>IFERROR(__xludf.DUMMYFUNCTION("""COMPUTED_VALUE"""),46264.859808298614)</f>
        <v>46264.85981</v>
      </c>
      <c r="B64" s="21" t="str">
        <f>IFERROR(__xludf.DUMMYFUNCTION("""COMPUTED_VALUE"""),"mansi.mbbs-2020@aiimskalyani.edu.in")</f>
        <v>mansi.mbbs-2020@aiimskalyani.edu.in</v>
      </c>
      <c r="C64" s="21" t="str">
        <f>IFERROR(__xludf.DUMMYFUNCTION("""COMPUTED_VALUE"""),"MANSI SUBBA")</f>
        <v>MANSI SUBBA</v>
      </c>
      <c r="D64" s="21">
        <f>IFERROR(__xludf.DUMMYFUNCTION("""COMPUTED_VALUE"""),2.0200111E8)</f>
        <v>202001110</v>
      </c>
      <c r="E64" s="21" t="str">
        <f>IFERROR(__xludf.DUMMYFUNCTION("""COMPUTED_VALUE"""),"MBBS 2020")</f>
        <v>MBBS 2020</v>
      </c>
      <c r="F64" s="21">
        <f>IFERROR(__xludf.DUMMYFUNCTION("""COMPUTED_VALUE"""),9.679315598E9)</f>
        <v>9679315598</v>
      </c>
      <c r="G64" s="21" t="str">
        <f>IFERROR(__xludf.DUMMYFUNCTION("""COMPUTED_VALUE"""),"mansi.mbbs-2020@aiimskalyani.edu.in")</f>
        <v>mansi.mbbs-2020@aiimskalyani.edu.in</v>
      </c>
      <c r="H64" s="21" t="str">
        <f>IFERROR(__xludf.DUMMYFUNCTION("""COMPUTED_VALUE"""),"Yes")</f>
        <v>Yes</v>
      </c>
      <c r="I64" s="21" t="str">
        <f>IFERROR(__xludf.DUMMYFUNCTION("""COMPUTED_VALUE"""),"Singing and playing guitar")</f>
        <v>Singing and playing guitar</v>
      </c>
      <c r="J64" s="21" t="str">
        <f>IFERROR(__xludf.DUMMYFUNCTION("""COMPUTED_VALUE"""),"Notable achievements: 
School topper (10th standard) 
State topper NEET UG 2020 (Sikkim)")</f>
        <v>Notable achievements: 
School topper (10th standard) 
State topper NEET UG 2020 (Sikkim)</v>
      </c>
      <c r="K64" s="21" t="str">
        <f>IFERROR(__xludf.DUMMYFUNCTION("""COMPUTED_VALUE"""),"Gangtok, Sikkim")</f>
        <v>Gangtok, Sikkim</v>
      </c>
      <c r="L64" s="22" t="str">
        <f>IFERROR(__xludf.DUMMYFUNCTION("""COMPUTED_VALUE"""),"https://drive.google.com/open?id=1I9ykYpi52o7Ds7p8J3CIOEOxydSwibFL")</f>
        <v>https://drive.google.com/open?id=1I9ykYpi52o7Ds7p8J3CIOEOxydSwibFL</v>
      </c>
      <c r="M64" s="22" t="str">
        <f>IFERROR(__xludf.DUMMYFUNCTION("""COMPUTED_VALUE"""),"https://drive.google.com/open?id=1rYEhNu-GhsdymxAL2zGfa_aNIYGyLNnf")</f>
        <v>https://drive.google.com/open?id=1rYEhNu-GhsdymxAL2zGfa_aNIYGyLNnf</v>
      </c>
      <c r="N64" s="21" t="str">
        <f>IFERROR(__xludf.DUMMYFUNCTION("""COMPUTED_VALUE"""),"Late Budhi Man Subba")</f>
        <v>Late Budhi Man Subba</v>
      </c>
      <c r="O64" s="21" t="str">
        <f>IFERROR(__xludf.DUMMYFUNCTION("""COMPUTED_VALUE"""),"Deceased ")</f>
        <v>Deceased </v>
      </c>
      <c r="P64" s="21" t="str">
        <f>IFERROR(__xludf.DUMMYFUNCTION("""COMPUTED_VALUE"""),"Chota Singtam, East Sikkim")</f>
        <v>Chota Singtam, East Sikkim</v>
      </c>
      <c r="Q64" s="21">
        <f>IFERROR(__xludf.DUMMYFUNCTION("""COMPUTED_VALUE"""),9.593372255E9)</f>
        <v>9593372255</v>
      </c>
      <c r="R64" s="21" t="str">
        <f>IFERROR(__xludf.DUMMYFUNCTION("""COMPUTED_VALUE"""),"Man Kumari Rai")</f>
        <v>Man Kumari Rai</v>
      </c>
      <c r="S64" s="21" t="str">
        <f>IFERROR(__xludf.DUMMYFUNCTION("""COMPUTED_VALUE"""),"Government employee")</f>
        <v>Government employee</v>
      </c>
      <c r="T64" s="21" t="str">
        <f>IFERROR(__xludf.DUMMYFUNCTION("""COMPUTED_VALUE"""),"Chota Singtam, East Sikkim")</f>
        <v>Chota Singtam, East Sikkim</v>
      </c>
      <c r="U64" s="21">
        <f>IFERROR(__xludf.DUMMYFUNCTION("""COMPUTED_VALUE"""),9.733064422E9)</f>
        <v>9733064422</v>
      </c>
      <c r="V64" s="21">
        <f>IFERROR(__xludf.DUMMYFUNCTION("""COMPUTED_VALUE"""),2.0)</f>
        <v>2</v>
      </c>
      <c r="W64" s="21" t="str">
        <f>IFERROR(__xludf.DUMMYFUNCTION("""COMPUTED_VALUE"""),"Man Kumari Rai")</f>
        <v>Man Kumari Rai</v>
      </c>
      <c r="X64" s="21" t="str">
        <f>IFERROR(__xludf.DUMMYFUNCTION("""COMPUTED_VALUE"""),"Mother")</f>
        <v>Mother</v>
      </c>
      <c r="Y64" s="21" t="str">
        <f>IFERROR(__xludf.DUMMYFUNCTION("""COMPUTED_VALUE"""),"Allen Subba")</f>
        <v>Allen Subba</v>
      </c>
      <c r="Z64" s="21" t="str">
        <f>IFERROR(__xludf.DUMMYFUNCTION("""COMPUTED_VALUE"""),"Sibling (Brother)")</f>
        <v>Sibling (Brother)</v>
      </c>
      <c r="AA64" s="21" t="str">
        <f>IFERROR(__xludf.DUMMYFUNCTION("""COMPUTED_VALUE"""),"Non-Veg")</f>
        <v>Non-Veg</v>
      </c>
      <c r="AB64" s="21" t="str">
        <f>IFERROR(__xludf.DUMMYFUNCTION("""COMPUTED_VALUE"""),"Non-Veg")</f>
        <v>Non-Veg</v>
      </c>
      <c r="AC64" s="21" t="str">
        <f>IFERROR(__xludf.DUMMYFUNCTION("""COMPUTED_VALUE"""),"Non-Veg")</f>
        <v>Non-Veg</v>
      </c>
      <c r="AD64" s="21"/>
      <c r="AE64" s="21"/>
    </row>
    <row r="65" ht="22.5" customHeight="1">
      <c r="A65" s="18">
        <f>IFERROR(__xludf.DUMMYFUNCTION("""COMPUTED_VALUE"""),46264.83983052083)</f>
        <v>46264.83983</v>
      </c>
      <c r="B65" s="21" t="str">
        <f>IFERROR(__xludf.DUMMYFUNCTION("""COMPUTED_VALUE"""),"mourupa.mbbs-2020@aiimskalyani.edu.in")</f>
        <v>mourupa.mbbs-2020@aiimskalyani.edu.in</v>
      </c>
      <c r="C65" s="21" t="str">
        <f>IFERROR(__xludf.DUMMYFUNCTION("""COMPUTED_VALUE"""),"MOURUPA SARKAR ")</f>
        <v>MOURUPA SARKAR </v>
      </c>
      <c r="D65" s="21">
        <f>IFERROR(__xludf.DUMMYFUNCTION("""COMPUTED_VALUE"""),2.0200114E7)</f>
        <v>20200114</v>
      </c>
      <c r="E65" s="21" t="str">
        <f>IFERROR(__xludf.DUMMYFUNCTION("""COMPUTED_VALUE"""),"MBBS 2020")</f>
        <v>MBBS 2020</v>
      </c>
      <c r="F65" s="21">
        <f>IFERROR(__xludf.DUMMYFUNCTION("""COMPUTED_VALUE"""),6.295614611E9)</f>
        <v>6295614611</v>
      </c>
      <c r="G65" s="21" t="str">
        <f>IFERROR(__xludf.DUMMYFUNCTION("""COMPUTED_VALUE"""),"mourupa.mbbs-2020@aiimskalyani.edu.in")</f>
        <v>mourupa.mbbs-2020@aiimskalyani.edu.in</v>
      </c>
      <c r="H65" s="21" t="str">
        <f>IFERROR(__xludf.DUMMYFUNCTION("""COMPUTED_VALUE"""),"Yes")</f>
        <v>Yes</v>
      </c>
      <c r="I65" s="21" t="str">
        <f>IFERROR(__xludf.DUMMYFUNCTION("""COMPUTED_VALUE"""),"Painting ")</f>
        <v>Painting </v>
      </c>
      <c r="J65" s="21" t="str">
        <f>IFERROR(__xludf.DUMMYFUNCTION("""COMPUTED_VALUE"""),"Won various competitions organised by Art  Club in Aiims kalyani ")</f>
        <v>Won various competitions organised by Art  Club in Aiims kalyani </v>
      </c>
      <c r="K65" s="21" t="str">
        <f>IFERROR(__xludf.DUMMYFUNCTION("""COMPUTED_VALUE"""),"Alipur Duar ")</f>
        <v>Alipur Duar </v>
      </c>
      <c r="L65" s="22" t="str">
        <f>IFERROR(__xludf.DUMMYFUNCTION("""COMPUTED_VALUE"""),"https://drive.google.com/open?id=1EZl5dm09BGfE1LXPFGGzxMDkfjpRXEDL")</f>
        <v>https://drive.google.com/open?id=1EZl5dm09BGfE1LXPFGGzxMDkfjpRXEDL</v>
      </c>
      <c r="M65" s="22" t="str">
        <f>IFERROR(__xludf.DUMMYFUNCTION("""COMPUTED_VALUE"""),"https://drive.google.com/open?id=1WfJdQ7lba38kSgsUtHTA0vyCO4jFnufI")</f>
        <v>https://drive.google.com/open?id=1WfJdQ7lba38kSgsUtHTA0vyCO4jFnufI</v>
      </c>
      <c r="N65" s="21" t="str">
        <f>IFERROR(__xludf.DUMMYFUNCTION("""COMPUTED_VALUE"""),"Mr Ratan Sarkar ")</f>
        <v>Mr Ratan Sarkar </v>
      </c>
      <c r="O65" s="21" t="str">
        <f>IFERROR(__xludf.DUMMYFUNCTION("""COMPUTED_VALUE"""),"Government Service ")</f>
        <v>Government Service </v>
      </c>
      <c r="P65" s="21" t="str">
        <f>IFERROR(__xludf.DUMMYFUNCTION("""COMPUTED_VALUE"""),"Alipur Duar")</f>
        <v>Alipur Duar</v>
      </c>
      <c r="Q65" s="21">
        <f>IFERROR(__xludf.DUMMYFUNCTION("""COMPUTED_VALUE"""),6.297473298E9)</f>
        <v>6297473298</v>
      </c>
      <c r="R65" s="21" t="str">
        <f>IFERROR(__xludf.DUMMYFUNCTION("""COMPUTED_VALUE"""),"Mithu Das Sarkar")</f>
        <v>Mithu Das Sarkar</v>
      </c>
      <c r="S65" s="21" t="str">
        <f>IFERROR(__xludf.DUMMYFUNCTION("""COMPUTED_VALUE"""),"Government service ")</f>
        <v>Government service </v>
      </c>
      <c r="T65" s="21" t="str">
        <f>IFERROR(__xludf.DUMMYFUNCTION("""COMPUTED_VALUE"""),"Alipur Duar ")</f>
        <v>Alipur Duar </v>
      </c>
      <c r="U65" s="21">
        <f>IFERROR(__xludf.DUMMYFUNCTION("""COMPUTED_VALUE"""),7.908479314E9)</f>
        <v>7908479314</v>
      </c>
      <c r="V65" s="21">
        <f>IFERROR(__xludf.DUMMYFUNCTION("""COMPUTED_VALUE"""),2.0)</f>
        <v>2</v>
      </c>
      <c r="W65" s="21" t="str">
        <f>IFERROR(__xludf.DUMMYFUNCTION("""COMPUTED_VALUE"""),"Mithu Das Sarkar")</f>
        <v>Mithu Das Sarkar</v>
      </c>
      <c r="X65" s="21" t="str">
        <f>IFERROR(__xludf.DUMMYFUNCTION("""COMPUTED_VALUE"""),"Mother ")</f>
        <v>Mother </v>
      </c>
      <c r="Y65" s="21" t="str">
        <f>IFERROR(__xludf.DUMMYFUNCTION("""COMPUTED_VALUE"""),"Ratan Sarkar ")</f>
        <v>Ratan Sarkar </v>
      </c>
      <c r="Z65" s="21" t="str">
        <f>IFERROR(__xludf.DUMMYFUNCTION("""COMPUTED_VALUE"""),"Father ")</f>
        <v>Father </v>
      </c>
      <c r="AA65" s="21" t="str">
        <f>IFERROR(__xludf.DUMMYFUNCTION("""COMPUTED_VALUE"""),"Non-Veg")</f>
        <v>Non-Veg</v>
      </c>
      <c r="AB65" s="21" t="str">
        <f>IFERROR(__xludf.DUMMYFUNCTION("""COMPUTED_VALUE"""),"Veg")</f>
        <v>Veg</v>
      </c>
      <c r="AC65" s="21" t="str">
        <f>IFERROR(__xludf.DUMMYFUNCTION("""COMPUTED_VALUE"""),"Non-Veg")</f>
        <v>Non-Veg</v>
      </c>
      <c r="AD65" s="21" t="str">
        <f>IFERROR(__xludf.DUMMYFUNCTION("""COMPUTED_VALUE"""),"Bus Drop Service not needed")</f>
        <v>Bus Drop Service not needed</v>
      </c>
      <c r="AE65" s="21"/>
    </row>
    <row r="66" ht="22.5" customHeight="1">
      <c r="A66" s="18">
        <f>IFERROR(__xludf.DUMMYFUNCTION("""COMPUTED_VALUE"""),46264.827741562505)</f>
        <v>46264.82774</v>
      </c>
      <c r="B66" s="21" t="str">
        <f>IFERROR(__xludf.DUMMYFUNCTION("""COMPUTED_VALUE"""),"rakesh.mbbs-2020@aiimskalyani.edu.in")</f>
        <v>rakesh.mbbs-2020@aiimskalyani.edu.in</v>
      </c>
      <c r="C66" s="21" t="str">
        <f>IFERROR(__xludf.DUMMYFUNCTION("""COMPUTED_VALUE"""),"Rakesh Raushan")</f>
        <v>Rakesh Raushan</v>
      </c>
      <c r="D66" s="21">
        <f>IFERROR(__xludf.DUMMYFUNCTION("""COMPUTED_VALUE"""),2.02001124E8)</f>
        <v>202001124</v>
      </c>
      <c r="E66" s="21" t="str">
        <f>IFERROR(__xludf.DUMMYFUNCTION("""COMPUTED_VALUE"""),"MBBS 2020")</f>
        <v>MBBS 2020</v>
      </c>
      <c r="F66" s="21">
        <f>IFERROR(__xludf.DUMMYFUNCTION("""COMPUTED_VALUE"""),9.799092569E9)</f>
        <v>9799092569</v>
      </c>
      <c r="G66" s="21" t="str">
        <f>IFERROR(__xludf.DUMMYFUNCTION("""COMPUTED_VALUE"""),"Rakeshraushan112@gmail.com")</f>
        <v>Rakeshraushan112@gmail.com</v>
      </c>
      <c r="H66" s="21" t="str">
        <f>IFERROR(__xludf.DUMMYFUNCTION("""COMPUTED_VALUE"""),"Yes")</f>
        <v>Yes</v>
      </c>
      <c r="I66" s="21" t="str">
        <f>IFERROR(__xludf.DUMMYFUNCTION("""COMPUTED_VALUE"""),"Travelling, Trekking, Playing Chess, Badminton, cricket,  cooking, Photography")</f>
        <v>Travelling, Trekking, Playing Chess, Badminton, cricket,  cooking, Photography</v>
      </c>
      <c r="J66" s="21"/>
      <c r="K66" s="21" t="str">
        <f>IFERROR(__xludf.DUMMYFUNCTION("""COMPUTED_VALUE"""),"Saharsa ")</f>
        <v>Saharsa </v>
      </c>
      <c r="L66" s="22" t="str">
        <f>IFERROR(__xludf.DUMMYFUNCTION("""COMPUTED_VALUE"""),"https://drive.google.com/open?id=1cei-PULn1wQVZbfJ-9M_omjOaQWjneMr")</f>
        <v>https://drive.google.com/open?id=1cei-PULn1wQVZbfJ-9M_omjOaQWjneMr</v>
      </c>
      <c r="M66" s="22" t="str">
        <f>IFERROR(__xludf.DUMMYFUNCTION("""COMPUTED_VALUE"""),"https://drive.google.com/open?id=1xY-xUFjpIBv770_nomBwb-6qXCT6x8t2")</f>
        <v>https://drive.google.com/open?id=1xY-xUFjpIBv770_nomBwb-6qXCT6x8t2</v>
      </c>
      <c r="N66" s="21" t="str">
        <f>IFERROR(__xludf.DUMMYFUNCTION("""COMPUTED_VALUE"""),"Bijay Kumar")</f>
        <v>Bijay Kumar</v>
      </c>
      <c r="O66" s="21" t="str">
        <f>IFERROR(__xludf.DUMMYFUNCTION("""COMPUTED_VALUE"""),"Business ")</f>
        <v>Business </v>
      </c>
      <c r="P66" s="21" t="str">
        <f>IFERROR(__xludf.DUMMYFUNCTION("""COMPUTED_VALUE"""),"Saharsa ")</f>
        <v>Saharsa </v>
      </c>
      <c r="Q66" s="21">
        <f>IFERROR(__xludf.DUMMYFUNCTION("""COMPUTED_VALUE"""),9.431891302E9)</f>
        <v>9431891302</v>
      </c>
      <c r="R66" s="21" t="str">
        <f>IFERROR(__xludf.DUMMYFUNCTION("""COMPUTED_VALUE"""),"Kumari Sunita ")</f>
        <v>Kumari Sunita </v>
      </c>
      <c r="S66" s="21" t="str">
        <f>IFERROR(__xludf.DUMMYFUNCTION("""COMPUTED_VALUE"""),"Government Job ")</f>
        <v>Government Job </v>
      </c>
      <c r="T66" s="21" t="str">
        <f>IFERROR(__xludf.DUMMYFUNCTION("""COMPUTED_VALUE"""),"Saharsa ")</f>
        <v>Saharsa </v>
      </c>
      <c r="U66" s="21">
        <f>IFERROR(__xludf.DUMMYFUNCTION("""COMPUTED_VALUE"""),8.25287629E9)</f>
        <v>8252876290</v>
      </c>
      <c r="V66" s="21">
        <f>IFERROR(__xludf.DUMMYFUNCTION("""COMPUTED_VALUE"""),0.0)</f>
        <v>0</v>
      </c>
      <c r="W66" s="21"/>
      <c r="X66" s="21"/>
      <c r="Y66" s="21"/>
      <c r="Z66" s="21"/>
      <c r="AA66" s="21" t="str">
        <f>IFERROR(__xludf.DUMMYFUNCTION("""COMPUTED_VALUE"""),"Non-Veg")</f>
        <v>Non-Veg</v>
      </c>
      <c r="AB66" s="21"/>
      <c r="AC66" s="21"/>
      <c r="AD66" s="21" t="str">
        <f>IFERROR(__xludf.DUMMYFUNCTION("""COMPUTED_VALUE"""),"Bus Drop Service not needed")</f>
        <v>Bus Drop Service not needed</v>
      </c>
      <c r="AE66" s="21"/>
    </row>
    <row r="67" ht="22.5" customHeight="1">
      <c r="A67" s="18">
        <f>IFERROR(__xludf.DUMMYFUNCTION("""COMPUTED_VALUE"""),46264.81534148148)</f>
        <v>46264.81534</v>
      </c>
      <c r="B67" s="21" t="str">
        <f>IFERROR(__xludf.DUMMYFUNCTION("""COMPUTED_VALUE"""),"sreeram.mbbs-2020@aiimskalyani.edu.in")</f>
        <v>sreeram.mbbs-2020@aiimskalyani.edu.in</v>
      </c>
      <c r="C67" s="21" t="str">
        <f>IFERROR(__xludf.DUMMYFUNCTION("""COMPUTED_VALUE"""),"Sreeram R S")</f>
        <v>Sreeram R S</v>
      </c>
      <c r="D67" s="21" t="str">
        <f>IFERROR(__xludf.DUMMYFUNCTION("""COMPUTED_VALUE"""),"124 / 202001174")</f>
        <v>124 / 202001174</v>
      </c>
      <c r="E67" s="21" t="str">
        <f>IFERROR(__xludf.DUMMYFUNCTION("""COMPUTED_VALUE"""),"MBBS 2020")</f>
        <v>MBBS 2020</v>
      </c>
      <c r="F67" s="21">
        <f>IFERROR(__xludf.DUMMYFUNCTION("""COMPUTED_VALUE"""),9.188573375E9)</f>
        <v>9188573375</v>
      </c>
      <c r="G67" s="21" t="str">
        <f>IFERROR(__xludf.DUMMYFUNCTION("""COMPUTED_VALUE"""),"sreeram.mbbs-2020@aiimskalyani.edu.in")</f>
        <v>sreeram.mbbs-2020@aiimskalyani.edu.in</v>
      </c>
      <c r="H67" s="21" t="str">
        <f>IFERROR(__xludf.DUMMYFUNCTION("""COMPUTED_VALUE"""),"Yes")</f>
        <v>Yes</v>
      </c>
      <c r="I67" s="21"/>
      <c r="J67" s="21"/>
      <c r="K67" s="21" t="str">
        <f>IFERROR(__xludf.DUMMYFUNCTION("""COMPUTED_VALUE"""),"Kerala")</f>
        <v>Kerala</v>
      </c>
      <c r="L67" s="22" t="str">
        <f>IFERROR(__xludf.DUMMYFUNCTION("""COMPUTED_VALUE"""),"https://drive.google.com/open?id=1mMFiI51tsVW_TprZtopgXmH_Nn-I9Z7g")</f>
        <v>https://drive.google.com/open?id=1mMFiI51tsVW_TprZtopgXmH_Nn-I9Z7g</v>
      </c>
      <c r="M67" s="22" t="str">
        <f>IFERROR(__xludf.DUMMYFUNCTION("""COMPUTED_VALUE"""),"https://drive.google.com/open?id=1l89BGnA4vKTlHGE5ICKyfo8hsSc3bLO6")</f>
        <v>https://drive.google.com/open?id=1l89BGnA4vKTlHGE5ICKyfo8hsSc3bLO6</v>
      </c>
      <c r="N67" s="21" t="str">
        <f>IFERROR(__xludf.DUMMYFUNCTION("""COMPUTED_VALUE"""),"Sangameswaran M R")</f>
        <v>Sangameswaran M R</v>
      </c>
      <c r="O67" s="21" t="str">
        <f>IFERROR(__xludf.DUMMYFUNCTION("""COMPUTED_VALUE"""),"Mechanical Engineer ( Retired )")</f>
        <v>Mechanical Engineer ( Retired )</v>
      </c>
      <c r="P67" s="21" t="str">
        <f>IFERROR(__xludf.DUMMYFUNCTION("""COMPUTED_VALUE"""),"Palakkad , Kerala")</f>
        <v>Palakkad , Kerala</v>
      </c>
      <c r="Q67" s="21">
        <f>IFERROR(__xludf.DUMMYFUNCTION("""COMPUTED_VALUE"""),6.235195823E9)</f>
        <v>6235195823</v>
      </c>
      <c r="R67" s="21" t="str">
        <f>IFERROR(__xludf.DUMMYFUNCTION("""COMPUTED_VALUE"""),"Jayaseeta V N")</f>
        <v>Jayaseeta V N</v>
      </c>
      <c r="S67" s="21" t="str">
        <f>IFERROR(__xludf.DUMMYFUNCTION("""COMPUTED_VALUE"""),"Bank employee , Kerala Gramin Bank")</f>
        <v>Bank employee , Kerala Gramin Bank</v>
      </c>
      <c r="T67" s="21" t="str">
        <f>IFERROR(__xludf.DUMMYFUNCTION("""COMPUTED_VALUE"""),"Palakkad , Kerala")</f>
        <v>Palakkad , Kerala</v>
      </c>
      <c r="U67" s="21">
        <f>IFERROR(__xludf.DUMMYFUNCTION("""COMPUTED_VALUE"""),9.633533665E9)</f>
        <v>9633533665</v>
      </c>
      <c r="V67" s="21">
        <f>IFERROR(__xludf.DUMMYFUNCTION("""COMPUTED_VALUE"""),1.0)</f>
        <v>1</v>
      </c>
      <c r="W67" s="21" t="str">
        <f>IFERROR(__xludf.DUMMYFUNCTION("""COMPUTED_VALUE"""),"Jayaseeta V N")</f>
        <v>Jayaseeta V N</v>
      </c>
      <c r="X67" s="21" t="str">
        <f>IFERROR(__xludf.DUMMYFUNCTION("""COMPUTED_VALUE"""),"Mother")</f>
        <v>Mother</v>
      </c>
      <c r="Y67" s="21"/>
      <c r="Z67" s="21"/>
      <c r="AA67" s="21" t="str">
        <f>IFERROR(__xludf.DUMMYFUNCTION("""COMPUTED_VALUE"""),"Veg")</f>
        <v>Veg</v>
      </c>
      <c r="AB67" s="21" t="str">
        <f>IFERROR(__xludf.DUMMYFUNCTION("""COMPUTED_VALUE"""),"Veg")</f>
        <v>Veg</v>
      </c>
      <c r="AC67" s="21"/>
      <c r="AD67" s="21" t="str">
        <f>IFERROR(__xludf.DUMMYFUNCTION("""COMPUTED_VALUE"""),"Bus Drop Service not needed")</f>
        <v>Bus Drop Service not needed</v>
      </c>
      <c r="AE67" s="21">
        <f>IFERROR(__xludf.DUMMYFUNCTION("""COMPUTED_VALUE"""),0.0)</f>
        <v>0</v>
      </c>
    </row>
    <row r="68" ht="22.5" customHeight="1">
      <c r="A68" s="18">
        <f>IFERROR(__xludf.DUMMYFUNCTION("""COMPUTED_VALUE"""),46264.809969953705)</f>
        <v>46264.80997</v>
      </c>
      <c r="B68" s="21" t="str">
        <f>IFERROR(__xludf.DUMMYFUNCTION("""COMPUTED_VALUE"""),"vulasala.mbbs-2020@aiimskalyani.edu.in")</f>
        <v>vulasala.mbbs-2020@aiimskalyani.edu.in</v>
      </c>
      <c r="C68" s="21" t="str">
        <f>IFERROR(__xludf.DUMMYFUNCTION("""COMPUTED_VALUE"""),"VULASALA VENKATA SAI CHARAN")</f>
        <v>VULASALA VENKATA SAI CHARAN</v>
      </c>
      <c r="D68" s="21">
        <f>IFERROR(__xludf.DUMMYFUNCTION("""COMPUTED_VALUE"""),2.02001163E8)</f>
        <v>202001163</v>
      </c>
      <c r="E68" s="21" t="str">
        <f>IFERROR(__xludf.DUMMYFUNCTION("""COMPUTED_VALUE"""),"MBBS 2020")</f>
        <v>MBBS 2020</v>
      </c>
      <c r="F68" s="21">
        <f>IFERROR(__xludf.DUMMYFUNCTION("""COMPUTED_VALUE"""),8.341737691E9)</f>
        <v>8341737691</v>
      </c>
      <c r="G68" s="21" t="str">
        <f>IFERROR(__xludf.DUMMYFUNCTION("""COMPUTED_VALUE"""),"vulasala.mbbs-2020@aiimskalyani.edu.in")</f>
        <v>vulasala.mbbs-2020@aiimskalyani.edu.in</v>
      </c>
      <c r="H68" s="21" t="str">
        <f>IFERROR(__xludf.DUMMYFUNCTION("""COMPUTED_VALUE"""),"Yes")</f>
        <v>Yes</v>
      </c>
      <c r="I68" s="21" t="str">
        <f>IFERROR(__xludf.DUMMYFUNCTION("""COMPUTED_VALUE"""),"Music, Movies, doomscrolling")</f>
        <v>Music, Movies, doomscrolling</v>
      </c>
      <c r="J68" s="21" t="str">
        <f>IFERROR(__xludf.DUMMYFUNCTION("""COMPUTED_VALUE"""),"College Research Poster presentation 2023 - 2nd prize")</f>
        <v>College Research Poster presentation 2023 - 2nd prize</v>
      </c>
      <c r="K68" s="21" t="str">
        <f>IFERROR(__xludf.DUMMYFUNCTION("""COMPUTED_VALUE"""),"Proddatur, Andhra Pradesh")</f>
        <v>Proddatur, Andhra Pradesh</v>
      </c>
      <c r="L68" s="22" t="str">
        <f>IFERROR(__xludf.DUMMYFUNCTION("""COMPUTED_VALUE"""),"https://drive.google.com/open?id=1l-YPj1SujDEzufsgxinfewrNChZ44hmn")</f>
        <v>https://drive.google.com/open?id=1l-YPj1SujDEzufsgxinfewrNChZ44hmn</v>
      </c>
      <c r="M68" s="22" t="str">
        <f>IFERROR(__xludf.DUMMYFUNCTION("""COMPUTED_VALUE"""),"https://drive.google.com/open?id=1vO3anu3uqZAN5tjSoc_FJhctZ6AmmyP6")</f>
        <v>https://drive.google.com/open?id=1vO3anu3uqZAN5tjSoc_FJhctZ6AmmyP6</v>
      </c>
      <c r="N68" s="21" t="str">
        <f>IFERROR(__xludf.DUMMYFUNCTION("""COMPUTED_VALUE"""),"Vulasala Sreenivasulu")</f>
        <v>Vulasala Sreenivasulu</v>
      </c>
      <c r="O68" s="21" t="str">
        <f>IFERROR(__xludf.DUMMYFUNCTION("""COMPUTED_VALUE"""),"ADE in APGENCO")</f>
        <v>ADE in APGENCO</v>
      </c>
      <c r="P68" s="21" t="str">
        <f>IFERROR(__xludf.DUMMYFUNCTION("""COMPUTED_VALUE"""),"Proddatur")</f>
        <v>Proddatur</v>
      </c>
      <c r="Q68" s="21">
        <f>IFERROR(__xludf.DUMMYFUNCTION("""COMPUTED_VALUE"""),8.919187309E9)</f>
        <v>8919187309</v>
      </c>
      <c r="R68" s="21" t="str">
        <f>IFERROR(__xludf.DUMMYFUNCTION("""COMPUTED_VALUE"""),"Chimmani Annapurna")</f>
        <v>Chimmani Annapurna</v>
      </c>
      <c r="S68" s="21" t="str">
        <f>IFERROR(__xludf.DUMMYFUNCTION("""COMPUTED_VALUE"""),"Home maker")</f>
        <v>Home maker</v>
      </c>
      <c r="T68" s="21" t="str">
        <f>IFERROR(__xludf.DUMMYFUNCTION("""COMPUTED_VALUE"""),"Proddatur")</f>
        <v>Proddatur</v>
      </c>
      <c r="U68" s="21">
        <f>IFERROR(__xludf.DUMMYFUNCTION("""COMPUTED_VALUE"""),8.317611083E9)</f>
        <v>8317611083</v>
      </c>
      <c r="V68" s="21">
        <f>IFERROR(__xludf.DUMMYFUNCTION("""COMPUTED_VALUE"""),2.0)</f>
        <v>2</v>
      </c>
      <c r="W68" s="21" t="str">
        <f>IFERROR(__xludf.DUMMYFUNCTION("""COMPUTED_VALUE"""),"Vulasala Sreenivasulu")</f>
        <v>Vulasala Sreenivasulu</v>
      </c>
      <c r="X68" s="21" t="str">
        <f>IFERROR(__xludf.DUMMYFUNCTION("""COMPUTED_VALUE"""),"Father ")</f>
        <v>Father </v>
      </c>
      <c r="Y68" s="21" t="str">
        <f>IFERROR(__xludf.DUMMYFUNCTION("""COMPUTED_VALUE"""),"Chimmani Lakshmi")</f>
        <v>Chimmani Lakshmi</v>
      </c>
      <c r="Z68" s="21" t="str">
        <f>IFERROR(__xludf.DUMMYFUNCTION("""COMPUTED_VALUE"""),"Mother ")</f>
        <v>Mother </v>
      </c>
      <c r="AA68" s="21" t="str">
        <f>IFERROR(__xludf.DUMMYFUNCTION("""COMPUTED_VALUE"""),"Non-Veg")</f>
        <v>Non-Veg</v>
      </c>
      <c r="AB68" s="21" t="str">
        <f>IFERROR(__xludf.DUMMYFUNCTION("""COMPUTED_VALUE"""),"Non-Veg")</f>
        <v>Non-Veg</v>
      </c>
      <c r="AC68" s="21" t="str">
        <f>IFERROR(__xludf.DUMMYFUNCTION("""COMPUTED_VALUE"""),"Non-Veg")</f>
        <v>Non-Veg</v>
      </c>
      <c r="AD68" s="21" t="str">
        <f>IFERROR(__xludf.DUMMYFUNCTION("""COMPUTED_VALUE"""),"Drop at Kolkata Airport")</f>
        <v>Drop at Kolkata Airport</v>
      </c>
      <c r="AE68" s="21">
        <f>IFERROR(__xludf.DUMMYFUNCTION("""COMPUTED_VALUE"""),2.0)</f>
        <v>2</v>
      </c>
    </row>
    <row r="69" ht="22.5" customHeight="1">
      <c r="A69" s="18">
        <f>IFERROR(__xludf.DUMMYFUNCTION("""COMPUTED_VALUE"""),46264.80190770833)</f>
        <v>46264.80191</v>
      </c>
      <c r="B69" s="21" t="str">
        <f>IFERROR(__xludf.DUMMYFUNCTION("""COMPUTED_VALUE"""),"disha.mbbs-2020@aiimskalyani.edu.in")</f>
        <v>disha.mbbs-2020@aiimskalyani.edu.in</v>
      </c>
      <c r="C69" s="21" t="str">
        <f>IFERROR(__xludf.DUMMYFUNCTION("""COMPUTED_VALUE"""),"DISHA MANDAL")</f>
        <v>DISHA MANDAL</v>
      </c>
      <c r="D69" s="21">
        <f>IFERROR(__xludf.DUMMYFUNCTION("""COMPUTED_VALUE"""),2.0200197E7)</f>
        <v>20200197</v>
      </c>
      <c r="E69" s="21" t="str">
        <f>IFERROR(__xludf.DUMMYFUNCTION("""COMPUTED_VALUE"""),"MBBS 2020")</f>
        <v>MBBS 2020</v>
      </c>
      <c r="F69" s="21">
        <f>IFERROR(__xludf.DUMMYFUNCTION("""COMPUTED_VALUE"""),9.933492817E9)</f>
        <v>9933492817</v>
      </c>
      <c r="G69" s="21" t="str">
        <f>IFERROR(__xludf.DUMMYFUNCTION("""COMPUTED_VALUE"""),"mandaldisha21@gmail.com")</f>
        <v>mandaldisha21@gmail.com</v>
      </c>
      <c r="H69" s="21" t="str">
        <f>IFERROR(__xludf.DUMMYFUNCTION("""COMPUTED_VALUE"""),"Yes")</f>
        <v>Yes</v>
      </c>
      <c r="I69" s="21" t="str">
        <f>IFERROR(__xludf.DUMMYFUNCTION("""COMPUTED_VALUE"""),"Reading Books, Listening music")</f>
        <v>Reading Books, Listening music</v>
      </c>
      <c r="J69" s="21"/>
      <c r="K69" s="21" t="str">
        <f>IFERROR(__xludf.DUMMYFUNCTION("""COMPUTED_VALUE"""),"Bankura")</f>
        <v>Bankura</v>
      </c>
      <c r="L69" s="22" t="str">
        <f>IFERROR(__xludf.DUMMYFUNCTION("""COMPUTED_VALUE"""),"https://drive.google.com/open?id=1WAR3PH2PNje3aU1_IFAB6VIupB7ExLC9")</f>
        <v>https://drive.google.com/open?id=1WAR3PH2PNje3aU1_IFAB6VIupB7ExLC9</v>
      </c>
      <c r="M69" s="22" t="str">
        <f>IFERROR(__xludf.DUMMYFUNCTION("""COMPUTED_VALUE"""),"https://drive.google.com/open?id=1vpUSj95DCgepZ11M33qVLLufnDIa6yfg")</f>
        <v>https://drive.google.com/open?id=1vpUSj95DCgepZ11M33qVLLufnDIa6yfg</v>
      </c>
      <c r="N69" s="21" t="str">
        <f>IFERROR(__xludf.DUMMYFUNCTION("""COMPUTED_VALUE"""),"MRINAL KANTI MANDAL")</f>
        <v>MRINAL KANTI MANDAL</v>
      </c>
      <c r="O69" s="21" t="str">
        <f>IFERROR(__xludf.DUMMYFUNCTION("""COMPUTED_VALUE"""),"ASSISTANT DIRECTOR AGRICULTURE, GOVT OF WEST BENGAL")</f>
        <v>ASSISTANT DIRECTOR AGRICULTURE, GOVT OF WEST BENGAL</v>
      </c>
      <c r="P69" s="21" t="str">
        <f>IFERROR(__xludf.DUMMYFUNCTION("""COMPUTED_VALUE"""),"BANKURA")</f>
        <v>BANKURA</v>
      </c>
      <c r="Q69" s="21">
        <f>IFERROR(__xludf.DUMMYFUNCTION("""COMPUTED_VALUE"""),9.641492848E9)</f>
        <v>9641492848</v>
      </c>
      <c r="R69" s="21" t="str">
        <f>IFERROR(__xludf.DUMMYFUNCTION("""COMPUTED_VALUE"""),"BABITA MANDAL")</f>
        <v>BABITA MANDAL</v>
      </c>
      <c r="S69" s="21" t="str">
        <f>IFERROR(__xludf.DUMMYFUNCTION("""COMPUTED_VALUE"""),"HOMEMAKER ")</f>
        <v>HOMEMAKER </v>
      </c>
      <c r="T69" s="21" t="str">
        <f>IFERROR(__xludf.DUMMYFUNCTION("""COMPUTED_VALUE"""),"BANKURA ")</f>
        <v>BANKURA </v>
      </c>
      <c r="U69" s="21">
        <f>IFERROR(__xludf.DUMMYFUNCTION("""COMPUTED_VALUE"""),7.908035189E9)</f>
        <v>7908035189</v>
      </c>
      <c r="V69" s="21">
        <f>IFERROR(__xludf.DUMMYFUNCTION("""COMPUTED_VALUE"""),2.0)</f>
        <v>2</v>
      </c>
      <c r="W69" s="21" t="str">
        <f>IFERROR(__xludf.DUMMYFUNCTION("""COMPUTED_VALUE"""),"MRINAL KANTI MANDAL ")</f>
        <v>MRINAL KANTI MANDAL </v>
      </c>
      <c r="X69" s="21" t="str">
        <f>IFERROR(__xludf.DUMMYFUNCTION("""COMPUTED_VALUE"""),"Father")</f>
        <v>Father</v>
      </c>
      <c r="Y69" s="21" t="str">
        <f>IFERROR(__xludf.DUMMYFUNCTION("""COMPUTED_VALUE"""),"BABITA MANDAL")</f>
        <v>BABITA MANDAL</v>
      </c>
      <c r="Z69" s="21" t="str">
        <f>IFERROR(__xludf.DUMMYFUNCTION("""COMPUTED_VALUE"""),"Mother")</f>
        <v>Mother</v>
      </c>
      <c r="AA69" s="21" t="str">
        <f>IFERROR(__xludf.DUMMYFUNCTION("""COMPUTED_VALUE"""),"Non-Veg")</f>
        <v>Non-Veg</v>
      </c>
      <c r="AB69" s="21" t="str">
        <f>IFERROR(__xludf.DUMMYFUNCTION("""COMPUTED_VALUE"""),"Non-Veg")</f>
        <v>Non-Veg</v>
      </c>
      <c r="AC69" s="21" t="str">
        <f>IFERROR(__xludf.DUMMYFUNCTION("""COMPUTED_VALUE"""),"Non-Veg")</f>
        <v>Non-Veg</v>
      </c>
      <c r="AD69" s="21" t="str">
        <f>IFERROR(__xludf.DUMMYFUNCTION("""COMPUTED_VALUE"""),"Drop at Kalyani Railway Station")</f>
        <v>Drop at Kalyani Railway Station</v>
      </c>
      <c r="AE69" s="21">
        <f>IFERROR(__xludf.DUMMYFUNCTION("""COMPUTED_VALUE"""),3.0)</f>
        <v>3</v>
      </c>
    </row>
    <row r="70" ht="22.5" customHeight="1">
      <c r="A70" s="18">
        <f>IFERROR(__xludf.DUMMYFUNCTION("""COMPUTED_VALUE"""),46264.775871018515)</f>
        <v>46264.77587</v>
      </c>
      <c r="B70" s="21" t="str">
        <f>IFERROR(__xludf.DUMMYFUNCTION("""COMPUTED_VALUE"""),"honkap.mbbs-2020@aiimskalyani.edu.in")</f>
        <v>honkap.mbbs-2020@aiimskalyani.edu.in</v>
      </c>
      <c r="C70" s="21" t="str">
        <f>IFERROR(__xludf.DUMMYFUNCTION("""COMPUTED_VALUE"""),"HONKAP WANGJEN")</f>
        <v>HONKAP WANGJEN</v>
      </c>
      <c r="D70" s="21" t="str">
        <f>IFERROR(__xludf.DUMMYFUNCTION("""COMPUTED_VALUE"""),"51/202001101")</f>
        <v>51/202001101</v>
      </c>
      <c r="E70" s="21" t="str">
        <f>IFERROR(__xludf.DUMMYFUNCTION("""COMPUTED_VALUE"""),"MBBS 2020")</f>
        <v>MBBS 2020</v>
      </c>
      <c r="F70" s="21">
        <f>IFERROR(__xludf.DUMMYFUNCTION("""COMPUTED_VALUE"""),9.383106349E9)</f>
        <v>9383106349</v>
      </c>
      <c r="G70" s="21" t="str">
        <f>IFERROR(__xludf.DUMMYFUNCTION("""COMPUTED_VALUE"""),"honkap.mbbs-2020@aiimskalyani.edu.in")</f>
        <v>honkap.mbbs-2020@aiimskalyani.edu.in</v>
      </c>
      <c r="H70" s="21" t="str">
        <f>IFERROR(__xludf.DUMMYFUNCTION("""COMPUTED_VALUE"""),"Yes")</f>
        <v>Yes</v>
      </c>
      <c r="I70" s="21" t="str">
        <f>IFERROR(__xludf.DUMMYFUNCTION("""COMPUTED_VALUE"""),"photography, reading and following current affairs, hiking, travelling, listening to music, playing badminton, exercising, driving and fishing.")</f>
        <v>photography, reading and following current affairs, hiking, travelling, listening to music, playing badminton, exercising, driving and fishing.</v>
      </c>
      <c r="J70" s="21"/>
      <c r="K70" s="21" t="str">
        <f>IFERROR(__xludf.DUMMYFUNCTION("""COMPUTED_VALUE"""),"Village- Hasse Russa, PS/PO-Kanubari, Pincode-792131, District-Longding, State- Arunachal Pradesh.")</f>
        <v>Village- Hasse Russa, PS/PO-Kanubari, Pincode-792131, District-Longding, State- Arunachal Pradesh.</v>
      </c>
      <c r="L70" s="22" t="str">
        <f>IFERROR(__xludf.DUMMYFUNCTION("""COMPUTED_VALUE"""),"https://drive.google.com/open?id=1evafgOkL5bzXnMIWfeJ-3EYX21EA1I4H")</f>
        <v>https://drive.google.com/open?id=1evafgOkL5bzXnMIWfeJ-3EYX21EA1I4H</v>
      </c>
      <c r="M70" s="22" t="str">
        <f>IFERROR(__xludf.DUMMYFUNCTION("""COMPUTED_VALUE"""),"https://drive.google.com/open?id=1oyRXm0T63v91E4r6-sJBAxNWs8edMhLB")</f>
        <v>https://drive.google.com/open?id=1oyRXm0T63v91E4r6-sJBAxNWs8edMhLB</v>
      </c>
      <c r="N70" s="21" t="str">
        <f>IFERROR(__xludf.DUMMYFUNCTION("""COMPUTED_VALUE"""),"PHOTONG WANGJEN")</f>
        <v>PHOTONG WANGJEN</v>
      </c>
      <c r="O70" s="21" t="str">
        <f>IFERROR(__xludf.DUMMYFUNCTION("""COMPUTED_VALUE"""),"Farmer ")</f>
        <v>Farmer </v>
      </c>
      <c r="P70" s="21" t="str">
        <f>IFERROR(__xludf.DUMMYFUNCTION("""COMPUTED_VALUE"""),"Village- Hasse Russa, PS/PO-Kanubari, Pincode-792131, District-Longding, State- Arunachal Pradesh. ")</f>
        <v>Village- Hasse Russa, PS/PO-Kanubari, Pincode-792131, District-Longding, State- Arunachal Pradesh. </v>
      </c>
      <c r="Q70" s="21">
        <f>IFERROR(__xludf.DUMMYFUNCTION("""COMPUTED_VALUE"""),7.005403521E9)</f>
        <v>7005403521</v>
      </c>
      <c r="R70" s="21" t="str">
        <f>IFERROR(__xludf.DUMMYFUNCTION("""COMPUTED_VALUE"""),"PHEMUN WANGJEN")</f>
        <v>PHEMUN WANGJEN</v>
      </c>
      <c r="S70" s="21" t="str">
        <f>IFERROR(__xludf.DUMMYFUNCTION("""COMPUTED_VALUE"""),"Homemaker ")</f>
        <v>Homemaker </v>
      </c>
      <c r="T70" s="21" t="str">
        <f>IFERROR(__xludf.DUMMYFUNCTION("""COMPUTED_VALUE"""),"Village- Hasse Russa, PS/PO-Kanubari, Pincode-792131, District-Longding, State- Arunachal Pradesh. ")</f>
        <v>Village- Hasse Russa, PS/PO-Kanubari, Pincode-792131, District-Longding, State- Arunachal Pradesh. </v>
      </c>
      <c r="U70" s="21">
        <f>IFERROR(__xludf.DUMMYFUNCTION("""COMPUTED_VALUE"""),9.383106349E9)</f>
        <v>9383106349</v>
      </c>
      <c r="V70" s="21">
        <f>IFERROR(__xludf.DUMMYFUNCTION("""COMPUTED_VALUE"""),1.0)</f>
        <v>1</v>
      </c>
      <c r="W70" s="21" t="str">
        <f>IFERROR(__xludf.DUMMYFUNCTION("""COMPUTED_VALUE"""),"Ngamlem Wangjen")</f>
        <v>Ngamlem Wangjen</v>
      </c>
      <c r="X70" s="21" t="str">
        <f>IFERROR(__xludf.DUMMYFUNCTION("""COMPUTED_VALUE"""),"Elder sister ")</f>
        <v>Elder sister </v>
      </c>
      <c r="Y70" s="21"/>
      <c r="Z70" s="21"/>
      <c r="AA70" s="21" t="str">
        <f>IFERROR(__xludf.DUMMYFUNCTION("""COMPUTED_VALUE"""),"Non-Veg")</f>
        <v>Non-Veg</v>
      </c>
      <c r="AB70" s="21" t="str">
        <f>IFERROR(__xludf.DUMMYFUNCTION("""COMPUTED_VALUE"""),"Non-Veg")</f>
        <v>Non-Veg</v>
      </c>
      <c r="AC70" s="21"/>
      <c r="AD70" s="21" t="str">
        <f>IFERROR(__xludf.DUMMYFUNCTION("""COMPUTED_VALUE"""),"Bus Drop Service not needed")</f>
        <v>Bus Drop Service not needed</v>
      </c>
      <c r="AE70" s="21"/>
    </row>
    <row r="71" ht="22.5" customHeight="1">
      <c r="A71" s="18">
        <f>IFERROR(__xludf.DUMMYFUNCTION("""COMPUTED_VALUE"""),46264.770809814814)</f>
        <v>46264.77081</v>
      </c>
      <c r="B71" s="21" t="str">
        <f>IFERROR(__xludf.DUMMYFUNCTION("""COMPUTED_VALUE"""),"subhasis.mbbs-2020@aiimskalyani.edu.in")</f>
        <v>subhasis.mbbs-2020@aiimskalyani.edu.in</v>
      </c>
      <c r="C71" s="21" t="str">
        <f>IFERROR(__xludf.DUMMYFUNCTION("""COMPUTED_VALUE"""),"SUBHASIS PANJA ")</f>
        <v>SUBHASIS PANJA </v>
      </c>
      <c r="D71" s="21" t="str">
        <f>IFERROR(__xludf.DUMMYFUNCTION("""COMPUTED_VALUE"""),"100/202001150")</f>
        <v>100/202001150</v>
      </c>
      <c r="E71" s="21" t="str">
        <f>IFERROR(__xludf.DUMMYFUNCTION("""COMPUTED_VALUE"""),"MBBS 2020")</f>
        <v>MBBS 2020</v>
      </c>
      <c r="F71" s="21">
        <f>IFERROR(__xludf.DUMMYFUNCTION("""COMPUTED_VALUE"""),7.908126837E9)</f>
        <v>7908126837</v>
      </c>
      <c r="G71" s="21" t="str">
        <f>IFERROR(__xludf.DUMMYFUNCTION("""COMPUTED_VALUE"""),"subhasispanja11@gmail.com")</f>
        <v>subhasispanja11@gmail.com</v>
      </c>
      <c r="H71" s="21" t="str">
        <f>IFERROR(__xludf.DUMMYFUNCTION("""COMPUTED_VALUE"""),"Yes")</f>
        <v>Yes</v>
      </c>
      <c r="I71" s="21" t="str">
        <f>IFERROR(__xludf.DUMMYFUNCTION("""COMPUTED_VALUE"""),"Quiz, Badminton, Poems, Watching and analyzing Bayern Munich football games.")</f>
        <v>Quiz, Badminton, Poems, Watching and analyzing Bayern Munich football games.</v>
      </c>
      <c r="J71" s="21"/>
      <c r="K71" s="21" t="str">
        <f>IFERROR(__xludf.DUMMYFUNCTION("""COMPUTED_VALUE"""),"Arambagh ")</f>
        <v>Arambagh </v>
      </c>
      <c r="L71" s="22" t="str">
        <f>IFERROR(__xludf.DUMMYFUNCTION("""COMPUTED_VALUE"""),"https://drive.google.com/open?id=124crok5AAw7ikRRjYsGq6nRYmxtyzGdL")</f>
        <v>https://drive.google.com/open?id=124crok5AAw7ikRRjYsGq6nRYmxtyzGdL</v>
      </c>
      <c r="M71" s="22" t="str">
        <f>IFERROR(__xludf.DUMMYFUNCTION("""COMPUTED_VALUE"""),"https://drive.google.com/open?id=1zW8WVLi6_3sWq2Ftmyb2_GxImDfZVuTc")</f>
        <v>https://drive.google.com/open?id=1zW8WVLi6_3sWq2Ftmyb2_GxImDfZVuTc</v>
      </c>
      <c r="N71" s="21" t="str">
        <f>IFERROR(__xludf.DUMMYFUNCTION("""COMPUTED_VALUE"""),"Sridhar Panja")</f>
        <v>Sridhar Panja</v>
      </c>
      <c r="O71" s="21" t="str">
        <f>IFERROR(__xludf.DUMMYFUNCTION("""COMPUTED_VALUE"""),"LIC AAO Officer")</f>
        <v>LIC AAO Officer</v>
      </c>
      <c r="P71" s="21" t="str">
        <f>IFERROR(__xludf.DUMMYFUNCTION("""COMPUTED_VALUE"""),"Arambagh ")</f>
        <v>Arambagh </v>
      </c>
      <c r="Q71" s="21">
        <f>IFERROR(__xludf.DUMMYFUNCTION("""COMPUTED_VALUE"""),7.908989497E9)</f>
        <v>7908989497</v>
      </c>
      <c r="R71" s="21" t="str">
        <f>IFERROR(__xludf.DUMMYFUNCTION("""COMPUTED_VALUE"""),"Ambika Panja")</f>
        <v>Ambika Panja</v>
      </c>
      <c r="S71" s="21" t="str">
        <f>IFERROR(__xludf.DUMMYFUNCTION("""COMPUTED_VALUE"""),"Nurse (West Bengal Staff Nurse)")</f>
        <v>Nurse (West Bengal Staff Nurse)</v>
      </c>
      <c r="T71" s="21" t="str">
        <f>IFERROR(__xludf.DUMMYFUNCTION("""COMPUTED_VALUE"""),"Arambagh ")</f>
        <v>Arambagh </v>
      </c>
      <c r="U71" s="21">
        <f>IFERROR(__xludf.DUMMYFUNCTION("""COMPUTED_VALUE"""),9.474663399E9)</f>
        <v>9474663399</v>
      </c>
      <c r="V71" s="21">
        <f>IFERROR(__xludf.DUMMYFUNCTION("""COMPUTED_VALUE"""),2.0)</f>
        <v>2</v>
      </c>
      <c r="W71" s="21" t="str">
        <f>IFERROR(__xludf.DUMMYFUNCTION("""COMPUTED_VALUE"""),"Sridhar Panja ")</f>
        <v>Sridhar Panja </v>
      </c>
      <c r="X71" s="21" t="str">
        <f>IFERROR(__xludf.DUMMYFUNCTION("""COMPUTED_VALUE"""),"Father")</f>
        <v>Father</v>
      </c>
      <c r="Y71" s="21" t="str">
        <f>IFERROR(__xludf.DUMMYFUNCTION("""COMPUTED_VALUE"""),"Ambika Panja ")</f>
        <v>Ambika Panja </v>
      </c>
      <c r="Z71" s="21" t="str">
        <f>IFERROR(__xludf.DUMMYFUNCTION("""COMPUTED_VALUE"""),"Mother ")</f>
        <v>Mother </v>
      </c>
      <c r="AA71" s="21" t="str">
        <f>IFERROR(__xludf.DUMMYFUNCTION("""COMPUTED_VALUE"""),"Non-Veg")</f>
        <v>Non-Veg</v>
      </c>
      <c r="AB71" s="21" t="str">
        <f>IFERROR(__xludf.DUMMYFUNCTION("""COMPUTED_VALUE"""),"Non-Veg")</f>
        <v>Non-Veg</v>
      </c>
      <c r="AC71" s="21" t="str">
        <f>IFERROR(__xludf.DUMMYFUNCTION("""COMPUTED_VALUE"""),"Veg")</f>
        <v>Veg</v>
      </c>
      <c r="AD71" s="21" t="str">
        <f>IFERROR(__xludf.DUMMYFUNCTION("""COMPUTED_VALUE"""),"Bus Drop Service not needed")</f>
        <v>Bus Drop Service not needed</v>
      </c>
      <c r="AE71" s="21"/>
    </row>
    <row r="72" ht="22.5" customHeight="1">
      <c r="A72" s="18">
        <f>IFERROR(__xludf.DUMMYFUNCTION("""COMPUTED_VALUE"""),46264.72327453704)</f>
        <v>46264.72327</v>
      </c>
      <c r="B72" s="21" t="str">
        <f>IFERROR(__xludf.DUMMYFUNCTION("""COMPUTED_VALUE"""),"ashish.mbbs-2020@aiimskalyani.edu.in")</f>
        <v>ashish.mbbs-2020@aiimskalyani.edu.in</v>
      </c>
      <c r="C72" s="21" t="str">
        <f>IFERROR(__xludf.DUMMYFUNCTION("""COMPUTED_VALUE"""),"ASHISH GAURAV ")</f>
        <v>ASHISH GAURAV </v>
      </c>
      <c r="D72" s="21">
        <f>IFERROR(__xludf.DUMMYFUNCTION("""COMPUTED_VALUE"""),2.0200176E7)</f>
        <v>20200176</v>
      </c>
      <c r="E72" s="21" t="str">
        <f>IFERROR(__xludf.DUMMYFUNCTION("""COMPUTED_VALUE"""),"MBBS 2020")</f>
        <v>MBBS 2020</v>
      </c>
      <c r="F72" s="21">
        <f>IFERROR(__xludf.DUMMYFUNCTION("""COMPUTED_VALUE"""),7.35245305E9)</f>
        <v>7352453050</v>
      </c>
      <c r="G72" s="21" t="str">
        <f>IFERROR(__xludf.DUMMYFUNCTION("""COMPUTED_VALUE"""),"gauravdrashish@gmail.com")</f>
        <v>gauravdrashish@gmail.com</v>
      </c>
      <c r="H72" s="21" t="str">
        <f>IFERROR(__xludf.DUMMYFUNCTION("""COMPUTED_VALUE"""),"Yes")</f>
        <v>Yes</v>
      </c>
      <c r="I72" s="21" t="str">
        <f>IFERROR(__xludf.DUMMYFUNCTION("""COMPUTED_VALUE"""),"Playing cricket ")</f>
        <v>Playing cricket </v>
      </c>
      <c r="J72" s="21" t="str">
        <f>IFERROR(__xludf.DUMMYFUNCTION("""COMPUTED_VALUE"""),"Completed ICMR STS RESEARCH PROJECT ")</f>
        <v>Completed ICMR STS RESEARCH PROJECT </v>
      </c>
      <c r="K72" s="21" t="str">
        <f>IFERROR(__xludf.DUMMYFUNCTION("""COMPUTED_VALUE"""),"Mashrak, chapra")</f>
        <v>Mashrak, chapra</v>
      </c>
      <c r="L72" s="22" t="str">
        <f>IFERROR(__xludf.DUMMYFUNCTION("""COMPUTED_VALUE"""),"https://drive.google.com/open?id=1exP8iApsSJz-fQoCCg6_C_zjXxKagc7N")</f>
        <v>https://drive.google.com/open?id=1exP8iApsSJz-fQoCCg6_C_zjXxKagc7N</v>
      </c>
      <c r="M72" s="22" t="str">
        <f>IFERROR(__xludf.DUMMYFUNCTION("""COMPUTED_VALUE"""),"https://drive.google.com/open?id=1cm90fqXv2zVDf7h9fbEs9F8ucMNpHqwB")</f>
        <v>https://drive.google.com/open?id=1cm90fqXv2zVDf7h9fbEs9F8ucMNpHqwB</v>
      </c>
      <c r="N72" s="21" t="str">
        <f>IFERROR(__xludf.DUMMYFUNCTION("""COMPUTED_VALUE"""),"Jay kishor singh ")</f>
        <v>Jay kishor singh </v>
      </c>
      <c r="O72" s="21" t="str">
        <f>IFERROR(__xludf.DUMMYFUNCTION("""COMPUTED_VALUE"""),"Professor ")</f>
        <v>Professor </v>
      </c>
      <c r="P72" s="21" t="str">
        <f>IFERROR(__xludf.DUMMYFUNCTION("""COMPUTED_VALUE"""),"Mashrak ")</f>
        <v>Mashrak </v>
      </c>
      <c r="Q72" s="21">
        <f>IFERROR(__xludf.DUMMYFUNCTION("""COMPUTED_VALUE"""),9.334789078E9)</f>
        <v>9334789078</v>
      </c>
      <c r="R72" s="21" t="str">
        <f>IFERROR(__xludf.DUMMYFUNCTION("""COMPUTED_VALUE"""),"Ahilya devi ")</f>
        <v>Ahilya devi </v>
      </c>
      <c r="S72" s="21" t="str">
        <f>IFERROR(__xludf.DUMMYFUNCTION("""COMPUTED_VALUE"""),"Housewife ")</f>
        <v>Housewife </v>
      </c>
      <c r="T72" s="21" t="str">
        <f>IFERROR(__xludf.DUMMYFUNCTION("""COMPUTED_VALUE"""),"Mashrak ")</f>
        <v>Mashrak </v>
      </c>
      <c r="U72" s="21">
        <f>IFERROR(__xludf.DUMMYFUNCTION("""COMPUTED_VALUE"""),9.334789078E9)</f>
        <v>9334789078</v>
      </c>
      <c r="V72" s="21">
        <f>IFERROR(__xludf.DUMMYFUNCTION("""COMPUTED_VALUE"""),2.0)</f>
        <v>2</v>
      </c>
      <c r="W72" s="21" t="str">
        <f>IFERROR(__xludf.DUMMYFUNCTION("""COMPUTED_VALUE"""),"Jay kishor singh ")</f>
        <v>Jay kishor singh </v>
      </c>
      <c r="X72" s="21" t="str">
        <f>IFERROR(__xludf.DUMMYFUNCTION("""COMPUTED_VALUE"""),"Father ")</f>
        <v>Father </v>
      </c>
      <c r="Y72" s="21" t="str">
        <f>IFERROR(__xludf.DUMMYFUNCTION("""COMPUTED_VALUE"""),"Ahilya devi ")</f>
        <v>Ahilya devi </v>
      </c>
      <c r="Z72" s="21" t="str">
        <f>IFERROR(__xludf.DUMMYFUNCTION("""COMPUTED_VALUE"""),"Mother ")</f>
        <v>Mother </v>
      </c>
      <c r="AA72" s="21" t="str">
        <f>IFERROR(__xludf.DUMMYFUNCTION("""COMPUTED_VALUE"""),"Veg")</f>
        <v>Veg</v>
      </c>
      <c r="AB72" s="21" t="str">
        <f>IFERROR(__xludf.DUMMYFUNCTION("""COMPUTED_VALUE"""),"Veg")</f>
        <v>Veg</v>
      </c>
      <c r="AC72" s="21" t="str">
        <f>IFERROR(__xludf.DUMMYFUNCTION("""COMPUTED_VALUE"""),"Veg")</f>
        <v>Veg</v>
      </c>
      <c r="AD72" s="21" t="str">
        <f>IFERROR(__xludf.DUMMYFUNCTION("""COMPUTED_VALUE"""),"Bus Drop Service not needed")</f>
        <v>Bus Drop Service not needed</v>
      </c>
      <c r="AE72" s="21">
        <f>IFERROR(__xludf.DUMMYFUNCTION("""COMPUTED_VALUE"""),0.0)</f>
        <v>0</v>
      </c>
    </row>
    <row r="73" ht="22.5" customHeight="1">
      <c r="A73" s="18">
        <f>IFERROR(__xludf.DUMMYFUNCTION("""COMPUTED_VALUE"""),46264.720909490745)</f>
        <v>46264.72091</v>
      </c>
      <c r="B73" s="21" t="str">
        <f>IFERROR(__xludf.DUMMYFUNCTION("""COMPUTED_VALUE"""),"anubhab.mbbs-2020@aiimskalyani.edu.in")</f>
        <v>anubhab.mbbs-2020@aiimskalyani.edu.in</v>
      </c>
      <c r="C73" s="21" t="str">
        <f>IFERROR(__xludf.DUMMYFUNCTION("""COMPUTED_VALUE"""),"Anubhab Saha")</f>
        <v>Anubhab Saha</v>
      </c>
      <c r="D73" s="21">
        <f>IFERROR(__xludf.DUMMYFUNCTION("""COMPUTED_VALUE"""),2.0200169E7)</f>
        <v>20200169</v>
      </c>
      <c r="E73" s="21" t="str">
        <f>IFERROR(__xludf.DUMMYFUNCTION("""COMPUTED_VALUE"""),"MBBS 2020")</f>
        <v>MBBS 2020</v>
      </c>
      <c r="F73" s="21">
        <f>IFERROR(__xludf.DUMMYFUNCTION("""COMPUTED_VALUE"""),9.59118026E9)</f>
        <v>9591180260</v>
      </c>
      <c r="G73" s="21" t="str">
        <f>IFERROR(__xludf.DUMMYFUNCTION("""COMPUTED_VALUE"""),"anubhabsaha.med@gmail.com")</f>
        <v>anubhabsaha.med@gmail.com</v>
      </c>
      <c r="H73" s="21" t="str">
        <f>IFERROR(__xludf.DUMMYFUNCTION("""COMPUTED_VALUE"""),"Yes")</f>
        <v>Yes</v>
      </c>
      <c r="I73" s="21" t="str">
        <f>IFERROR(__xludf.DUMMYFUNCTION("""COMPUTED_VALUE"""),"Quizzing, Listening to Music and and playing Guitar, Reading Novels, Playing Football")</f>
        <v>Quizzing, Listening to Music and and playing Guitar, Reading Novels, Playing Football</v>
      </c>
      <c r="J73" s="21" t="str">
        <f>IFERROR(__xludf.DUMMYFUNCTION("""COMPUTED_VALUE"""),"1. Represented AIIMS Kalyani in various National Open Quizzes (Errol Cowper trophy, Kolkata International Quiz Festival, Kolkata International Sports quiz festival etc)
2. Won Solo Instrumental at JIPMER Intercollege fest (Spandan 2023)
3. Podium finishes"&amp;" in online and offline quizzes organised by AIIMS Bhubaneswar and JIPMER.
4. Represented AIIMS Kalyani in Intercollege Battle of Bands competition in JIPMER and AIIMS Bhubaneswar.
5. Music Club Head of AIIMS Kalyani (2024)")</f>
        <v>1. Represented AIIMS Kalyani in various National Open Quizzes (Errol Cowper trophy, Kolkata International Quiz Festival, Kolkata International Sports quiz festival etc)
2. Won Solo Instrumental at JIPMER Intercollege fest (Spandan 2023)
3. Podium finishes in online and offline quizzes organised by AIIMS Bhubaneswar and JIPMER.
4. Represented AIIMS Kalyani in Intercollege Battle of Bands competition in JIPMER and AIIMS Bhubaneswar.
5. Music Club Head of AIIMS Kalyani (2024)</v>
      </c>
      <c r="K73" s="21" t="str">
        <f>IFERROR(__xludf.DUMMYFUNCTION("""COMPUTED_VALUE"""),"Bangalore")</f>
        <v>Bangalore</v>
      </c>
      <c r="L73" s="22" t="str">
        <f>IFERROR(__xludf.DUMMYFUNCTION("""COMPUTED_VALUE"""),"https://drive.google.com/open?id=1Y6ZcGc2riRBA1oJVHyZfsfZ4dY3i6fjT")</f>
        <v>https://drive.google.com/open?id=1Y6ZcGc2riRBA1oJVHyZfsfZ4dY3i6fjT</v>
      </c>
      <c r="M73" s="22" t="str">
        <f>IFERROR(__xludf.DUMMYFUNCTION("""COMPUTED_VALUE"""),"https://drive.google.com/open?id=1ERvGu6dTpc99Rnh9EJjqrc6E_swukhi7")</f>
        <v>https://drive.google.com/open?id=1ERvGu6dTpc99Rnh9EJjqrc6E_swukhi7</v>
      </c>
      <c r="N73" s="21" t="str">
        <f>IFERROR(__xludf.DUMMYFUNCTION("""COMPUTED_VALUE"""),"Jayanta Kumar Saha")</f>
        <v>Jayanta Kumar Saha</v>
      </c>
      <c r="O73" s="21" t="str">
        <f>IFERROR(__xludf.DUMMYFUNCTION("""COMPUTED_VALUE"""),"Bank Employee, Senior Manager, Indian Bank")</f>
        <v>Bank Employee, Senior Manager, Indian Bank</v>
      </c>
      <c r="P73" s="21" t="str">
        <f>IFERROR(__xludf.DUMMYFUNCTION("""COMPUTED_VALUE"""),"Bangalore")</f>
        <v>Bangalore</v>
      </c>
      <c r="Q73" s="21">
        <f>IFERROR(__xludf.DUMMYFUNCTION("""COMPUTED_VALUE"""),9.945740299E9)</f>
        <v>9945740299</v>
      </c>
      <c r="R73" s="21" t="str">
        <f>IFERROR(__xludf.DUMMYFUNCTION("""COMPUTED_VALUE"""),"Jayeeta Saha")</f>
        <v>Jayeeta Saha</v>
      </c>
      <c r="S73" s="21" t="str">
        <f>IFERROR(__xludf.DUMMYFUNCTION("""COMPUTED_VALUE"""),"Teacher, Assistant teacher, Vidyodaya NAL Nursery School")</f>
        <v>Teacher, Assistant teacher, Vidyodaya NAL Nursery School</v>
      </c>
      <c r="T73" s="21" t="str">
        <f>IFERROR(__xludf.DUMMYFUNCTION("""COMPUTED_VALUE"""),"Bangalore")</f>
        <v>Bangalore</v>
      </c>
      <c r="U73" s="21">
        <f>IFERROR(__xludf.DUMMYFUNCTION("""COMPUTED_VALUE"""),9.731863312E9)</f>
        <v>9731863312</v>
      </c>
      <c r="V73" s="21">
        <f>IFERROR(__xludf.DUMMYFUNCTION("""COMPUTED_VALUE"""),2.0)</f>
        <v>2</v>
      </c>
      <c r="W73" s="21" t="str">
        <f>IFERROR(__xludf.DUMMYFUNCTION("""COMPUTED_VALUE"""),"Jayanta Kumar Saha")</f>
        <v>Jayanta Kumar Saha</v>
      </c>
      <c r="X73" s="21" t="str">
        <f>IFERROR(__xludf.DUMMYFUNCTION("""COMPUTED_VALUE"""),"Father")</f>
        <v>Father</v>
      </c>
      <c r="Y73" s="21" t="str">
        <f>IFERROR(__xludf.DUMMYFUNCTION("""COMPUTED_VALUE"""),"Jayeeta Saha")</f>
        <v>Jayeeta Saha</v>
      </c>
      <c r="Z73" s="21" t="str">
        <f>IFERROR(__xludf.DUMMYFUNCTION("""COMPUTED_VALUE"""),"Mother")</f>
        <v>Mother</v>
      </c>
      <c r="AA73" s="21" t="str">
        <f>IFERROR(__xludf.DUMMYFUNCTION("""COMPUTED_VALUE"""),"Non-Veg")</f>
        <v>Non-Veg</v>
      </c>
      <c r="AB73" s="21" t="str">
        <f>IFERROR(__xludf.DUMMYFUNCTION("""COMPUTED_VALUE"""),"Non-Veg")</f>
        <v>Non-Veg</v>
      </c>
      <c r="AC73" s="21" t="str">
        <f>IFERROR(__xludf.DUMMYFUNCTION("""COMPUTED_VALUE"""),"Non-Veg")</f>
        <v>Non-Veg</v>
      </c>
      <c r="AD73" s="21" t="str">
        <f>IFERROR(__xludf.DUMMYFUNCTION("""COMPUTED_VALUE"""),"Bus Drop Service not needed")</f>
        <v>Bus Drop Service not needed</v>
      </c>
      <c r="AE73" s="21">
        <f>IFERROR(__xludf.DUMMYFUNCTION("""COMPUTED_VALUE"""),0.0)</f>
        <v>0</v>
      </c>
    </row>
    <row r="74" ht="22.5" customHeight="1">
      <c r="A74" s="18">
        <f>IFERROR(__xludf.DUMMYFUNCTION("""COMPUTED_VALUE"""),46264.672823796296)</f>
        <v>46264.67282</v>
      </c>
      <c r="B74" s="21" t="str">
        <f>IFERROR(__xludf.DUMMYFUNCTION("""COMPUTED_VALUE"""),"pritam.mbbs-2020@aiimskalyani.edu.in")</f>
        <v>pritam.mbbs-2020@aiimskalyani.edu.in</v>
      </c>
      <c r="C74" s="21" t="str">
        <f>IFERROR(__xludf.DUMMYFUNCTION("""COMPUTED_VALUE"""),"PRITAM KUMAR DAS")</f>
        <v>PRITAM KUMAR DAS</v>
      </c>
      <c r="D74" s="21" t="str">
        <f>IFERROR(__xludf.DUMMYFUNCTION("""COMPUTED_VALUE"""),"70 / 202001120")</f>
        <v>70 / 202001120</v>
      </c>
      <c r="E74" s="21" t="str">
        <f>IFERROR(__xludf.DUMMYFUNCTION("""COMPUTED_VALUE"""),"MBBS 2020")</f>
        <v>MBBS 2020</v>
      </c>
      <c r="F74" s="21">
        <f>IFERROR(__xludf.DUMMYFUNCTION("""COMPUTED_VALUE"""),9.903416146E9)</f>
        <v>9903416146</v>
      </c>
      <c r="G74" s="21" t="str">
        <f>IFERROR(__xludf.DUMMYFUNCTION("""COMPUTED_VALUE"""),"pritamkdas21@gmail.com")</f>
        <v>pritamkdas21@gmail.com</v>
      </c>
      <c r="H74" s="21" t="str">
        <f>IFERROR(__xludf.DUMMYFUNCTION("""COMPUTED_VALUE"""),"Yes")</f>
        <v>Yes</v>
      </c>
      <c r="I74" s="21"/>
      <c r="J74" s="21"/>
      <c r="K74" s="21" t="str">
        <f>IFERROR(__xludf.DUMMYFUNCTION("""COMPUTED_VALUE"""),"Ara - Bihar")</f>
        <v>Ara - Bihar</v>
      </c>
      <c r="L74" s="22" t="str">
        <f>IFERROR(__xludf.DUMMYFUNCTION("""COMPUTED_VALUE"""),"https://drive.google.com/open?id=1FeO19y_W8VWcjEZdY_YIZLqTIsi4H8S3")</f>
        <v>https://drive.google.com/open?id=1FeO19y_W8VWcjEZdY_YIZLqTIsi4H8S3</v>
      </c>
      <c r="M74" s="22" t="str">
        <f>IFERROR(__xludf.DUMMYFUNCTION("""COMPUTED_VALUE"""),"https://drive.google.com/open?id=1BZbbjvux3p2XroHfFauBl6n9_CcTVHFh")</f>
        <v>https://drive.google.com/open?id=1BZbbjvux3p2XroHfFauBl6n9_CcTVHFh</v>
      </c>
      <c r="N74" s="21" t="str">
        <f>IFERROR(__xludf.DUMMYFUNCTION("""COMPUTED_VALUE"""),"Uma Shankar Das ")</f>
        <v>Uma Shankar Das </v>
      </c>
      <c r="O74" s="21" t="str">
        <f>IFERROR(__xludf.DUMMYFUNCTION("""COMPUTED_VALUE"""),"Govt. service / ATT")</f>
        <v>Govt. service / ATT</v>
      </c>
      <c r="P74" s="21" t="str">
        <f>IFERROR(__xludf.DUMMYFUNCTION("""COMPUTED_VALUE"""),"Kolkata ")</f>
        <v>Kolkata </v>
      </c>
      <c r="Q74" s="21">
        <f>IFERROR(__xludf.DUMMYFUNCTION("""COMPUTED_VALUE"""),8.27293834E9)</f>
        <v>8272938340</v>
      </c>
      <c r="R74" s="21" t="str">
        <f>IFERROR(__xludf.DUMMYFUNCTION("""COMPUTED_VALUE"""),"Nilam Devi ")</f>
        <v>Nilam Devi </v>
      </c>
      <c r="S74" s="21" t="str">
        <f>IFERROR(__xludf.DUMMYFUNCTION("""COMPUTED_VALUE"""),"Housewife ")</f>
        <v>Housewife </v>
      </c>
      <c r="T74" s="21" t="str">
        <f>IFERROR(__xludf.DUMMYFUNCTION("""COMPUTED_VALUE"""),"Kori ( Bihar)")</f>
        <v>Kori ( Bihar)</v>
      </c>
      <c r="U74" s="21">
        <f>IFERROR(__xludf.DUMMYFUNCTION("""COMPUTED_VALUE"""),9.477399505E9)</f>
        <v>9477399505</v>
      </c>
      <c r="V74" s="21">
        <f>IFERROR(__xludf.DUMMYFUNCTION("""COMPUTED_VALUE"""),2.0)</f>
        <v>2</v>
      </c>
      <c r="W74" s="21" t="str">
        <f>IFERROR(__xludf.DUMMYFUNCTION("""COMPUTED_VALUE"""),"Uma Shankar Das ")</f>
        <v>Uma Shankar Das </v>
      </c>
      <c r="X74" s="21" t="str">
        <f>IFERROR(__xludf.DUMMYFUNCTION("""COMPUTED_VALUE"""),"Father")</f>
        <v>Father</v>
      </c>
      <c r="Y74" s="21" t="str">
        <f>IFERROR(__xludf.DUMMYFUNCTION("""COMPUTED_VALUE"""),"Nilam devi")</f>
        <v>Nilam devi</v>
      </c>
      <c r="Z74" s="21" t="str">
        <f>IFERROR(__xludf.DUMMYFUNCTION("""COMPUTED_VALUE"""),"Mother")</f>
        <v>Mother</v>
      </c>
      <c r="AA74" s="21" t="str">
        <f>IFERROR(__xludf.DUMMYFUNCTION("""COMPUTED_VALUE"""),"Non-Veg")</f>
        <v>Non-Veg</v>
      </c>
      <c r="AB74" s="21" t="str">
        <f>IFERROR(__xludf.DUMMYFUNCTION("""COMPUTED_VALUE"""),"Non-Veg")</f>
        <v>Non-Veg</v>
      </c>
      <c r="AC74" s="21" t="str">
        <f>IFERROR(__xludf.DUMMYFUNCTION("""COMPUTED_VALUE"""),"Non-Veg")</f>
        <v>Non-Veg</v>
      </c>
      <c r="AD74" s="21" t="str">
        <f>IFERROR(__xludf.DUMMYFUNCTION("""COMPUTED_VALUE"""),"Bus Drop Service not needed")</f>
        <v>Bus Drop Service not needed</v>
      </c>
      <c r="AE74" s="21">
        <f>IFERROR(__xludf.DUMMYFUNCTION("""COMPUTED_VALUE"""),0.0)</f>
        <v>0</v>
      </c>
    </row>
    <row r="75" ht="22.5" customHeight="1">
      <c r="A75" s="18">
        <f>IFERROR(__xludf.DUMMYFUNCTION("""COMPUTED_VALUE"""),46264.667765)</f>
        <v>46264.66777</v>
      </c>
      <c r="B75" s="21" t="str">
        <f>IFERROR(__xludf.DUMMYFUNCTION("""COMPUTED_VALUE"""),"gowtham.mbbs-2020@aiimskalyani.edu.in")</f>
        <v>gowtham.mbbs-2020@aiimskalyani.edu.in</v>
      </c>
      <c r="C75" s="21" t="str">
        <f>IFERROR(__xludf.DUMMYFUNCTION("""COMPUTED_VALUE"""),"GOWTHAM S")</f>
        <v>GOWTHAM S</v>
      </c>
      <c r="D75" s="21">
        <f>IFERROR(__xludf.DUMMYFUNCTION("""COMPUTED_VALUE"""),2.0200199E7)</f>
        <v>20200199</v>
      </c>
      <c r="E75" s="21" t="str">
        <f>IFERROR(__xludf.DUMMYFUNCTION("""COMPUTED_VALUE"""),"MBBS 2020")</f>
        <v>MBBS 2020</v>
      </c>
      <c r="F75" s="21">
        <f>IFERROR(__xludf.DUMMYFUNCTION("""COMPUTED_VALUE"""),8.113071161E9)</f>
        <v>8113071161</v>
      </c>
      <c r="G75" s="21" t="str">
        <f>IFERROR(__xludf.DUMMYFUNCTION("""COMPUTED_VALUE"""),"gowtham.mbbs-2020@aiimskalyani.edu.in")</f>
        <v>gowtham.mbbs-2020@aiimskalyani.edu.in</v>
      </c>
      <c r="H75" s="21" t="str">
        <f>IFERROR(__xludf.DUMMYFUNCTION("""COMPUTED_VALUE"""),"Yes")</f>
        <v>Yes</v>
      </c>
      <c r="I75" s="21" t="str">
        <f>IFERROR(__xludf.DUMMYFUNCTION("""COMPUTED_VALUE"""),"Football enthusiast, occasional quizzing, movies tv shows and animes, Novels and other stories")</f>
        <v>Football enthusiast, occasional quizzing, movies tv shows and animes, Novels and other stories</v>
      </c>
      <c r="J75" s="21" t="str">
        <f>IFERROR(__xludf.DUMMYFUNCTION("""COMPUTED_VALUE"""),"Was in the aiims kalyani football team, was captain of the green house football team during 3rd year, led the team to the finals. Won football inter house house match in 2nd and final year")</f>
        <v>Was in the aiims kalyani football team, was captain of the green house football team during 3rd year, led the team to the finals. Won football inter house house match in 2nd and final year</v>
      </c>
      <c r="K75" s="21" t="str">
        <f>IFERROR(__xludf.DUMMYFUNCTION("""COMPUTED_VALUE"""),"Chathenkary, Thiruvalla, Kerala")</f>
        <v>Chathenkary, Thiruvalla, Kerala</v>
      </c>
      <c r="L75" s="22" t="str">
        <f>IFERROR(__xludf.DUMMYFUNCTION("""COMPUTED_VALUE"""),"https://drive.google.com/open?id=14KxPGkJYWPipEttIFlq04mALjst5dPU7")</f>
        <v>https://drive.google.com/open?id=14KxPGkJYWPipEttIFlq04mALjst5dPU7</v>
      </c>
      <c r="M75" s="22" t="str">
        <f>IFERROR(__xludf.DUMMYFUNCTION("""COMPUTED_VALUE"""),"https://drive.google.com/open?id=1Wqoq6QmYVL-NSZllrfdkNyK-hRfq1ihk")</f>
        <v>https://drive.google.com/open?id=1Wqoq6QmYVL-NSZllrfdkNyK-hRfq1ihk</v>
      </c>
      <c r="N75" s="21" t="str">
        <f>IFERROR(__xludf.DUMMYFUNCTION("""COMPUTED_VALUE"""),"Santhosh G")</f>
        <v>Santhosh G</v>
      </c>
      <c r="O75" s="21" t="str">
        <f>IFERROR(__xludf.DUMMYFUNCTION("""COMPUTED_VALUE"""),"Advocate ")</f>
        <v>Advocate </v>
      </c>
      <c r="P75" s="21" t="str">
        <f>IFERROR(__xludf.DUMMYFUNCTION("""COMPUTED_VALUE"""),"Thiruvalla")</f>
        <v>Thiruvalla</v>
      </c>
      <c r="Q75" s="21">
        <f>IFERROR(__xludf.DUMMYFUNCTION("""COMPUTED_VALUE"""),9.847614625E9)</f>
        <v>9847614625</v>
      </c>
      <c r="R75" s="21" t="str">
        <f>IFERROR(__xludf.DUMMYFUNCTION("""COMPUTED_VALUE"""),"Sobha VK")</f>
        <v>Sobha VK</v>
      </c>
      <c r="S75" s="21" t="str">
        <f>IFERROR(__xludf.DUMMYFUNCTION("""COMPUTED_VALUE"""),"Principal, Nellimoodu New B.Ed College")</f>
        <v>Principal, Nellimoodu New B.Ed College</v>
      </c>
      <c r="T75" s="21" t="str">
        <f>IFERROR(__xludf.DUMMYFUNCTION("""COMPUTED_VALUE"""),"Thiruvalla")</f>
        <v>Thiruvalla</v>
      </c>
      <c r="U75" s="21">
        <f>IFERROR(__xludf.DUMMYFUNCTION("""COMPUTED_VALUE"""),8.84846664E9)</f>
        <v>8848466640</v>
      </c>
      <c r="V75" s="21">
        <f>IFERROR(__xludf.DUMMYFUNCTION("""COMPUTED_VALUE"""),2.0)</f>
        <v>2</v>
      </c>
      <c r="W75" s="21" t="str">
        <f>IFERROR(__xludf.DUMMYFUNCTION("""COMPUTED_VALUE"""),"Santhosh G")</f>
        <v>Santhosh G</v>
      </c>
      <c r="X75" s="21" t="str">
        <f>IFERROR(__xludf.DUMMYFUNCTION("""COMPUTED_VALUE"""),"Father")</f>
        <v>Father</v>
      </c>
      <c r="Y75" s="21" t="str">
        <f>IFERROR(__xludf.DUMMYFUNCTION("""COMPUTED_VALUE"""),"Sobha VK")</f>
        <v>Sobha VK</v>
      </c>
      <c r="Z75" s="21" t="str">
        <f>IFERROR(__xludf.DUMMYFUNCTION("""COMPUTED_VALUE"""),"Mother")</f>
        <v>Mother</v>
      </c>
      <c r="AA75" s="21" t="str">
        <f>IFERROR(__xludf.DUMMYFUNCTION("""COMPUTED_VALUE"""),"Non-Veg")</f>
        <v>Non-Veg</v>
      </c>
      <c r="AB75" s="21" t="str">
        <f>IFERROR(__xludf.DUMMYFUNCTION("""COMPUTED_VALUE"""),"Non-Veg")</f>
        <v>Non-Veg</v>
      </c>
      <c r="AC75" s="21" t="str">
        <f>IFERROR(__xludf.DUMMYFUNCTION("""COMPUTED_VALUE"""),"Non-Veg")</f>
        <v>Non-Veg</v>
      </c>
      <c r="AD75" s="21" t="str">
        <f>IFERROR(__xludf.DUMMYFUNCTION("""COMPUTED_VALUE"""),"Bus Drop Service not needed")</f>
        <v>Bus Drop Service not needed</v>
      </c>
      <c r="AE75" s="21">
        <f>IFERROR(__xludf.DUMMYFUNCTION("""COMPUTED_VALUE"""),0.0)</f>
        <v>0</v>
      </c>
    </row>
    <row r="76" ht="22.5" customHeight="1">
      <c r="A76" s="18">
        <f>IFERROR(__xludf.DUMMYFUNCTION("""COMPUTED_VALUE"""),46264.64908991898)</f>
        <v>46264.64909</v>
      </c>
      <c r="B76" s="21" t="str">
        <f>IFERROR(__xludf.DUMMYFUNCTION("""COMPUTED_VALUE"""),"anoushka.mbbs-2020@aiimskalyani.edu.in")</f>
        <v>anoushka.mbbs-2020@aiimskalyani.edu.in</v>
      </c>
      <c r="C76" s="21" t="str">
        <f>IFERROR(__xludf.DUMMYFUNCTION("""COMPUTED_VALUE"""),"ANOUSHKA CHAUDHURY")</f>
        <v>ANOUSHKA CHAUDHURY</v>
      </c>
      <c r="D76" s="21" t="str">
        <f>IFERROR(__xludf.DUMMYFUNCTION("""COMPUTED_VALUE"""),"18/20200168")</f>
        <v>18/20200168</v>
      </c>
      <c r="E76" s="21" t="str">
        <f>IFERROR(__xludf.DUMMYFUNCTION("""COMPUTED_VALUE"""),"MBBS 2020")</f>
        <v>MBBS 2020</v>
      </c>
      <c r="F76" s="21">
        <f>IFERROR(__xludf.DUMMYFUNCTION("""COMPUTED_VALUE"""),8.777643438E9)</f>
        <v>8777643438</v>
      </c>
      <c r="G76" s="21" t="str">
        <f>IFERROR(__xludf.DUMMYFUNCTION("""COMPUTED_VALUE"""),"aan012013@gmail.com")</f>
        <v>aan012013@gmail.com</v>
      </c>
      <c r="H76" s="21" t="str">
        <f>IFERROR(__xludf.DUMMYFUNCTION("""COMPUTED_VALUE"""),"Yes")</f>
        <v>Yes</v>
      </c>
      <c r="I76" s="21" t="str">
        <f>IFERROR(__xludf.DUMMYFUNCTION("""COMPUTED_VALUE"""),"Classical dance, quizzing")</f>
        <v>Classical dance, quizzing</v>
      </c>
      <c r="J76" s="21" t="str">
        <f>IFERROR(__xludf.DUMMYFUNCTION("""COMPUTED_VALUE"""),"Received the ICMR Short Term Studentship (STS) grant 2022, Completed an 8-year Bharatnatyam course at Kalamandalam Calcutta ")</f>
        <v>Received the ICMR Short Term Studentship (STS) grant 2022, Completed an 8-year Bharatnatyam course at Kalamandalam Calcutta </v>
      </c>
      <c r="K76" s="21" t="str">
        <f>IFERROR(__xludf.DUMMYFUNCTION("""COMPUTED_VALUE"""),"Kolkata")</f>
        <v>Kolkata</v>
      </c>
      <c r="L76" s="22" t="str">
        <f>IFERROR(__xludf.DUMMYFUNCTION("""COMPUTED_VALUE"""),"https://drive.google.com/open?id=1agx6ZfcmuLblPYU7OsUM2ZwLLKrSIMl7")</f>
        <v>https://drive.google.com/open?id=1agx6ZfcmuLblPYU7OsUM2ZwLLKrSIMl7</v>
      </c>
      <c r="M76" s="22" t="str">
        <f>IFERROR(__xludf.DUMMYFUNCTION("""COMPUTED_VALUE"""),"https://drive.google.com/open?id=1HpMDpGCD4c3_33yBOdQz4f5MkCXQfSgn")</f>
        <v>https://drive.google.com/open?id=1HpMDpGCD4c3_33yBOdQz4f5MkCXQfSgn</v>
      </c>
      <c r="N76" s="21" t="str">
        <f>IFERROR(__xludf.DUMMYFUNCTION("""COMPUTED_VALUE"""),"Kaushik Chaudhury")</f>
        <v>Kaushik Chaudhury</v>
      </c>
      <c r="O76" s="21" t="str">
        <f>IFERROR(__xludf.DUMMYFUNCTION("""COMPUTED_VALUE"""),"Software Engineer")</f>
        <v>Software Engineer</v>
      </c>
      <c r="P76" s="21" t="str">
        <f>IFERROR(__xludf.DUMMYFUNCTION("""COMPUTED_VALUE"""),"Kolkata")</f>
        <v>Kolkata</v>
      </c>
      <c r="Q76" s="21">
        <f>IFERROR(__xludf.DUMMYFUNCTION("""COMPUTED_VALUE"""),7.980342566E9)</f>
        <v>7980342566</v>
      </c>
      <c r="R76" s="21" t="str">
        <f>IFERROR(__xludf.DUMMYFUNCTION("""COMPUTED_VALUE"""),"Olli Chaudhury")</f>
        <v>Olli Chaudhury</v>
      </c>
      <c r="S76" s="21" t="str">
        <f>IFERROR(__xludf.DUMMYFUNCTION("""COMPUTED_VALUE"""),"Teacher")</f>
        <v>Teacher</v>
      </c>
      <c r="T76" s="21" t="str">
        <f>IFERROR(__xludf.DUMMYFUNCTION("""COMPUTED_VALUE"""),"Kolkata")</f>
        <v>Kolkata</v>
      </c>
      <c r="U76" s="21">
        <f>IFERROR(__xludf.DUMMYFUNCTION("""COMPUTED_VALUE"""),8.98106359E9)</f>
        <v>8981063590</v>
      </c>
      <c r="V76" s="21">
        <f>IFERROR(__xludf.DUMMYFUNCTION("""COMPUTED_VALUE"""),2.0)</f>
        <v>2</v>
      </c>
      <c r="W76" s="21" t="str">
        <f>IFERROR(__xludf.DUMMYFUNCTION("""COMPUTED_VALUE"""),"Olli Chaudhury")</f>
        <v>Olli Chaudhury</v>
      </c>
      <c r="X76" s="21" t="str">
        <f>IFERROR(__xludf.DUMMYFUNCTION("""COMPUTED_VALUE"""),"Mother")</f>
        <v>Mother</v>
      </c>
      <c r="Y76" s="21" t="str">
        <f>IFERROR(__xludf.DUMMYFUNCTION("""COMPUTED_VALUE"""),"Kaushik Chaudhury")</f>
        <v>Kaushik Chaudhury</v>
      </c>
      <c r="Z76" s="21" t="str">
        <f>IFERROR(__xludf.DUMMYFUNCTION("""COMPUTED_VALUE"""),"Father")</f>
        <v>Father</v>
      </c>
      <c r="AA76" s="21" t="str">
        <f>IFERROR(__xludf.DUMMYFUNCTION("""COMPUTED_VALUE"""),"Non-Veg")</f>
        <v>Non-Veg</v>
      </c>
      <c r="AB76" s="21" t="str">
        <f>IFERROR(__xludf.DUMMYFUNCTION("""COMPUTED_VALUE"""),"Non-Veg")</f>
        <v>Non-Veg</v>
      </c>
      <c r="AC76" s="21" t="str">
        <f>IFERROR(__xludf.DUMMYFUNCTION("""COMPUTED_VALUE"""),"Non-Veg")</f>
        <v>Non-Veg</v>
      </c>
      <c r="AD76" s="21" t="str">
        <f>IFERROR(__xludf.DUMMYFUNCTION("""COMPUTED_VALUE"""),"Bus Drop Service not needed")</f>
        <v>Bus Drop Service not needed</v>
      </c>
      <c r="AE76" s="21"/>
    </row>
    <row r="77" ht="22.5" customHeight="1">
      <c r="A77" s="18">
        <f>IFERROR(__xludf.DUMMYFUNCTION("""COMPUTED_VALUE"""),46264.64436519676)</f>
        <v>46264.64437</v>
      </c>
      <c r="B77" s="21" t="str">
        <f>IFERROR(__xludf.DUMMYFUNCTION("""COMPUTED_VALUE"""),"shivam.mbbs-2020@aiimskalyani.edu.in")</f>
        <v>shivam.mbbs-2020@aiimskalyani.edu.in</v>
      </c>
      <c r="C77" s="21" t="str">
        <f>IFERROR(__xludf.DUMMYFUNCTION("""COMPUTED_VALUE"""),"SHIVAM RAJESH CHAUHAN")</f>
        <v>SHIVAM RAJESH CHAUHAN</v>
      </c>
      <c r="D77" s="21">
        <f>IFERROR(__xludf.DUMMYFUNCTION("""COMPUTED_VALUE"""),2.02001141E8)</f>
        <v>202001141</v>
      </c>
      <c r="E77" s="21" t="str">
        <f>IFERROR(__xludf.DUMMYFUNCTION("""COMPUTED_VALUE"""),"MBBS 2020")</f>
        <v>MBBS 2020</v>
      </c>
      <c r="F77" s="21">
        <f>IFERROR(__xludf.DUMMYFUNCTION("""COMPUTED_VALUE"""),9.958065849E9)</f>
        <v>9958065849</v>
      </c>
      <c r="G77" s="21" t="str">
        <f>IFERROR(__xludf.DUMMYFUNCTION("""COMPUTED_VALUE"""),"shivam10chauhan@gmail.com")</f>
        <v>shivam10chauhan@gmail.com</v>
      </c>
      <c r="H77" s="21" t="str">
        <f>IFERROR(__xludf.DUMMYFUNCTION("""COMPUTED_VALUE"""),"Yes")</f>
        <v>Yes</v>
      </c>
      <c r="I77" s="21" t="str">
        <f>IFERROR(__xludf.DUMMYFUNCTION("""COMPUTED_VALUE"""),"Badminton")</f>
        <v>Badminton</v>
      </c>
      <c r="J77" s="21"/>
      <c r="K77" s="21" t="str">
        <f>IFERROR(__xludf.DUMMYFUNCTION("""COMPUTED_VALUE"""),"Gurgaon")</f>
        <v>Gurgaon</v>
      </c>
      <c r="L77" s="22" t="str">
        <f>IFERROR(__xludf.DUMMYFUNCTION("""COMPUTED_VALUE"""),"https://drive.google.com/open?id=1u8imoqsNrP_lVTtGQ21ZqWYQszN6ixOv")</f>
        <v>https://drive.google.com/open?id=1u8imoqsNrP_lVTtGQ21ZqWYQszN6ixOv</v>
      </c>
      <c r="M77" s="22" t="str">
        <f>IFERROR(__xludf.DUMMYFUNCTION("""COMPUTED_VALUE"""),"https://drive.google.com/open?id=11SIoYQq9hiWtLLY_sLjDOh8TbZ9sutr4")</f>
        <v>https://drive.google.com/open?id=11SIoYQq9hiWtLLY_sLjDOh8TbZ9sutr4</v>
      </c>
      <c r="N77" s="21" t="str">
        <f>IFERROR(__xludf.DUMMYFUNCTION("""COMPUTED_VALUE"""),"Rajesh Chauhan")</f>
        <v>Rajesh Chauhan</v>
      </c>
      <c r="O77" s="21" t="str">
        <f>IFERROR(__xludf.DUMMYFUNCTION("""COMPUTED_VALUE"""),"Wooden packaging Business/ MBA")</f>
        <v>Wooden packaging Business/ MBA</v>
      </c>
      <c r="P77" s="21" t="str">
        <f>IFERROR(__xludf.DUMMYFUNCTION("""COMPUTED_VALUE"""),"Gurgaon")</f>
        <v>Gurgaon</v>
      </c>
      <c r="Q77" s="21">
        <f>IFERROR(__xludf.DUMMYFUNCTION("""COMPUTED_VALUE"""),9.35090579E9)</f>
        <v>9350905790</v>
      </c>
      <c r="R77" s="21" t="str">
        <f>IFERROR(__xludf.DUMMYFUNCTION("""COMPUTED_VALUE"""),"Sangam Chauhan")</f>
        <v>Sangam Chauhan</v>
      </c>
      <c r="S77" s="21" t="str">
        <f>IFERROR(__xludf.DUMMYFUNCTION("""COMPUTED_VALUE"""),"House wife/ Graduation")</f>
        <v>House wife/ Graduation</v>
      </c>
      <c r="T77" s="21" t="str">
        <f>IFERROR(__xludf.DUMMYFUNCTION("""COMPUTED_VALUE"""),"Gurgaon")</f>
        <v>Gurgaon</v>
      </c>
      <c r="U77" s="21">
        <f>IFERROR(__xludf.DUMMYFUNCTION("""COMPUTED_VALUE"""),8.076650205E9)</f>
        <v>8076650205</v>
      </c>
      <c r="V77" s="21">
        <f>IFERROR(__xludf.DUMMYFUNCTION("""COMPUTED_VALUE"""),2.0)</f>
        <v>2</v>
      </c>
      <c r="W77" s="21" t="str">
        <f>IFERROR(__xludf.DUMMYFUNCTION("""COMPUTED_VALUE"""),"Rajesh Chauhan")</f>
        <v>Rajesh Chauhan</v>
      </c>
      <c r="X77" s="21" t="str">
        <f>IFERROR(__xludf.DUMMYFUNCTION("""COMPUTED_VALUE"""),"Father")</f>
        <v>Father</v>
      </c>
      <c r="Y77" s="21" t="str">
        <f>IFERROR(__xludf.DUMMYFUNCTION("""COMPUTED_VALUE"""),"Sangam Chauhan")</f>
        <v>Sangam Chauhan</v>
      </c>
      <c r="Z77" s="21" t="str">
        <f>IFERROR(__xludf.DUMMYFUNCTION("""COMPUTED_VALUE"""),"Mother")</f>
        <v>Mother</v>
      </c>
      <c r="AA77" s="21" t="str">
        <f>IFERROR(__xludf.DUMMYFUNCTION("""COMPUTED_VALUE"""),"Veg")</f>
        <v>Veg</v>
      </c>
      <c r="AB77" s="21" t="str">
        <f>IFERROR(__xludf.DUMMYFUNCTION("""COMPUTED_VALUE"""),"Veg")</f>
        <v>Veg</v>
      </c>
      <c r="AC77" s="21" t="str">
        <f>IFERROR(__xludf.DUMMYFUNCTION("""COMPUTED_VALUE"""),"Veg")</f>
        <v>Veg</v>
      </c>
      <c r="AD77" s="21" t="str">
        <f>IFERROR(__xludf.DUMMYFUNCTION("""COMPUTED_VALUE"""),"Bus Drop Service not needed")</f>
        <v>Bus Drop Service not needed</v>
      </c>
      <c r="AE77" s="21"/>
    </row>
    <row r="78" ht="22.5" customHeight="1">
      <c r="A78" s="18">
        <f>IFERROR(__xludf.DUMMYFUNCTION("""COMPUTED_VALUE"""),46263.572120682875)</f>
        <v>46263.57212</v>
      </c>
      <c r="B78" s="21" t="str">
        <f>IFERROR(__xludf.DUMMYFUNCTION("""COMPUTED_VALUE"""),"rajshree.mbbs-2020@aiimskalyani.edu.in")</f>
        <v>rajshree.mbbs-2020@aiimskalyani.edu.in</v>
      </c>
      <c r="C78" s="21" t="str">
        <f>IFERROR(__xludf.DUMMYFUNCTION("""COMPUTED_VALUE"""),"RAJSHREE")</f>
        <v>RAJSHREE</v>
      </c>
      <c r="D78" s="21">
        <f>IFERROR(__xludf.DUMMYFUNCTION("""COMPUTED_VALUE"""),2.02001123E8)</f>
        <v>202001123</v>
      </c>
      <c r="E78" s="21" t="str">
        <f>IFERROR(__xludf.DUMMYFUNCTION("""COMPUTED_VALUE"""),"MBBS 2020")</f>
        <v>MBBS 2020</v>
      </c>
      <c r="F78" s="21">
        <f>IFERROR(__xludf.DUMMYFUNCTION("""COMPUTED_VALUE"""),6.204953438E9)</f>
        <v>6204953438</v>
      </c>
      <c r="G78" s="21" t="str">
        <f>IFERROR(__xludf.DUMMYFUNCTION("""COMPUTED_VALUE"""),"rajshree.mbbs-2020@aiimskalyani.edu.in")</f>
        <v>rajshree.mbbs-2020@aiimskalyani.edu.in</v>
      </c>
      <c r="H78" s="21" t="str">
        <f>IFERROR(__xludf.DUMMYFUNCTION("""COMPUTED_VALUE"""),"Yes")</f>
        <v>Yes</v>
      </c>
      <c r="I78" s="21"/>
      <c r="J78" s="21"/>
      <c r="K78" s="21" t="str">
        <f>IFERROR(__xludf.DUMMYFUNCTION("""COMPUTED_VALUE"""),"Patna, Bihar")</f>
        <v>Patna, Bihar</v>
      </c>
      <c r="L78" s="22" t="str">
        <f>IFERROR(__xludf.DUMMYFUNCTION("""COMPUTED_VALUE"""),"https://drive.google.com/open?id=1AEJWkIp2CdrFco8TmKGNB1wVy_07lL4i")</f>
        <v>https://drive.google.com/open?id=1AEJWkIp2CdrFco8TmKGNB1wVy_07lL4i</v>
      </c>
      <c r="M78" s="22" t="str">
        <f>IFERROR(__xludf.DUMMYFUNCTION("""COMPUTED_VALUE"""),"https://drive.google.com/open?id=1LZgv0JIoYsZBwvvIYjddDlYni48T09th")</f>
        <v>https://drive.google.com/open?id=1LZgv0JIoYsZBwvvIYjddDlYni48T09th</v>
      </c>
      <c r="N78" s="21" t="str">
        <f>IFERROR(__xludf.DUMMYFUNCTION("""COMPUTED_VALUE"""),"Satish Kumar Verma")</f>
        <v>Satish Kumar Verma</v>
      </c>
      <c r="O78" s="21" t="str">
        <f>IFERROR(__xludf.DUMMYFUNCTION("""COMPUTED_VALUE"""),"Teacher ;Post Graduate Teacher( Physics)")</f>
        <v>Teacher ;Post Graduate Teacher( Physics)</v>
      </c>
      <c r="P78" s="21" t="str">
        <f>IFERROR(__xludf.DUMMYFUNCTION("""COMPUTED_VALUE"""),"Patna")</f>
        <v>Patna</v>
      </c>
      <c r="Q78" s="21">
        <f>IFERROR(__xludf.DUMMYFUNCTION("""COMPUTED_VALUE"""),9.006630469E9)</f>
        <v>9006630469</v>
      </c>
      <c r="R78" s="21" t="str">
        <f>IFERROR(__xludf.DUMMYFUNCTION("""COMPUTED_VALUE"""),"Ribha Kumari")</f>
        <v>Ribha Kumari</v>
      </c>
      <c r="S78" s="21" t="str">
        <f>IFERROR(__xludf.DUMMYFUNCTION("""COMPUTED_VALUE"""),"House wife")</f>
        <v>House wife</v>
      </c>
      <c r="T78" s="21" t="str">
        <f>IFERROR(__xludf.DUMMYFUNCTION("""COMPUTED_VALUE"""),"Patna ")</f>
        <v>Patna </v>
      </c>
      <c r="U78" s="21">
        <f>IFERROR(__xludf.DUMMYFUNCTION("""COMPUTED_VALUE"""),8.603283341E9)</f>
        <v>8603283341</v>
      </c>
      <c r="V78" s="21">
        <f>IFERROR(__xludf.DUMMYFUNCTION("""COMPUTED_VALUE"""),2.0)</f>
        <v>2</v>
      </c>
      <c r="W78" s="21" t="str">
        <f>IFERROR(__xludf.DUMMYFUNCTION("""COMPUTED_VALUE"""),"Satish Kumar Verma ")</f>
        <v>Satish Kumar Verma </v>
      </c>
      <c r="X78" s="21" t="str">
        <f>IFERROR(__xludf.DUMMYFUNCTION("""COMPUTED_VALUE"""),"Father")</f>
        <v>Father</v>
      </c>
      <c r="Y78" s="21" t="str">
        <f>IFERROR(__xludf.DUMMYFUNCTION("""COMPUTED_VALUE"""),"Ribha Kumari ")</f>
        <v>Ribha Kumari </v>
      </c>
      <c r="Z78" s="21" t="str">
        <f>IFERROR(__xludf.DUMMYFUNCTION("""COMPUTED_VALUE"""),"Mother")</f>
        <v>Mother</v>
      </c>
      <c r="AA78" s="21" t="str">
        <f>IFERROR(__xludf.DUMMYFUNCTION("""COMPUTED_VALUE"""),"Veg")</f>
        <v>Veg</v>
      </c>
      <c r="AB78" s="21" t="str">
        <f>IFERROR(__xludf.DUMMYFUNCTION("""COMPUTED_VALUE"""),"Non-Veg")</f>
        <v>Non-Veg</v>
      </c>
      <c r="AC78" s="21" t="str">
        <f>IFERROR(__xludf.DUMMYFUNCTION("""COMPUTED_VALUE"""),"Veg")</f>
        <v>Veg</v>
      </c>
      <c r="AD78" s="21" t="str">
        <f>IFERROR(__xludf.DUMMYFUNCTION("""COMPUTED_VALUE"""),"Bus Drop Service not needed")</f>
        <v>Bus Drop Service not needed</v>
      </c>
      <c r="AE78" s="21">
        <f>IFERROR(__xludf.DUMMYFUNCTION("""COMPUTED_VALUE"""),0.0)</f>
        <v>0</v>
      </c>
    </row>
    <row r="79" ht="22.5" customHeight="1">
      <c r="A79" s="18">
        <f>IFERROR(__xludf.DUMMYFUNCTION("""COMPUTED_VALUE"""),46263.48492479167)</f>
        <v>46263.48492</v>
      </c>
      <c r="B79" s="21" t="str">
        <f>IFERROR(__xludf.DUMMYFUNCTION("""COMPUTED_VALUE"""),"shifana.mbbs-2020@aiimskalyani.edu.in")</f>
        <v>shifana.mbbs-2020@aiimskalyani.edu.in</v>
      </c>
      <c r="C79" s="21" t="str">
        <f>IFERROR(__xludf.DUMMYFUNCTION("""COMPUTED_VALUE"""),"SHIFANA T")</f>
        <v>SHIFANA T</v>
      </c>
      <c r="D79" s="21">
        <f>IFERROR(__xludf.DUMMYFUNCTION("""COMPUTED_VALUE"""),2.0200114E8)</f>
        <v>202001140</v>
      </c>
      <c r="E79" s="21" t="str">
        <f>IFERROR(__xludf.DUMMYFUNCTION("""COMPUTED_VALUE"""),"MBBS 2020")</f>
        <v>MBBS 2020</v>
      </c>
      <c r="F79" s="21">
        <f>IFERROR(__xludf.DUMMYFUNCTION("""COMPUTED_VALUE"""),6.238885248E9)</f>
        <v>6238885248</v>
      </c>
      <c r="G79" s="21" t="str">
        <f>IFERROR(__xludf.DUMMYFUNCTION("""COMPUTED_VALUE"""),"shifana.mbbs-2020@aiimskalyani.edu.in")</f>
        <v>shifana.mbbs-2020@aiimskalyani.edu.in</v>
      </c>
      <c r="H79" s="21" t="str">
        <f>IFERROR(__xludf.DUMMYFUNCTION("""COMPUTED_VALUE"""),"Yes")</f>
        <v>Yes</v>
      </c>
      <c r="I79" s="21" t="str">
        <f>IFERROR(__xludf.DUMMYFUNCTION("""COMPUTED_VALUE"""),"Passionate about photography, videography, and creative editing, with a particular interest in capturing and preserving meaningful moments with friends and family. Created and dedicated a farewell documentary for the senior batch, which was deeply appreci"&amp;"ated and emotionally memorable for everyone. I enjoy cooking and exploring different cuisines, applying mehendi, spending time with children, and maintaining an active lifestyle through regular gym workouts. Naturally curious and enthusiastic about experi"&amp;"encing new things, exploring diverse interests, and continuously learning new skills, including activities such as skating. I value kindness, empathy, and friendly communication, and enjoy building a warm and comfortable rapport with patients.
Research &amp; "&amp;"Academic Achievement
Published a research paper in Pathology .
""Comparative Evaluation of Gram Stain and
Conventional Pap Stain in Diagnosing Bacterial 
Vaginosis and Candidiasis: A Cross-Sectional Study"".")</f>
        <v>Passionate about photography, videography, and creative editing, with a particular interest in capturing and preserving meaningful moments with friends and family. Created and dedicated a farewell documentary for the senior batch, which was deeply appreciated and emotionally memorable for everyone. I enjoy cooking and exploring different cuisines, applying mehendi, spending time with children, and maintaining an active lifestyle through regular gym workouts. Naturally curious and enthusiastic about experiencing new things, exploring diverse interests, and continuously learning new skills, including activities such as skating. I value kindness, empathy, and friendly communication, and enjoy building a warm and comfortable rapport with patients.
Research &amp; Academic Achievement
Published a research paper in Pathology .
"Comparative Evaluation of Gram Stain and
Conventional Pap Stain in Diagnosing Bacterial 
Vaginosis and Candidiasis: A Cross-Sectional Study".</v>
      </c>
      <c r="J79" s="21" t="str">
        <f>IFERROR(__xludf.DUMMYFUNCTION("""COMPUTED_VALUE"""),"Actively involved in sports and cultural activities. Secured 1st Prize in Kho-Kho and Musical Chairs, and participated in marathons, running events, badminton, cycling races, tug of war, and lemon and spoon races. Enthusiastically participated in college "&amp;"fests, drama, and dance events. ")</f>
        <v>Actively involved in sports and cultural activities. Secured 1st Prize in Kho-Kho and Musical Chairs, and participated in marathons, running events, badminton, cycling races, tug of war, and lemon and spoon races. Enthusiastically participated in college fests, drama, and dance events. </v>
      </c>
      <c r="K79" s="21" t="str">
        <f>IFERROR(__xludf.DUMMYFUNCTION("""COMPUTED_VALUE"""),"Kerala")</f>
        <v>Kerala</v>
      </c>
      <c r="L79" s="22" t="str">
        <f>IFERROR(__xludf.DUMMYFUNCTION("""COMPUTED_VALUE"""),"https://drive.google.com/open?id=1j_6KyPRejnXCr7eFpem9o5GnC1qR6c77")</f>
        <v>https://drive.google.com/open?id=1j_6KyPRejnXCr7eFpem9o5GnC1qR6c77</v>
      </c>
      <c r="M79" s="22" t="str">
        <f>IFERROR(__xludf.DUMMYFUNCTION("""COMPUTED_VALUE"""),"https://drive.google.com/open?id=1OkLu-ptgMZQw7pT7GsaSjllY8wXroPNL")</f>
        <v>https://drive.google.com/open?id=1OkLu-ptgMZQw7pT7GsaSjllY8wXroPNL</v>
      </c>
      <c r="N79" s="21" t="str">
        <f>IFERROR(__xludf.DUMMYFUNCTION("""COMPUTED_VALUE"""),"Muhammedali T")</f>
        <v>Muhammedali T</v>
      </c>
      <c r="O79" s="21" t="str">
        <f>IFERROR(__xludf.DUMMYFUNCTION("""COMPUTED_VALUE"""),"Business man ")</f>
        <v>Business man </v>
      </c>
      <c r="P79" s="21" t="str">
        <f>IFERROR(__xludf.DUMMYFUNCTION("""COMPUTED_VALUE"""),"Palakkad, Kerala ")</f>
        <v>Palakkad, Kerala </v>
      </c>
      <c r="Q79" s="21">
        <f>IFERROR(__xludf.DUMMYFUNCTION("""COMPUTED_VALUE"""),9.946362171E9)</f>
        <v>9946362171</v>
      </c>
      <c r="R79" s="21" t="str">
        <f>IFERROR(__xludf.DUMMYFUNCTION("""COMPUTED_VALUE"""),"Mariya PT")</f>
        <v>Mariya PT</v>
      </c>
      <c r="S79" s="21" t="str">
        <f>IFERROR(__xludf.DUMMYFUNCTION("""COMPUTED_VALUE"""),"Home-maker")</f>
        <v>Home-maker</v>
      </c>
      <c r="T79" s="21" t="str">
        <f>IFERROR(__xludf.DUMMYFUNCTION("""COMPUTED_VALUE"""),"Palakkad, Kerala ")</f>
        <v>Palakkad, Kerala </v>
      </c>
      <c r="U79" s="21">
        <f>IFERROR(__xludf.DUMMYFUNCTION("""COMPUTED_VALUE"""),9.747151399E9)</f>
        <v>9747151399</v>
      </c>
      <c r="V79" s="21">
        <f>IFERROR(__xludf.DUMMYFUNCTION("""COMPUTED_VALUE"""),2.0)</f>
        <v>2</v>
      </c>
      <c r="W79" s="21" t="str">
        <f>IFERROR(__xludf.DUMMYFUNCTION("""COMPUTED_VALUE"""),"Mariya PT ")</f>
        <v>Mariya PT </v>
      </c>
      <c r="X79" s="21" t="str">
        <f>IFERROR(__xludf.DUMMYFUNCTION("""COMPUTED_VALUE"""),"Mother ")</f>
        <v>Mother </v>
      </c>
      <c r="Y79" s="21" t="str">
        <f>IFERROR(__xludf.DUMMYFUNCTION("""COMPUTED_VALUE"""),"Abdul Vahid T")</f>
        <v>Abdul Vahid T</v>
      </c>
      <c r="Z79" s="21" t="str">
        <f>IFERROR(__xludf.DUMMYFUNCTION("""COMPUTED_VALUE"""),"Brother ")</f>
        <v>Brother </v>
      </c>
      <c r="AA79" s="21" t="str">
        <f>IFERROR(__xludf.DUMMYFUNCTION("""COMPUTED_VALUE"""),"Non-Veg")</f>
        <v>Non-Veg</v>
      </c>
      <c r="AB79" s="21" t="str">
        <f>IFERROR(__xludf.DUMMYFUNCTION("""COMPUTED_VALUE"""),"Non-Veg")</f>
        <v>Non-Veg</v>
      </c>
      <c r="AC79" s="21" t="str">
        <f>IFERROR(__xludf.DUMMYFUNCTION("""COMPUTED_VALUE"""),"Non-Veg")</f>
        <v>Non-Veg</v>
      </c>
      <c r="AD79" s="21" t="str">
        <f>IFERROR(__xludf.DUMMYFUNCTION("""COMPUTED_VALUE"""),"Drop at Kalyani Railway Station")</f>
        <v>Drop at Kalyani Railway Station</v>
      </c>
      <c r="AE79" s="21">
        <f>IFERROR(__xludf.DUMMYFUNCTION("""COMPUTED_VALUE"""),1.0)</f>
        <v>1</v>
      </c>
    </row>
    <row r="80" ht="22.5" customHeight="1">
      <c r="A80" s="18">
        <f>IFERROR(__xludf.DUMMYFUNCTION("""COMPUTED_VALUE"""),46263.411194016204)</f>
        <v>46263.41119</v>
      </c>
      <c r="B80" s="21" t="str">
        <f>IFERROR(__xludf.DUMMYFUNCTION("""COMPUTED_VALUE"""),"avtans.mbbs-2020@aiimskalyani.edu.in")</f>
        <v>avtans.mbbs-2020@aiimskalyani.edu.in</v>
      </c>
      <c r="C80" s="21" t="str">
        <f>IFERROR(__xludf.DUMMYFUNCTION("""COMPUTED_VALUE"""),"Avtans Khajuria")</f>
        <v>Avtans Khajuria</v>
      </c>
      <c r="D80" s="21">
        <f>IFERROR(__xludf.DUMMYFUNCTION("""COMPUTED_VALUE"""),2.020018E7)</f>
        <v>20200180</v>
      </c>
      <c r="E80" s="21" t="str">
        <f>IFERROR(__xludf.DUMMYFUNCTION("""COMPUTED_VALUE"""),"MBBS 2020")</f>
        <v>MBBS 2020</v>
      </c>
      <c r="F80" s="21">
        <f>IFERROR(__xludf.DUMMYFUNCTION("""COMPUTED_VALUE"""),9.622113289E9)</f>
        <v>9622113289</v>
      </c>
      <c r="G80" s="21" t="str">
        <f>IFERROR(__xludf.DUMMYFUNCTION("""COMPUTED_VALUE"""),"avtans.mbbs-2020@aiimskalyani.edu.in")</f>
        <v>avtans.mbbs-2020@aiimskalyani.edu.in</v>
      </c>
      <c r="H80" s="21" t="str">
        <f>IFERROR(__xludf.DUMMYFUNCTION("""COMPUTED_VALUE"""),"Yes")</f>
        <v>Yes</v>
      </c>
      <c r="I80" s="21" t="str">
        <f>IFERROR(__xludf.DUMMYFUNCTION("""COMPUTED_VALUE"""),"Playing volleyball and Travelling ")</f>
        <v>Playing volleyball and Travelling </v>
      </c>
      <c r="J80" s="21"/>
      <c r="K80" s="21" t="str">
        <f>IFERROR(__xludf.DUMMYFUNCTION("""COMPUTED_VALUE"""),"Kathua J and K")</f>
        <v>Kathua J and K</v>
      </c>
      <c r="L80" s="22" t="str">
        <f>IFERROR(__xludf.DUMMYFUNCTION("""COMPUTED_VALUE"""),"https://drive.google.com/open?id=19LVDSS8uhFIpMrRJFs2VDpOruOFW8x7D")</f>
        <v>https://drive.google.com/open?id=19LVDSS8uhFIpMrRJFs2VDpOruOFW8x7D</v>
      </c>
      <c r="M80" s="22" t="str">
        <f>IFERROR(__xludf.DUMMYFUNCTION("""COMPUTED_VALUE"""),"https://drive.google.com/open?id=1WUfTc0UTv4bn9f4QhA9YscJZ_gz2Dfu7")</f>
        <v>https://drive.google.com/open?id=1WUfTc0UTv4bn9f4QhA9YscJZ_gz2Dfu7</v>
      </c>
      <c r="N80" s="21" t="str">
        <f>IFERROR(__xludf.DUMMYFUNCTION("""COMPUTED_VALUE"""),"Pawan Kumar")</f>
        <v>Pawan Kumar</v>
      </c>
      <c r="O80" s="21" t="str">
        <f>IFERROR(__xludf.DUMMYFUNCTION("""COMPUTED_VALUE"""),"Government Lecturer")</f>
        <v>Government Lecturer</v>
      </c>
      <c r="P80" s="21" t="str">
        <f>IFERROR(__xludf.DUMMYFUNCTION("""COMPUTED_VALUE"""),"Kathua J and K")</f>
        <v>Kathua J and K</v>
      </c>
      <c r="Q80" s="21">
        <f>IFERROR(__xludf.DUMMYFUNCTION("""COMPUTED_VALUE"""),7.889551033E9)</f>
        <v>7889551033</v>
      </c>
      <c r="R80" s="21" t="str">
        <f>IFERROR(__xludf.DUMMYFUNCTION("""COMPUTED_VALUE"""),"Sudha Bala")</f>
        <v>Sudha Bala</v>
      </c>
      <c r="S80" s="21" t="str">
        <f>IFERROR(__xludf.DUMMYFUNCTION("""COMPUTED_VALUE"""),"Government Teacher ")</f>
        <v>Government Teacher </v>
      </c>
      <c r="T80" s="21" t="str">
        <f>IFERROR(__xludf.DUMMYFUNCTION("""COMPUTED_VALUE"""),"Kathua J and K")</f>
        <v>Kathua J and K</v>
      </c>
      <c r="U80" s="21">
        <f>IFERROR(__xludf.DUMMYFUNCTION("""COMPUTED_VALUE"""),7.889872015E9)</f>
        <v>7889872015</v>
      </c>
      <c r="V80" s="21">
        <f>IFERROR(__xludf.DUMMYFUNCTION("""COMPUTED_VALUE"""),0.0)</f>
        <v>0</v>
      </c>
      <c r="W80" s="21"/>
      <c r="X80" s="21"/>
      <c r="Y80" s="21"/>
      <c r="Z80" s="21"/>
      <c r="AA80" s="21" t="str">
        <f>IFERROR(__xludf.DUMMYFUNCTION("""COMPUTED_VALUE"""),"Veg")</f>
        <v>Veg</v>
      </c>
      <c r="AB80" s="21"/>
      <c r="AC80" s="21"/>
      <c r="AD80" s="21" t="str">
        <f>IFERROR(__xludf.DUMMYFUNCTION("""COMPUTED_VALUE"""),"Drop at Kolkata Airport")</f>
        <v>Drop at Kolkata Airport</v>
      </c>
      <c r="AE80" s="21">
        <f>IFERROR(__xludf.DUMMYFUNCTION("""COMPUTED_VALUE"""),1.0)</f>
        <v>1</v>
      </c>
    </row>
    <row r="81" ht="22.5" customHeight="1">
      <c r="A81" s="18">
        <f>IFERROR(__xludf.DUMMYFUNCTION("""COMPUTED_VALUE"""),46262.6891402662)</f>
        <v>46262.68914</v>
      </c>
      <c r="B81" s="21" t="str">
        <f>IFERROR(__xludf.DUMMYFUNCTION("""COMPUTED_VALUE"""),"naman.mbbs-2020@aiimskalyani.edu.in")</f>
        <v>naman.mbbs-2020@aiimskalyani.edu.in</v>
      </c>
      <c r="C81" s="21" t="str">
        <f>IFERROR(__xludf.DUMMYFUNCTION("""COMPUTED_VALUE"""),"NAMAN CHUGH")</f>
        <v>NAMAN CHUGH</v>
      </c>
      <c r="D81" s="21" t="str">
        <f>IFERROR(__xludf.DUMMYFUNCTION("""COMPUTED_VALUE"""),"65/202001115")</f>
        <v>65/202001115</v>
      </c>
      <c r="E81" s="21" t="str">
        <f>IFERROR(__xludf.DUMMYFUNCTION("""COMPUTED_VALUE"""),"MBBS 2020")</f>
        <v>MBBS 2020</v>
      </c>
      <c r="F81" s="21">
        <f>IFERROR(__xludf.DUMMYFUNCTION("""COMPUTED_VALUE"""),7.015830025E9)</f>
        <v>7015830025</v>
      </c>
      <c r="G81" s="21" t="str">
        <f>IFERROR(__xludf.DUMMYFUNCTION("""COMPUTED_VALUE"""),"naman.mbbs-2020@aiimskalyani.edu.in")</f>
        <v>naman.mbbs-2020@aiimskalyani.edu.in</v>
      </c>
      <c r="H81" s="21" t="str">
        <f>IFERROR(__xludf.DUMMYFUNCTION("""COMPUTED_VALUE"""),"Yes")</f>
        <v>Yes</v>
      </c>
      <c r="I81" s="21" t="str">
        <f>IFERROR(__xludf.DUMMYFUNCTION("""COMPUTED_VALUE"""),"Playing Table tennis, cricket, drums.
Participating in quizzes ")</f>
        <v>Playing Table tennis, cricket, drums.
Participating in quizzes </v>
      </c>
      <c r="J81" s="21" t="str">
        <f>IFERROR(__xludf.DUMMYFUNCTION("""COMPUTED_VALUE"""),"1st position in interhouse Table tennis and cricket")</f>
        <v>1st position in interhouse Table tennis and cricket</v>
      </c>
      <c r="K81" s="21" t="str">
        <f>IFERROR(__xludf.DUMMYFUNCTION("""COMPUTED_VALUE"""),"Gohana")</f>
        <v>Gohana</v>
      </c>
      <c r="L81" s="22" t="str">
        <f>IFERROR(__xludf.DUMMYFUNCTION("""COMPUTED_VALUE"""),"https://drive.google.com/open?id=1xwTvH0UHuOuHTemjNyYAvkgpCvGtFFUq")</f>
        <v>https://drive.google.com/open?id=1xwTvH0UHuOuHTemjNyYAvkgpCvGtFFUq</v>
      </c>
      <c r="M81" s="22" t="str">
        <f>IFERROR(__xludf.DUMMYFUNCTION("""COMPUTED_VALUE"""),"https://drive.google.com/open?id=1H_khFxRF9EcRpryKoyQHwFotoxkr_7f7")</f>
        <v>https://drive.google.com/open?id=1H_khFxRF9EcRpryKoyQHwFotoxkr_7f7</v>
      </c>
      <c r="N81" s="21" t="str">
        <f>IFERROR(__xludf.DUMMYFUNCTION("""COMPUTED_VALUE"""),"Madan Chugh")</f>
        <v>Madan Chugh</v>
      </c>
      <c r="O81" s="21" t="str">
        <f>IFERROR(__xludf.DUMMYFUNCTION("""COMPUTED_VALUE"""),"Businessman")</f>
        <v>Businessman</v>
      </c>
      <c r="P81" s="21" t="str">
        <f>IFERROR(__xludf.DUMMYFUNCTION("""COMPUTED_VALUE"""),"Gohana")</f>
        <v>Gohana</v>
      </c>
      <c r="Q81" s="21">
        <f>IFERROR(__xludf.DUMMYFUNCTION("""COMPUTED_VALUE"""),9.416314424E9)</f>
        <v>9416314424</v>
      </c>
      <c r="R81" s="21" t="str">
        <f>IFERROR(__xludf.DUMMYFUNCTION("""COMPUTED_VALUE"""),"Geeta Chugh")</f>
        <v>Geeta Chugh</v>
      </c>
      <c r="S81" s="21" t="str">
        <f>IFERROR(__xludf.DUMMYFUNCTION("""COMPUTED_VALUE"""),"Teacher")</f>
        <v>Teacher</v>
      </c>
      <c r="T81" s="21" t="str">
        <f>IFERROR(__xludf.DUMMYFUNCTION("""COMPUTED_VALUE"""),"Gohana")</f>
        <v>Gohana</v>
      </c>
      <c r="U81" s="21">
        <f>IFERROR(__xludf.DUMMYFUNCTION("""COMPUTED_VALUE"""),9.812467167E9)</f>
        <v>9812467167</v>
      </c>
      <c r="V81" s="21">
        <f>IFERROR(__xludf.DUMMYFUNCTION("""COMPUTED_VALUE"""),2.0)</f>
        <v>2</v>
      </c>
      <c r="W81" s="21" t="str">
        <f>IFERROR(__xludf.DUMMYFUNCTION("""COMPUTED_VALUE"""),"Madan Chugh ")</f>
        <v>Madan Chugh </v>
      </c>
      <c r="X81" s="21" t="str">
        <f>IFERROR(__xludf.DUMMYFUNCTION("""COMPUTED_VALUE"""),"Father")</f>
        <v>Father</v>
      </c>
      <c r="Y81" s="21" t="str">
        <f>IFERROR(__xludf.DUMMYFUNCTION("""COMPUTED_VALUE"""),"Geeta Chugh")</f>
        <v>Geeta Chugh</v>
      </c>
      <c r="Z81" s="21" t="str">
        <f>IFERROR(__xludf.DUMMYFUNCTION("""COMPUTED_VALUE"""),"Mother")</f>
        <v>Mother</v>
      </c>
      <c r="AA81" s="21" t="str">
        <f>IFERROR(__xludf.DUMMYFUNCTION("""COMPUTED_VALUE"""),"Non-Veg")</f>
        <v>Non-Veg</v>
      </c>
      <c r="AB81" s="21" t="str">
        <f>IFERROR(__xludf.DUMMYFUNCTION("""COMPUTED_VALUE"""),"Veg")</f>
        <v>Veg</v>
      </c>
      <c r="AC81" s="21" t="str">
        <f>IFERROR(__xludf.DUMMYFUNCTION("""COMPUTED_VALUE"""),"Veg")</f>
        <v>Veg</v>
      </c>
      <c r="AD81" s="21" t="str">
        <f>IFERROR(__xludf.DUMMYFUNCTION("""COMPUTED_VALUE"""),"Bus Drop Service not needed")</f>
        <v>Bus Drop Service not needed</v>
      </c>
      <c r="AE81" s="21">
        <f>IFERROR(__xludf.DUMMYFUNCTION("""COMPUTED_VALUE"""),0.0)</f>
        <v>0</v>
      </c>
    </row>
    <row r="82" ht="22.5" customHeight="1">
      <c r="A82" s="18">
        <f>IFERROR(__xludf.DUMMYFUNCTION("""COMPUTED_VALUE"""),46262.67725165509)</f>
        <v>46262.67725</v>
      </c>
      <c r="B82" s="21" t="str">
        <f>IFERROR(__xludf.DUMMYFUNCTION("""COMPUTED_VALUE"""),"prabesh.mbbs-2020@aiimskalyani.edu.in")</f>
        <v>prabesh.mbbs-2020@aiimskalyani.edu.in</v>
      </c>
      <c r="C82" s="21" t="str">
        <f>IFERROR(__xludf.DUMMYFUNCTION("""COMPUTED_VALUE"""),"PRABESH KUMAR SAHU ")</f>
        <v>PRABESH KUMAR SAHU </v>
      </c>
      <c r="D82" s="21" t="str">
        <f>IFERROR(__xludf.DUMMYFUNCTION("""COMPUTED_VALUE"""),"68/202001118")</f>
        <v>68/202001118</v>
      </c>
      <c r="E82" s="21" t="str">
        <f>IFERROR(__xludf.DUMMYFUNCTION("""COMPUTED_VALUE"""),"MBBS 2020")</f>
        <v>MBBS 2020</v>
      </c>
      <c r="F82" s="21">
        <f>IFERROR(__xludf.DUMMYFUNCTION("""COMPUTED_VALUE"""),7.752071706E9)</f>
        <v>7752071706</v>
      </c>
      <c r="G82" s="21" t="str">
        <f>IFERROR(__xludf.DUMMYFUNCTION("""COMPUTED_VALUE"""),"prabeshk99@gmail.com")</f>
        <v>prabeshk99@gmail.com</v>
      </c>
      <c r="H82" s="21" t="str">
        <f>IFERROR(__xludf.DUMMYFUNCTION("""COMPUTED_VALUE"""),"Yes")</f>
        <v>Yes</v>
      </c>
      <c r="I82" s="21" t="str">
        <f>IFERROR(__xludf.DUMMYFUNCTION("""COMPUTED_VALUE"""),"Bike riding, Music")</f>
        <v>Bike riding, Music</v>
      </c>
      <c r="J82" s="21" t="str">
        <f>IFERROR(__xludf.DUMMYFUNCTION("""COMPUTED_VALUE"""),"ICMR STS 2022")</f>
        <v>ICMR STS 2022</v>
      </c>
      <c r="K82" s="21" t="str">
        <f>IFERROR(__xludf.DUMMYFUNCTION("""COMPUTED_VALUE"""),"Bahalda, Mayurbhanj, Odisha")</f>
        <v>Bahalda, Mayurbhanj, Odisha</v>
      </c>
      <c r="L82" s="22" t="str">
        <f>IFERROR(__xludf.DUMMYFUNCTION("""COMPUTED_VALUE"""),"https://drive.google.com/open?id=1hhVYne8osDPO8Bx14dmu7ItoD8rDQomg")</f>
        <v>https://drive.google.com/open?id=1hhVYne8osDPO8Bx14dmu7ItoD8rDQomg</v>
      </c>
      <c r="M82" s="22" t="str">
        <f>IFERROR(__xludf.DUMMYFUNCTION("""COMPUTED_VALUE"""),"https://drive.google.com/open?id=1OSErYJ1q5eyzKWBvZ-27mXecsNEeej7i")</f>
        <v>https://drive.google.com/open?id=1OSErYJ1q5eyzKWBvZ-27mXecsNEeej7i</v>
      </c>
      <c r="N82" s="21" t="str">
        <f>IFERROR(__xludf.DUMMYFUNCTION("""COMPUTED_VALUE"""),"Mr Ananda Bihari Sahu")</f>
        <v>Mr Ananda Bihari Sahu</v>
      </c>
      <c r="O82" s="21" t="str">
        <f>IFERROR(__xludf.DUMMYFUNCTION("""COMPUTED_VALUE"""),"Business ")</f>
        <v>Business </v>
      </c>
      <c r="P82" s="21" t="str">
        <f>IFERROR(__xludf.DUMMYFUNCTION("""COMPUTED_VALUE"""),"Bahalda, Mayurbhanj, Odisha ")</f>
        <v>Bahalda, Mayurbhanj, Odisha </v>
      </c>
      <c r="Q82" s="21">
        <f>IFERROR(__xludf.DUMMYFUNCTION("""COMPUTED_VALUE"""),9.777507049E9)</f>
        <v>9777507049</v>
      </c>
      <c r="R82" s="21" t="str">
        <f>IFERROR(__xludf.DUMMYFUNCTION("""COMPUTED_VALUE"""),"Mrs Mamata Sahu")</f>
        <v>Mrs Mamata Sahu</v>
      </c>
      <c r="S82" s="21" t="str">
        <f>IFERROR(__xludf.DUMMYFUNCTION("""COMPUTED_VALUE"""),"Homemaker ")</f>
        <v>Homemaker </v>
      </c>
      <c r="T82" s="21" t="str">
        <f>IFERROR(__xludf.DUMMYFUNCTION("""COMPUTED_VALUE"""),"Bahalda, Mayurbhanj, Odisha ")</f>
        <v>Bahalda, Mayurbhanj, Odisha </v>
      </c>
      <c r="U82" s="21">
        <f>IFERROR(__xludf.DUMMYFUNCTION("""COMPUTED_VALUE"""),7.978063537E9)</f>
        <v>7978063537</v>
      </c>
      <c r="V82" s="21">
        <f>IFERROR(__xludf.DUMMYFUNCTION("""COMPUTED_VALUE"""),2.0)</f>
        <v>2</v>
      </c>
      <c r="W82" s="21" t="str">
        <f>IFERROR(__xludf.DUMMYFUNCTION("""COMPUTED_VALUE"""),"Mr Ananda Bihari Sahu ")</f>
        <v>Mr Ananda Bihari Sahu </v>
      </c>
      <c r="X82" s="21" t="str">
        <f>IFERROR(__xludf.DUMMYFUNCTION("""COMPUTED_VALUE"""),"Father")</f>
        <v>Father</v>
      </c>
      <c r="Y82" s="21" t="str">
        <f>IFERROR(__xludf.DUMMYFUNCTION("""COMPUTED_VALUE"""),"Mrs Mamata Sahu ")</f>
        <v>Mrs Mamata Sahu </v>
      </c>
      <c r="Z82" s="21" t="str">
        <f>IFERROR(__xludf.DUMMYFUNCTION("""COMPUTED_VALUE"""),"Mother")</f>
        <v>Mother</v>
      </c>
      <c r="AA82" s="21" t="str">
        <f>IFERROR(__xludf.DUMMYFUNCTION("""COMPUTED_VALUE"""),"Non-Veg")</f>
        <v>Non-Veg</v>
      </c>
      <c r="AB82" s="21" t="str">
        <f>IFERROR(__xludf.DUMMYFUNCTION("""COMPUTED_VALUE"""),"Veg")</f>
        <v>Veg</v>
      </c>
      <c r="AC82" s="21" t="str">
        <f>IFERROR(__xludf.DUMMYFUNCTION("""COMPUTED_VALUE"""),"Veg")</f>
        <v>Veg</v>
      </c>
      <c r="AD82" s="21" t="str">
        <f>IFERROR(__xludf.DUMMYFUNCTION("""COMPUTED_VALUE"""),"Drop at Kalyani Railway Station")</f>
        <v>Drop at Kalyani Railway Station</v>
      </c>
      <c r="AE82" s="21">
        <f>IFERROR(__xludf.DUMMYFUNCTION("""COMPUTED_VALUE"""),3.0)</f>
        <v>3</v>
      </c>
    </row>
    <row r="83" ht="22.5" customHeight="1">
      <c r="A83" s="18">
        <f>IFERROR(__xludf.DUMMYFUNCTION("""COMPUTED_VALUE"""),46262.49781893518)</f>
        <v>46262.49782</v>
      </c>
      <c r="B83" s="21" t="str">
        <f>IFERROR(__xludf.DUMMYFUNCTION("""COMPUTED_VALUE"""),"manisha.mbbs-2020@aiimskalyani.edu.in")</f>
        <v>manisha.mbbs-2020@aiimskalyani.edu.in</v>
      </c>
      <c r="C83" s="21" t="str">
        <f>IFERROR(__xludf.DUMMYFUNCTION("""COMPUTED_VALUE"""),"MANISHA KANWAR")</f>
        <v>MANISHA KANWAR</v>
      </c>
      <c r="D83" s="21">
        <f>IFERROR(__xludf.DUMMYFUNCTION("""COMPUTED_VALUE"""),2.02001172E8)</f>
        <v>202001172</v>
      </c>
      <c r="E83" s="21" t="str">
        <f>IFERROR(__xludf.DUMMYFUNCTION("""COMPUTED_VALUE"""),"MBBS 2020")</f>
        <v>MBBS 2020</v>
      </c>
      <c r="F83" s="21">
        <f>IFERROR(__xludf.DUMMYFUNCTION("""COMPUTED_VALUE"""),8.1001437E9)</f>
        <v>8100143700</v>
      </c>
      <c r="G83" s="21" t="str">
        <f>IFERROR(__xludf.DUMMYFUNCTION("""COMPUTED_VALUE"""),"manisha.mbbs-2020@aiimskalyani.edu.in")</f>
        <v>manisha.mbbs-2020@aiimskalyani.edu.in</v>
      </c>
      <c r="H83" s="21" t="str">
        <f>IFERROR(__xludf.DUMMYFUNCTION("""COMPUTED_VALUE"""),"Yes")</f>
        <v>Yes</v>
      </c>
      <c r="I83" s="21"/>
      <c r="J83" s="21"/>
      <c r="K83" s="21" t="str">
        <f>IFERROR(__xludf.DUMMYFUNCTION("""COMPUTED_VALUE"""),"Nagaur Rajasthan ")</f>
        <v>Nagaur Rajasthan </v>
      </c>
      <c r="L83" s="22" t="str">
        <f>IFERROR(__xludf.DUMMYFUNCTION("""COMPUTED_VALUE"""),"https://drive.google.com/open?id=1rAVplwsISXN9YIFzRlgWKf7L2pj15DSl")</f>
        <v>https://drive.google.com/open?id=1rAVplwsISXN9YIFzRlgWKf7L2pj15DSl</v>
      </c>
      <c r="M83" s="22" t="str">
        <f>IFERROR(__xludf.DUMMYFUNCTION("""COMPUTED_VALUE"""),"https://drive.google.com/open?id=1KSVGFNkqmgnIfvuHe2oNtxoHgQth5juD")</f>
        <v>https://drive.google.com/open?id=1KSVGFNkqmgnIfvuHe2oNtxoHgQth5juD</v>
      </c>
      <c r="N83" s="21" t="str">
        <f>IFERROR(__xludf.DUMMYFUNCTION("""COMPUTED_VALUE"""),"Mool Singh")</f>
        <v>Mool Singh</v>
      </c>
      <c r="O83" s="21" t="str">
        <f>IFERROR(__xludf.DUMMYFUNCTION("""COMPUTED_VALUE"""),"Businessman ")</f>
        <v>Businessman </v>
      </c>
      <c r="P83" s="21" t="str">
        <f>IFERROR(__xludf.DUMMYFUNCTION("""COMPUTED_VALUE"""),"Nagaur Rajasthan")</f>
        <v>Nagaur Rajasthan</v>
      </c>
      <c r="Q83" s="21">
        <f>IFERROR(__xludf.DUMMYFUNCTION("""COMPUTED_VALUE"""),8.1001437E9)</f>
        <v>8100143700</v>
      </c>
      <c r="R83" s="21" t="str">
        <f>IFERROR(__xludf.DUMMYFUNCTION("""COMPUTED_VALUE"""),"Kiran Kanwar")</f>
        <v>Kiran Kanwar</v>
      </c>
      <c r="S83" s="21" t="str">
        <f>IFERROR(__xludf.DUMMYFUNCTION("""COMPUTED_VALUE"""),"Homemaker")</f>
        <v>Homemaker</v>
      </c>
      <c r="T83" s="21" t="str">
        <f>IFERROR(__xludf.DUMMYFUNCTION("""COMPUTED_VALUE"""),"Nagaur Rajasthan ")</f>
        <v>Nagaur Rajasthan </v>
      </c>
      <c r="U83" s="21">
        <f>IFERROR(__xludf.DUMMYFUNCTION("""COMPUTED_VALUE"""),7.976150128E9)</f>
        <v>7976150128</v>
      </c>
      <c r="V83" s="21">
        <f>IFERROR(__xludf.DUMMYFUNCTION("""COMPUTED_VALUE"""),2.0)</f>
        <v>2</v>
      </c>
      <c r="W83" s="21" t="str">
        <f>IFERROR(__xludf.DUMMYFUNCTION("""COMPUTED_VALUE"""),"Mool Singh")</f>
        <v>Mool Singh</v>
      </c>
      <c r="X83" s="21" t="str">
        <f>IFERROR(__xludf.DUMMYFUNCTION("""COMPUTED_VALUE"""),"Father")</f>
        <v>Father</v>
      </c>
      <c r="Y83" s="21" t="str">
        <f>IFERROR(__xludf.DUMMYFUNCTION("""COMPUTED_VALUE"""),"Kiran Kanwar")</f>
        <v>Kiran Kanwar</v>
      </c>
      <c r="Z83" s="21" t="str">
        <f>IFERROR(__xludf.DUMMYFUNCTION("""COMPUTED_VALUE"""),"Mother")</f>
        <v>Mother</v>
      </c>
      <c r="AA83" s="21" t="str">
        <f>IFERROR(__xludf.DUMMYFUNCTION("""COMPUTED_VALUE"""),"Veg")</f>
        <v>Veg</v>
      </c>
      <c r="AB83" s="21" t="str">
        <f>IFERROR(__xludf.DUMMYFUNCTION("""COMPUTED_VALUE"""),"Veg")</f>
        <v>Veg</v>
      </c>
      <c r="AC83" s="21" t="str">
        <f>IFERROR(__xludf.DUMMYFUNCTION("""COMPUTED_VALUE"""),"Veg")</f>
        <v>Veg</v>
      </c>
      <c r="AD83" s="21" t="str">
        <f>IFERROR(__xludf.DUMMYFUNCTION("""COMPUTED_VALUE"""),"Bus Drop Service not needed")</f>
        <v>Bus Drop Service not needed</v>
      </c>
      <c r="AE83" s="21">
        <f>IFERROR(__xludf.DUMMYFUNCTION("""COMPUTED_VALUE"""),0.0)</f>
        <v>0</v>
      </c>
    </row>
    <row r="84" ht="22.5" customHeight="1">
      <c r="A84" s="18">
        <f>IFERROR(__xludf.DUMMYFUNCTION("""COMPUTED_VALUE"""),46262.4928334375)</f>
        <v>46262.49283</v>
      </c>
      <c r="B84" s="21" t="str">
        <f>IFERROR(__xludf.DUMMYFUNCTION("""COMPUTED_VALUE"""),"ananyap.mbbs-2020@aiimskalyani.edu.in")</f>
        <v>ananyap.mbbs-2020@aiimskalyani.edu.in</v>
      </c>
      <c r="C84" s="21" t="str">
        <f>IFERROR(__xludf.DUMMYFUNCTION("""COMPUTED_VALUE"""),"ANANYA PANDEY ")</f>
        <v>ANANYA PANDEY </v>
      </c>
      <c r="D84" s="21">
        <f>IFERROR(__xludf.DUMMYFUNCTION("""COMPUTED_VALUE"""),2.0200165E7)</f>
        <v>20200165</v>
      </c>
      <c r="E84" s="21" t="str">
        <f>IFERROR(__xludf.DUMMYFUNCTION("""COMPUTED_VALUE"""),"MBBS 2020")</f>
        <v>MBBS 2020</v>
      </c>
      <c r="F84" s="21">
        <f>IFERROR(__xludf.DUMMYFUNCTION("""COMPUTED_VALUE"""),8.855042775E9)</f>
        <v>8855042775</v>
      </c>
      <c r="G84" s="21" t="str">
        <f>IFERROR(__xludf.DUMMYFUNCTION("""COMPUTED_VALUE"""),"quantum101p@gmail.com")</f>
        <v>quantum101p@gmail.com</v>
      </c>
      <c r="H84" s="21" t="str">
        <f>IFERROR(__xludf.DUMMYFUNCTION("""COMPUTED_VALUE"""),"Yes")</f>
        <v>Yes</v>
      </c>
      <c r="I84" s="21"/>
      <c r="J84" s="21"/>
      <c r="K84" s="21" t="str">
        <f>IFERROR(__xludf.DUMMYFUNCTION("""COMPUTED_VALUE"""),"Ahilyanagar,Maharashtra ")</f>
        <v>Ahilyanagar,Maharashtra </v>
      </c>
      <c r="L84" s="22" t="str">
        <f>IFERROR(__xludf.DUMMYFUNCTION("""COMPUTED_VALUE"""),"https://drive.google.com/open?id=1HfIVNeMB_ECzHMzWa-6GJ_qgAMlIU_n0")</f>
        <v>https://drive.google.com/open?id=1HfIVNeMB_ECzHMzWa-6GJ_qgAMlIU_n0</v>
      </c>
      <c r="M84" s="22" t="str">
        <f>IFERROR(__xludf.DUMMYFUNCTION("""COMPUTED_VALUE"""),"https://drive.google.com/open?id=1PFDlujHx6D2q1D7mezqt7rCMaq5Nffsv")</f>
        <v>https://drive.google.com/open?id=1PFDlujHx6D2q1D7mezqt7rCMaq5Nffsv</v>
      </c>
      <c r="N84" s="21" t="str">
        <f>IFERROR(__xludf.DUMMYFUNCTION("""COMPUTED_VALUE"""),"PROVASH CHANDRA PANDEY ")</f>
        <v>PROVASH CHANDRA PANDEY </v>
      </c>
      <c r="O84" s="21" t="str">
        <f>IFERROR(__xludf.DUMMYFUNCTION("""COMPUTED_VALUE"""),"Station Manager, Akolner, Maharashtra ")</f>
        <v>Station Manager, Akolner, Maharashtra </v>
      </c>
      <c r="P84" s="21" t="str">
        <f>IFERROR(__xludf.DUMMYFUNCTION("""COMPUTED_VALUE"""),"Ahilyanagar, Maharashtra ")</f>
        <v>Ahilyanagar, Maharashtra </v>
      </c>
      <c r="Q84" s="21">
        <f>IFERROR(__xludf.DUMMYFUNCTION("""COMPUTED_VALUE"""),7.397872775E9)</f>
        <v>7397872775</v>
      </c>
      <c r="R84" s="21" t="str">
        <f>IFERROR(__xludf.DUMMYFUNCTION("""COMPUTED_VALUE"""),"BITHIKA PANDEY ")</f>
        <v>BITHIKA PANDEY </v>
      </c>
      <c r="S84" s="21" t="str">
        <f>IFERROR(__xludf.DUMMYFUNCTION("""COMPUTED_VALUE"""),"Pharmacy buiseness ")</f>
        <v>Pharmacy buiseness </v>
      </c>
      <c r="T84" s="21" t="str">
        <f>IFERROR(__xludf.DUMMYFUNCTION("""COMPUTED_VALUE"""),"Ahilyanagar, Maharashtra ")</f>
        <v>Ahilyanagar, Maharashtra </v>
      </c>
      <c r="U84" s="21">
        <f>IFERROR(__xludf.DUMMYFUNCTION("""COMPUTED_VALUE"""),8.983503476E9)</f>
        <v>8983503476</v>
      </c>
      <c r="V84" s="21">
        <f>IFERROR(__xludf.DUMMYFUNCTION("""COMPUTED_VALUE"""),2.0)</f>
        <v>2</v>
      </c>
      <c r="W84" s="21" t="str">
        <f>IFERROR(__xludf.DUMMYFUNCTION("""COMPUTED_VALUE"""),"Bithika Pandey")</f>
        <v>Bithika Pandey</v>
      </c>
      <c r="X84" s="21" t="str">
        <f>IFERROR(__xludf.DUMMYFUNCTION("""COMPUTED_VALUE"""),"Mother")</f>
        <v>Mother</v>
      </c>
      <c r="Y84" s="21" t="str">
        <f>IFERROR(__xludf.DUMMYFUNCTION("""COMPUTED_VALUE"""),"Aditi Pandey")</f>
        <v>Aditi Pandey</v>
      </c>
      <c r="Z84" s="21" t="str">
        <f>IFERROR(__xludf.DUMMYFUNCTION("""COMPUTED_VALUE"""),"Sister")</f>
        <v>Sister</v>
      </c>
      <c r="AA84" s="21" t="str">
        <f>IFERROR(__xludf.DUMMYFUNCTION("""COMPUTED_VALUE"""),"Veg")</f>
        <v>Veg</v>
      </c>
      <c r="AB84" s="21" t="str">
        <f>IFERROR(__xludf.DUMMYFUNCTION("""COMPUTED_VALUE"""),"Non-Veg")</f>
        <v>Non-Veg</v>
      </c>
      <c r="AC84" s="21" t="str">
        <f>IFERROR(__xludf.DUMMYFUNCTION("""COMPUTED_VALUE"""),"Non-Veg")</f>
        <v>Non-Veg</v>
      </c>
      <c r="AD84" s="21" t="str">
        <f>IFERROR(__xludf.DUMMYFUNCTION("""COMPUTED_VALUE"""),"Drop at Kolkata Airport")</f>
        <v>Drop at Kolkata Airport</v>
      </c>
      <c r="AE84" s="21">
        <f>IFERROR(__xludf.DUMMYFUNCTION("""COMPUTED_VALUE"""),3.0)</f>
        <v>3</v>
      </c>
    </row>
    <row r="85" ht="22.5" customHeight="1">
      <c r="A85" s="18">
        <f>IFERROR(__xludf.DUMMYFUNCTION("""COMPUTED_VALUE"""),46262.489652268516)</f>
        <v>46262.48965</v>
      </c>
      <c r="B85" s="21" t="str">
        <f>IFERROR(__xludf.DUMMYFUNCTION("""COMPUTED_VALUE"""),"nilesh.mbbs-2020@aiimskalyani.edu.in")</f>
        <v>nilesh.mbbs-2020@aiimskalyani.edu.in</v>
      </c>
      <c r="C85" s="21" t="str">
        <f>IFERROR(__xludf.DUMMYFUNCTION("""COMPUTED_VALUE"""),"NILESH BHARTI")</f>
        <v>NILESH BHARTI</v>
      </c>
      <c r="D85" s="21">
        <f>IFERROR(__xludf.DUMMYFUNCTION("""COMPUTED_VALUE"""),2.02001116E8)</f>
        <v>202001116</v>
      </c>
      <c r="E85" s="21" t="str">
        <f>IFERROR(__xludf.DUMMYFUNCTION("""COMPUTED_VALUE"""),"MBBS 2020")</f>
        <v>MBBS 2020</v>
      </c>
      <c r="F85" s="21">
        <f>IFERROR(__xludf.DUMMYFUNCTION("""COMPUTED_VALUE"""),7.292903856E9)</f>
        <v>7292903856</v>
      </c>
      <c r="G85" s="21" t="str">
        <f>IFERROR(__xludf.DUMMYFUNCTION("""COMPUTED_VALUE"""),"nilesh.mbbs-2020@aiimskalyani.edu.in")</f>
        <v>nilesh.mbbs-2020@aiimskalyani.edu.in</v>
      </c>
      <c r="H85" s="21" t="str">
        <f>IFERROR(__xludf.DUMMYFUNCTION("""COMPUTED_VALUE"""),"Yes")</f>
        <v>Yes</v>
      </c>
      <c r="I85" s="21"/>
      <c r="J85" s="21"/>
      <c r="K85" s="21" t="str">
        <f>IFERROR(__xludf.DUMMYFUNCTION("""COMPUTED_VALUE"""),"Samastipur, Bihar")</f>
        <v>Samastipur, Bihar</v>
      </c>
      <c r="L85" s="22" t="str">
        <f>IFERROR(__xludf.DUMMYFUNCTION("""COMPUTED_VALUE"""),"https://drive.google.com/open?id=1KztgL8OEke4hZZMua6o0pKtkGrhe4WAN")</f>
        <v>https://drive.google.com/open?id=1KztgL8OEke4hZZMua6o0pKtkGrhe4WAN</v>
      </c>
      <c r="M85" s="22" t="str">
        <f>IFERROR(__xludf.DUMMYFUNCTION("""COMPUTED_VALUE"""),"https://drive.google.com/open?id=16QJxFRyFat2-vQbJCjTv_aoucODfuX6d")</f>
        <v>https://drive.google.com/open?id=16QJxFRyFat2-vQbJCjTv_aoucODfuX6d</v>
      </c>
      <c r="N85" s="21" t="str">
        <f>IFERROR(__xludf.DUMMYFUNCTION("""COMPUTED_VALUE"""),"Ashok Kumar Choudhary")</f>
        <v>Ashok Kumar Choudhary</v>
      </c>
      <c r="O85" s="21" t="str">
        <f>IFERROR(__xludf.DUMMYFUNCTION("""COMPUTED_VALUE"""),"Grocery Shop")</f>
        <v>Grocery Shop</v>
      </c>
      <c r="P85" s="21" t="str">
        <f>IFERROR(__xludf.DUMMYFUNCTION("""COMPUTED_VALUE"""),"Samastipur, Bihar")</f>
        <v>Samastipur, Bihar</v>
      </c>
      <c r="Q85" s="21">
        <f>IFERROR(__xludf.DUMMYFUNCTION("""COMPUTED_VALUE"""),8.210741328E9)</f>
        <v>8210741328</v>
      </c>
      <c r="R85" s="21" t="str">
        <f>IFERROR(__xludf.DUMMYFUNCTION("""COMPUTED_VALUE"""),"Sudha Rani")</f>
        <v>Sudha Rani</v>
      </c>
      <c r="S85" s="21" t="str">
        <f>IFERROR(__xludf.DUMMYFUNCTION("""COMPUTED_VALUE"""),"House wife")</f>
        <v>House wife</v>
      </c>
      <c r="T85" s="21" t="str">
        <f>IFERROR(__xludf.DUMMYFUNCTION("""COMPUTED_VALUE"""),"Samastipur, Bihar")</f>
        <v>Samastipur, Bihar</v>
      </c>
      <c r="U85" s="21">
        <f>IFERROR(__xludf.DUMMYFUNCTION("""COMPUTED_VALUE"""),9.934034117E9)</f>
        <v>9934034117</v>
      </c>
      <c r="V85" s="21">
        <f>IFERROR(__xludf.DUMMYFUNCTION("""COMPUTED_VALUE"""),2.0)</f>
        <v>2</v>
      </c>
      <c r="W85" s="21" t="str">
        <f>IFERROR(__xludf.DUMMYFUNCTION("""COMPUTED_VALUE"""),"Ashok Kumar Choudhary ")</f>
        <v>Ashok Kumar Choudhary </v>
      </c>
      <c r="X85" s="21" t="str">
        <f>IFERROR(__xludf.DUMMYFUNCTION("""COMPUTED_VALUE"""),"Father")</f>
        <v>Father</v>
      </c>
      <c r="Y85" s="21" t="str">
        <f>IFERROR(__xludf.DUMMYFUNCTION("""COMPUTED_VALUE"""),"Sudha Rani")</f>
        <v>Sudha Rani</v>
      </c>
      <c r="Z85" s="21" t="str">
        <f>IFERROR(__xludf.DUMMYFUNCTION("""COMPUTED_VALUE"""),"Mother")</f>
        <v>Mother</v>
      </c>
      <c r="AA85" s="21" t="str">
        <f>IFERROR(__xludf.DUMMYFUNCTION("""COMPUTED_VALUE"""),"Non-Veg")</f>
        <v>Non-Veg</v>
      </c>
      <c r="AB85" s="21" t="str">
        <f>IFERROR(__xludf.DUMMYFUNCTION("""COMPUTED_VALUE"""),"Veg")</f>
        <v>Veg</v>
      </c>
      <c r="AC85" s="21" t="str">
        <f>IFERROR(__xludf.DUMMYFUNCTION("""COMPUTED_VALUE"""),"Veg")</f>
        <v>Veg</v>
      </c>
      <c r="AD85" s="21" t="str">
        <f>IFERROR(__xludf.DUMMYFUNCTION("""COMPUTED_VALUE"""),"Bus Drop Service not needed")</f>
        <v>Bus Drop Service not needed</v>
      </c>
      <c r="AE85" s="21">
        <f>IFERROR(__xludf.DUMMYFUNCTION("""COMPUTED_VALUE"""),0.0)</f>
        <v>0</v>
      </c>
    </row>
    <row r="86" ht="22.5" customHeight="1">
      <c r="A86" s="18">
        <f>IFERROR(__xludf.DUMMYFUNCTION("""COMPUTED_VALUE"""),46262.38976675926)</f>
        <v>46262.38977</v>
      </c>
      <c r="B86" s="21" t="str">
        <f>IFERROR(__xludf.DUMMYFUNCTION("""COMPUTED_VALUE"""),"akshay.mbbs-2020@aiimskalyani.edu.in")</f>
        <v>akshay.mbbs-2020@aiimskalyani.edu.in</v>
      </c>
      <c r="C86" s="21" t="str">
        <f>IFERROR(__xludf.DUMMYFUNCTION("""COMPUTED_VALUE"""),"AKSHAY SHARMA ")</f>
        <v>AKSHAY SHARMA </v>
      </c>
      <c r="D86" s="21">
        <f>IFERROR(__xludf.DUMMYFUNCTION("""COMPUTED_VALUE"""),2.0200157E7)</f>
        <v>20200157</v>
      </c>
      <c r="E86" s="21" t="str">
        <f>IFERROR(__xludf.DUMMYFUNCTION("""COMPUTED_VALUE"""),"MBBS 2020")</f>
        <v>MBBS 2020</v>
      </c>
      <c r="F86" s="21">
        <f>IFERROR(__xludf.DUMMYFUNCTION("""COMPUTED_VALUE"""),8.016283467E9)</f>
        <v>8016283467</v>
      </c>
      <c r="G86" s="21" t="str">
        <f>IFERROR(__xludf.DUMMYFUNCTION("""COMPUTED_VALUE"""),"xaysharma6365@gmail.com")</f>
        <v>xaysharma6365@gmail.com</v>
      </c>
      <c r="H86" s="21" t="str">
        <f>IFERROR(__xludf.DUMMYFUNCTION("""COMPUTED_VALUE"""),"Yes")</f>
        <v>Yes</v>
      </c>
      <c r="I86" s="21" t="str">
        <f>IFERROR(__xludf.DUMMYFUNCTION("""COMPUTED_VALUE"""),"Sports ")</f>
        <v>Sports </v>
      </c>
      <c r="J86" s="21" t="str">
        <f>IFERROR(__xludf.DUMMYFUNCTION("""COMPUTED_VALUE"""),"Cricket ")</f>
        <v>Cricket </v>
      </c>
      <c r="K86" s="21" t="str">
        <f>IFERROR(__xludf.DUMMYFUNCTION("""COMPUTED_VALUE"""),"Sikar")</f>
        <v>Sikar</v>
      </c>
      <c r="L86" s="22" t="str">
        <f>IFERROR(__xludf.DUMMYFUNCTION("""COMPUTED_VALUE"""),"https://drive.google.com/open?id=1ItmdZQFTymSYMMTI1_Y7PkbVoZ62MP4z")</f>
        <v>https://drive.google.com/open?id=1ItmdZQFTymSYMMTI1_Y7PkbVoZ62MP4z</v>
      </c>
      <c r="M86" s="22" t="str">
        <f>IFERROR(__xludf.DUMMYFUNCTION("""COMPUTED_VALUE"""),"https://drive.google.com/open?id=1E0Vszup2lQLfdpgMIBj2WugQ756uMslC")</f>
        <v>https://drive.google.com/open?id=1E0Vszup2lQLfdpgMIBj2WugQ756uMslC</v>
      </c>
      <c r="N86" s="21" t="str">
        <f>IFERROR(__xludf.DUMMYFUNCTION("""COMPUTED_VALUE"""),"Anil Kumar Sharma ")</f>
        <v>Anil Kumar Sharma </v>
      </c>
      <c r="O86" s="21" t="str">
        <f>IFERROR(__xludf.DUMMYFUNCTION("""COMPUTED_VALUE"""),"Farmer ")</f>
        <v>Farmer </v>
      </c>
      <c r="P86" s="21" t="str">
        <f>IFERROR(__xludf.DUMMYFUNCTION("""COMPUTED_VALUE"""),"Sikar ")</f>
        <v>Sikar </v>
      </c>
      <c r="Q86" s="21">
        <f>IFERROR(__xludf.DUMMYFUNCTION("""COMPUTED_VALUE"""),8.016283467E9)</f>
        <v>8016283467</v>
      </c>
      <c r="R86" s="21" t="str">
        <f>IFERROR(__xludf.DUMMYFUNCTION("""COMPUTED_VALUE"""),"Kiran Sharma ")</f>
        <v>Kiran Sharma </v>
      </c>
      <c r="S86" s="21" t="str">
        <f>IFERROR(__xludf.DUMMYFUNCTION("""COMPUTED_VALUE"""),"House maker")</f>
        <v>House maker</v>
      </c>
      <c r="T86" s="21" t="str">
        <f>IFERROR(__xludf.DUMMYFUNCTION("""COMPUTED_VALUE"""),"Sikar ")</f>
        <v>Sikar </v>
      </c>
      <c r="U86" s="21">
        <f>IFERROR(__xludf.DUMMYFUNCTION("""COMPUTED_VALUE"""),8.016283467E9)</f>
        <v>8016283467</v>
      </c>
      <c r="V86" s="21">
        <f>IFERROR(__xludf.DUMMYFUNCTION("""COMPUTED_VALUE"""),2.0)</f>
        <v>2</v>
      </c>
      <c r="W86" s="21" t="str">
        <f>IFERROR(__xludf.DUMMYFUNCTION("""COMPUTED_VALUE"""),"Kiran Sharma ")</f>
        <v>Kiran Sharma </v>
      </c>
      <c r="X86" s="21" t="str">
        <f>IFERROR(__xludf.DUMMYFUNCTION("""COMPUTED_VALUE"""),"Mother ")</f>
        <v>Mother </v>
      </c>
      <c r="Y86" s="21" t="str">
        <f>IFERROR(__xludf.DUMMYFUNCTION("""COMPUTED_VALUE"""),"Anil kumar sharma ")</f>
        <v>Anil kumar sharma </v>
      </c>
      <c r="Z86" s="21" t="str">
        <f>IFERROR(__xludf.DUMMYFUNCTION("""COMPUTED_VALUE"""),"Father ")</f>
        <v>Father </v>
      </c>
      <c r="AA86" s="21" t="str">
        <f>IFERROR(__xludf.DUMMYFUNCTION("""COMPUTED_VALUE"""),"Veg")</f>
        <v>Veg</v>
      </c>
      <c r="AB86" s="21" t="str">
        <f>IFERROR(__xludf.DUMMYFUNCTION("""COMPUTED_VALUE"""),"Veg")</f>
        <v>Veg</v>
      </c>
      <c r="AC86" s="21" t="str">
        <f>IFERROR(__xludf.DUMMYFUNCTION("""COMPUTED_VALUE"""),"Veg")</f>
        <v>Veg</v>
      </c>
      <c r="AD86" s="21" t="str">
        <f>IFERROR(__xludf.DUMMYFUNCTION("""COMPUTED_VALUE"""),"Bus Drop Service not needed")</f>
        <v>Bus Drop Service not needed</v>
      </c>
      <c r="AE86" s="21">
        <f>IFERROR(__xludf.DUMMYFUNCTION("""COMPUTED_VALUE"""),0.0)</f>
        <v>0</v>
      </c>
    </row>
    <row r="87" ht="22.5" customHeight="1">
      <c r="A87" s="18">
        <f>IFERROR(__xludf.DUMMYFUNCTION("""COMPUTED_VALUE"""),46261.843299479166)</f>
        <v>46261.8433</v>
      </c>
      <c r="B87" s="21" t="str">
        <f>IFERROR(__xludf.DUMMYFUNCTION("""COMPUTED_VALUE"""),"abil.mbbs-2020@aiimskalyani.edu.in")</f>
        <v>abil.mbbs-2020@aiimskalyani.edu.in</v>
      </c>
      <c r="C87" s="21" t="str">
        <f>IFERROR(__xludf.DUMMYFUNCTION("""COMPUTED_VALUE"""),"ABIL KUMAR")</f>
        <v>ABIL KUMAR</v>
      </c>
      <c r="D87" s="21">
        <f>IFERROR(__xludf.DUMMYFUNCTION("""COMPUTED_VALUE"""),2.0200152E7)</f>
        <v>20200152</v>
      </c>
      <c r="E87" s="21" t="str">
        <f>IFERROR(__xludf.DUMMYFUNCTION("""COMPUTED_VALUE"""),"MBBS 2020")</f>
        <v>MBBS 2020</v>
      </c>
      <c r="F87" s="21">
        <f>IFERROR(__xludf.DUMMYFUNCTION("""COMPUTED_VALUE"""),9.671886427E9)</f>
        <v>9671886427</v>
      </c>
      <c r="G87" s="21" t="str">
        <f>IFERROR(__xludf.DUMMYFUNCTION("""COMPUTED_VALUE"""),"abhisaini00011@gmail.com")</f>
        <v>abhisaini00011@gmail.com</v>
      </c>
      <c r="H87" s="21" t="str">
        <f>IFERROR(__xludf.DUMMYFUNCTION("""COMPUTED_VALUE"""),"Yes")</f>
        <v>Yes</v>
      </c>
      <c r="I87" s="21"/>
      <c r="J87" s="21"/>
      <c r="K87" s="21" t="str">
        <f>IFERROR(__xludf.DUMMYFUNCTION("""COMPUTED_VALUE"""),"Yamunanagar (haryana)")</f>
        <v>Yamunanagar (haryana)</v>
      </c>
      <c r="L87" s="22" t="str">
        <f>IFERROR(__xludf.DUMMYFUNCTION("""COMPUTED_VALUE"""),"https://drive.google.com/open?id=1zwdEFcV9P321Q6Jkzx-Cv1wnMXEHxajP")</f>
        <v>https://drive.google.com/open?id=1zwdEFcV9P321Q6Jkzx-Cv1wnMXEHxajP</v>
      </c>
      <c r="M87" s="22" t="str">
        <f>IFERROR(__xludf.DUMMYFUNCTION("""COMPUTED_VALUE"""),"https://drive.google.com/open?id=1IFG8feelFIXlMM6oKKg5CWGBzzIZIh4e")</f>
        <v>https://drive.google.com/open?id=1IFG8feelFIXlMM6oKKg5CWGBzzIZIh4e</v>
      </c>
      <c r="N87" s="21" t="str">
        <f>IFERROR(__xludf.DUMMYFUNCTION("""COMPUTED_VALUE"""),"Jaikishan saini")</f>
        <v>Jaikishan saini</v>
      </c>
      <c r="O87" s="21" t="str">
        <f>IFERROR(__xludf.DUMMYFUNCTION("""COMPUTED_VALUE"""),"Engineer")</f>
        <v>Engineer</v>
      </c>
      <c r="P87" s="21" t="str">
        <f>IFERROR(__xludf.DUMMYFUNCTION("""COMPUTED_VALUE"""),"Yamunanagar ( Haryana)")</f>
        <v>Yamunanagar ( Haryana)</v>
      </c>
      <c r="Q87" s="21">
        <f>IFERROR(__xludf.DUMMYFUNCTION("""COMPUTED_VALUE"""),8.05981759E9)</f>
        <v>8059817590</v>
      </c>
      <c r="R87" s="21" t="str">
        <f>IFERROR(__xludf.DUMMYFUNCTION("""COMPUTED_VALUE"""),"Raj dulari ")</f>
        <v>Raj dulari </v>
      </c>
      <c r="S87" s="21" t="str">
        <f>IFERROR(__xludf.DUMMYFUNCTION("""COMPUTED_VALUE"""),"Homemaker ")</f>
        <v>Homemaker </v>
      </c>
      <c r="T87" s="21" t="str">
        <f>IFERROR(__xludf.DUMMYFUNCTION("""COMPUTED_VALUE"""),"Yamunanagar (Haryana)")</f>
        <v>Yamunanagar (Haryana)</v>
      </c>
      <c r="U87" s="21">
        <f>IFERROR(__xludf.DUMMYFUNCTION("""COMPUTED_VALUE"""),8.16801149E9)</f>
        <v>8168011490</v>
      </c>
      <c r="V87" s="21">
        <f>IFERROR(__xludf.DUMMYFUNCTION("""COMPUTED_VALUE"""),0.0)</f>
        <v>0</v>
      </c>
      <c r="W87" s="21"/>
      <c r="X87" s="21"/>
      <c r="Y87" s="21"/>
      <c r="Z87" s="21"/>
      <c r="AA87" s="21" t="str">
        <f>IFERROR(__xludf.DUMMYFUNCTION("""COMPUTED_VALUE"""),"Veg")</f>
        <v>Veg</v>
      </c>
      <c r="AB87" s="21"/>
      <c r="AC87" s="21"/>
      <c r="AD87" s="21" t="str">
        <f>IFERROR(__xludf.DUMMYFUNCTION("""COMPUTED_VALUE"""),"Bus Drop Service not needed")</f>
        <v>Bus Drop Service not needed</v>
      </c>
      <c r="AE87" s="21">
        <f>IFERROR(__xludf.DUMMYFUNCTION("""COMPUTED_VALUE"""),0.0)</f>
        <v>0</v>
      </c>
    </row>
    <row r="88" ht="22.5" customHeight="1">
      <c r="A88" s="18">
        <f>IFERROR(__xludf.DUMMYFUNCTION("""COMPUTED_VALUE"""),46261.75005681713)</f>
        <v>46261.75006</v>
      </c>
      <c r="B88" s="21" t="str">
        <f>IFERROR(__xludf.DUMMYFUNCTION("""COMPUTED_VALUE"""),"ashok.mbbs-2020@aiimskalyani.edu.in")</f>
        <v>ashok.mbbs-2020@aiimskalyani.edu.in</v>
      </c>
      <c r="C88" s="21" t="str">
        <f>IFERROR(__xludf.DUMMYFUNCTION("""COMPUTED_VALUE"""),"ASHOK KUMAR ")</f>
        <v>ASHOK KUMAR </v>
      </c>
      <c r="D88" s="21">
        <f>IFERROR(__xludf.DUMMYFUNCTION("""COMPUTED_VALUE"""),2.0200177E7)</f>
        <v>20200177</v>
      </c>
      <c r="E88" s="21" t="str">
        <f>IFERROR(__xludf.DUMMYFUNCTION("""COMPUTED_VALUE"""),"MBBS 2020")</f>
        <v>MBBS 2020</v>
      </c>
      <c r="F88" s="21">
        <f>IFERROR(__xludf.DUMMYFUNCTION("""COMPUTED_VALUE"""),9.610132738E9)</f>
        <v>9610132738</v>
      </c>
      <c r="G88" s="21" t="str">
        <f>IFERROR(__xludf.DUMMYFUNCTION("""COMPUTED_VALUE"""),"ashok.mbbs-2020@aiimskalyani.edu.in")</f>
        <v>ashok.mbbs-2020@aiimskalyani.edu.in</v>
      </c>
      <c r="H88" s="21" t="str">
        <f>IFERROR(__xludf.DUMMYFUNCTION("""COMPUTED_VALUE"""),"Yes")</f>
        <v>Yes</v>
      </c>
      <c r="I88" s="21" t="str">
        <f>IFERROR(__xludf.DUMMYFUNCTION("""COMPUTED_VALUE"""),"Playing cricket")</f>
        <v>Playing cricket</v>
      </c>
      <c r="J88" s="21" t="str">
        <f>IFERROR(__xludf.DUMMYFUNCTION("""COMPUTED_VALUE"""),"Cricket")</f>
        <v>Cricket</v>
      </c>
      <c r="K88" s="21" t="str">
        <f>IFERROR(__xludf.DUMMYFUNCTION("""COMPUTED_VALUE"""),"Gudamalani, Barmer, Rajasthan ")</f>
        <v>Gudamalani, Barmer, Rajasthan </v>
      </c>
      <c r="L88" s="22" t="str">
        <f>IFERROR(__xludf.DUMMYFUNCTION("""COMPUTED_VALUE"""),"https://drive.google.com/open?id=1DCVm9ykzqDErz0EjbdSm9jvVk0ZLCDza")</f>
        <v>https://drive.google.com/open?id=1DCVm9ykzqDErz0EjbdSm9jvVk0ZLCDza</v>
      </c>
      <c r="M88" s="22" t="str">
        <f>IFERROR(__xludf.DUMMYFUNCTION("""COMPUTED_VALUE"""),"https://drive.google.com/open?id=1TUTEY9I_2s5assnVLiXCGzIDtFy0AZ6k")</f>
        <v>https://drive.google.com/open?id=1TUTEY9I_2s5assnVLiXCGzIDtFy0AZ6k</v>
      </c>
      <c r="N88" s="21" t="str">
        <f>IFERROR(__xludf.DUMMYFUNCTION("""COMPUTED_VALUE"""),"BAGA RAM")</f>
        <v>BAGA RAM</v>
      </c>
      <c r="O88" s="21" t="str">
        <f>IFERROR(__xludf.DUMMYFUNCTION("""COMPUTED_VALUE"""),"Farmer ")</f>
        <v>Farmer </v>
      </c>
      <c r="P88" s="21" t="str">
        <f>IFERROR(__xludf.DUMMYFUNCTION("""COMPUTED_VALUE"""),"Gudamalani")</f>
        <v>Gudamalani</v>
      </c>
      <c r="Q88" s="21">
        <f>IFERROR(__xludf.DUMMYFUNCTION("""COMPUTED_VALUE"""),9.610132738E9)</f>
        <v>9610132738</v>
      </c>
      <c r="R88" s="21" t="str">
        <f>IFERROR(__xludf.DUMMYFUNCTION("""COMPUTED_VALUE"""),"LEELU DEVI")</f>
        <v>LEELU DEVI</v>
      </c>
      <c r="S88" s="21" t="str">
        <f>IFERROR(__xludf.DUMMYFUNCTION("""COMPUTED_VALUE"""),"Housewife")</f>
        <v>Housewife</v>
      </c>
      <c r="T88" s="21" t="str">
        <f>IFERROR(__xludf.DUMMYFUNCTION("""COMPUTED_VALUE"""),"Gudamalani ")</f>
        <v>Gudamalani </v>
      </c>
      <c r="U88" s="21">
        <f>IFERROR(__xludf.DUMMYFUNCTION("""COMPUTED_VALUE"""),9.549454347E9)</f>
        <v>9549454347</v>
      </c>
      <c r="V88" s="21">
        <f>IFERROR(__xludf.DUMMYFUNCTION("""COMPUTED_VALUE"""),1.0)</f>
        <v>1</v>
      </c>
      <c r="W88" s="21" t="str">
        <f>IFERROR(__xludf.DUMMYFUNCTION("""COMPUTED_VALUE"""),"ISHWAR")</f>
        <v>ISHWAR</v>
      </c>
      <c r="X88" s="21" t="str">
        <f>IFERROR(__xludf.DUMMYFUNCTION("""COMPUTED_VALUE"""),"Brother")</f>
        <v>Brother</v>
      </c>
      <c r="Y88" s="21"/>
      <c r="Z88" s="21"/>
      <c r="AA88" s="21" t="str">
        <f>IFERROR(__xludf.DUMMYFUNCTION("""COMPUTED_VALUE"""),"Veg")</f>
        <v>Veg</v>
      </c>
      <c r="AB88" s="21" t="str">
        <f>IFERROR(__xludf.DUMMYFUNCTION("""COMPUTED_VALUE"""),"Veg")</f>
        <v>Veg</v>
      </c>
      <c r="AC88" s="21" t="str">
        <f>IFERROR(__xludf.DUMMYFUNCTION("""COMPUTED_VALUE"""),"Veg")</f>
        <v>Veg</v>
      </c>
      <c r="AD88" s="21" t="str">
        <f>IFERROR(__xludf.DUMMYFUNCTION("""COMPUTED_VALUE"""),"Bus Drop Service not needed")</f>
        <v>Bus Drop Service not needed</v>
      </c>
      <c r="AE88" s="21">
        <f>IFERROR(__xludf.DUMMYFUNCTION("""COMPUTED_VALUE"""),0.0)</f>
        <v>0</v>
      </c>
    </row>
    <row r="89" ht="22.5" customHeight="1">
      <c r="A89" s="18">
        <f>IFERROR(__xludf.DUMMYFUNCTION("""COMPUTED_VALUE"""),46261.69396665509)</f>
        <v>46261.69397</v>
      </c>
      <c r="B89" s="21" t="str">
        <f>IFERROR(__xludf.DUMMYFUNCTION("""COMPUTED_VALUE"""),"jagruti.mbbs-2020@aiimskalyani.edu.in")</f>
        <v>jagruti.mbbs-2020@aiimskalyani.edu.in</v>
      </c>
      <c r="C89" s="21" t="str">
        <f>IFERROR(__xludf.DUMMYFUNCTION("""COMPUTED_VALUE"""),"JAGRUTI BISWAL ")</f>
        <v>JAGRUTI BISWAL </v>
      </c>
      <c r="D89" s="21" t="str">
        <f>IFERROR(__xludf.DUMMYFUNCTION("""COMPUTED_VALUE"""),"53/202001103")</f>
        <v>53/202001103</v>
      </c>
      <c r="E89" s="21" t="str">
        <f>IFERROR(__xludf.DUMMYFUNCTION("""COMPUTED_VALUE"""),"MBBS 2020")</f>
        <v>MBBS 2020</v>
      </c>
      <c r="F89" s="21">
        <f>IFERROR(__xludf.DUMMYFUNCTION("""COMPUTED_VALUE"""),7.848081502E9)</f>
        <v>7848081502</v>
      </c>
      <c r="G89" s="21" t="str">
        <f>IFERROR(__xludf.DUMMYFUNCTION("""COMPUTED_VALUE"""),"jagruti.mbbs-2020@aiimskalyani.edu.in")</f>
        <v>jagruti.mbbs-2020@aiimskalyani.edu.in</v>
      </c>
      <c r="H89" s="21" t="str">
        <f>IFERROR(__xludf.DUMMYFUNCTION("""COMPUTED_VALUE"""),"Yes")</f>
        <v>Yes</v>
      </c>
      <c r="I89" s="21" t="str">
        <f>IFERROR(__xludf.DUMMYFUNCTION("""COMPUTED_VALUE"""),"Art and poster ")</f>
        <v>Art and poster </v>
      </c>
      <c r="J89" s="21"/>
      <c r="K89" s="21" t="str">
        <f>IFERROR(__xludf.DUMMYFUNCTION("""COMPUTED_VALUE"""),"Khamar , Dist- Angul , Odisha ")</f>
        <v>Khamar , Dist- Angul , Odisha </v>
      </c>
      <c r="L89" s="22" t="str">
        <f>IFERROR(__xludf.DUMMYFUNCTION("""COMPUTED_VALUE"""),"https://drive.google.com/open?id=17ExJneL3SUtqC9Qf7axOqaajenbgeByB")</f>
        <v>https://drive.google.com/open?id=17ExJneL3SUtqC9Qf7axOqaajenbgeByB</v>
      </c>
      <c r="M89" s="22" t="str">
        <f>IFERROR(__xludf.DUMMYFUNCTION("""COMPUTED_VALUE"""),"https://drive.google.com/open?id=10CRwIMWLrQ1rlIWdSN3Q5Rc9IDxk7hD_")</f>
        <v>https://drive.google.com/open?id=10CRwIMWLrQ1rlIWdSN3Q5Rc9IDxk7hD_</v>
      </c>
      <c r="N89" s="21" t="str">
        <f>IFERROR(__xludf.DUMMYFUNCTION("""COMPUTED_VALUE"""),"Jayadeb Biswal")</f>
        <v>Jayadeb Biswal</v>
      </c>
      <c r="O89" s="21" t="str">
        <f>IFERROR(__xludf.DUMMYFUNCTION("""COMPUTED_VALUE"""),"Lecture in Physics ")</f>
        <v>Lecture in Physics </v>
      </c>
      <c r="P89" s="21" t="str">
        <f>IFERROR(__xludf.DUMMYFUNCTION("""COMPUTED_VALUE"""),"Khamar ,Dist -Angul ,Odisha ")</f>
        <v>Khamar ,Dist -Angul ,Odisha </v>
      </c>
      <c r="Q89" s="21">
        <f>IFERROR(__xludf.DUMMYFUNCTION("""COMPUTED_VALUE"""),6.370124355E9)</f>
        <v>6370124355</v>
      </c>
      <c r="R89" s="21" t="str">
        <f>IFERROR(__xludf.DUMMYFUNCTION("""COMPUTED_VALUE"""),"Geetanjali Pradhan")</f>
        <v>Geetanjali Pradhan</v>
      </c>
      <c r="S89" s="21" t="str">
        <f>IFERROR(__xludf.DUMMYFUNCTION("""COMPUTED_VALUE"""),"Teacher ")</f>
        <v>Teacher </v>
      </c>
      <c r="T89" s="21" t="str">
        <f>IFERROR(__xludf.DUMMYFUNCTION("""COMPUTED_VALUE"""),"Khamar ,Dist -Angul ,Odisha")</f>
        <v>Khamar ,Dist -Angul ,Odisha</v>
      </c>
      <c r="U89" s="21">
        <f>IFERROR(__xludf.DUMMYFUNCTION("""COMPUTED_VALUE"""),6.372837323E9)</f>
        <v>6372837323</v>
      </c>
      <c r="V89" s="21">
        <f>IFERROR(__xludf.DUMMYFUNCTION("""COMPUTED_VALUE"""),2.0)</f>
        <v>2</v>
      </c>
      <c r="W89" s="21" t="str">
        <f>IFERROR(__xludf.DUMMYFUNCTION("""COMPUTED_VALUE"""),"Jayadeb Biswal ")</f>
        <v>Jayadeb Biswal </v>
      </c>
      <c r="X89" s="21" t="str">
        <f>IFERROR(__xludf.DUMMYFUNCTION("""COMPUTED_VALUE"""),"Father")</f>
        <v>Father</v>
      </c>
      <c r="Y89" s="21" t="str">
        <f>IFERROR(__xludf.DUMMYFUNCTION("""COMPUTED_VALUE"""),"Geetanjali Pradhan ")</f>
        <v>Geetanjali Pradhan </v>
      </c>
      <c r="Z89" s="21" t="str">
        <f>IFERROR(__xludf.DUMMYFUNCTION("""COMPUTED_VALUE"""),"Mother")</f>
        <v>Mother</v>
      </c>
      <c r="AA89" s="21" t="str">
        <f>IFERROR(__xludf.DUMMYFUNCTION("""COMPUTED_VALUE"""),"Veg")</f>
        <v>Veg</v>
      </c>
      <c r="AB89" s="21" t="str">
        <f>IFERROR(__xludf.DUMMYFUNCTION("""COMPUTED_VALUE"""),"Veg")</f>
        <v>Veg</v>
      </c>
      <c r="AC89" s="21" t="str">
        <f>IFERROR(__xludf.DUMMYFUNCTION("""COMPUTED_VALUE"""),"Veg")</f>
        <v>Veg</v>
      </c>
      <c r="AD89" s="21" t="str">
        <f>IFERROR(__xludf.DUMMYFUNCTION("""COMPUTED_VALUE"""),"Bus Drop Service not needed")</f>
        <v>Bus Drop Service not needed</v>
      </c>
      <c r="AE89" s="21"/>
    </row>
    <row r="90" ht="22.5" customHeight="1">
      <c r="A90" s="18">
        <f>IFERROR(__xludf.DUMMYFUNCTION("""COMPUTED_VALUE"""),46261.47949528936)</f>
        <v>46261.4795</v>
      </c>
      <c r="B90" s="21" t="str">
        <f>IFERROR(__xludf.DUMMYFUNCTION("""COMPUTED_VALUE"""),"krishnendu.mbbs-2020@aiimskalyani.edu.in")</f>
        <v>krishnendu.mbbs-2020@aiimskalyani.edu.in</v>
      </c>
      <c r="C90" s="21" t="str">
        <f>IFERROR(__xludf.DUMMYFUNCTION("""COMPUTED_VALUE"""),"Krishnendu Mondal ")</f>
        <v>Krishnendu Mondal </v>
      </c>
      <c r="D90" s="21">
        <f>IFERROR(__xludf.DUMMYFUNCTION("""COMPUTED_VALUE"""),2.02001109E8)</f>
        <v>202001109</v>
      </c>
      <c r="E90" s="21" t="str">
        <f>IFERROR(__xludf.DUMMYFUNCTION("""COMPUTED_VALUE"""),"MBBS 2020")</f>
        <v>MBBS 2020</v>
      </c>
      <c r="F90" s="21">
        <f>IFERROR(__xludf.DUMMYFUNCTION("""COMPUTED_VALUE"""),6.294794461E9)</f>
        <v>6294794461</v>
      </c>
      <c r="G90" s="21" t="str">
        <f>IFERROR(__xludf.DUMMYFUNCTION("""COMPUTED_VALUE"""),"mondalkrish958@gmail.com")</f>
        <v>mondalkrish958@gmail.com</v>
      </c>
      <c r="H90" s="21" t="str">
        <f>IFERROR(__xludf.DUMMYFUNCTION("""COMPUTED_VALUE"""),"Yes")</f>
        <v>Yes</v>
      </c>
      <c r="I90" s="21" t="str">
        <f>IFERROR(__xludf.DUMMYFUNCTION("""COMPUTED_VALUE"""),"My favourite hobby is photography. I enjoy capturing beautiful moments, interesting places, and everyday scenes through my camera. Photography allows me to observe the world more carefully and express my creativity. It gives me a sense of relaxation and s"&amp;"atisfaction, especially when I capture a picture exactly the way I imagined it.")</f>
        <v>My favourite hobby is photography. I enjoy capturing beautiful moments, interesting places, and everyday scenes through my camera. Photography allows me to observe the world more carefully and express my creativity. It gives me a sense of relaxation and satisfaction, especially when I capture a picture exactly the way I imagined it.</v>
      </c>
      <c r="J90" s="21"/>
      <c r="K90" s="21" t="str">
        <f>IFERROR(__xludf.DUMMYFUNCTION("""COMPUTED_VALUE"""),"Bardhaman ")</f>
        <v>Bardhaman </v>
      </c>
      <c r="L90" s="22" t="str">
        <f>IFERROR(__xludf.DUMMYFUNCTION("""COMPUTED_VALUE"""),"https://drive.google.com/open?id=1GIGpB-tlDRzkPCSVeWaPPwsNnFMrCLdR")</f>
        <v>https://drive.google.com/open?id=1GIGpB-tlDRzkPCSVeWaPPwsNnFMrCLdR</v>
      </c>
      <c r="M90" s="22" t="str">
        <f>IFERROR(__xludf.DUMMYFUNCTION("""COMPUTED_VALUE"""),"https://drive.google.com/open?id=1EGPEv54gplcZHH1Y3Nr8DfNpueu5PTVN")</f>
        <v>https://drive.google.com/open?id=1EGPEv54gplcZHH1Y3Nr8DfNpueu5PTVN</v>
      </c>
      <c r="N90" s="21" t="str">
        <f>IFERROR(__xludf.DUMMYFUNCTION("""COMPUTED_VALUE"""),"Raghupati Mondal")</f>
        <v>Raghupati Mondal</v>
      </c>
      <c r="O90" s="21" t="str">
        <f>IFERROR(__xludf.DUMMYFUNCTION("""COMPUTED_VALUE"""),"Teacher")</f>
        <v>Teacher</v>
      </c>
      <c r="P90" s="21" t="str">
        <f>IFERROR(__xludf.DUMMYFUNCTION("""COMPUTED_VALUE"""),"Bardhaman")</f>
        <v>Bardhaman</v>
      </c>
      <c r="Q90" s="21">
        <f>IFERROR(__xludf.DUMMYFUNCTION("""COMPUTED_VALUE"""),9.732084464E9)</f>
        <v>9732084464</v>
      </c>
      <c r="R90" s="21" t="str">
        <f>IFERROR(__xludf.DUMMYFUNCTION("""COMPUTED_VALUE"""),"Susmita Mondal")</f>
        <v>Susmita Mondal</v>
      </c>
      <c r="S90" s="21" t="str">
        <f>IFERROR(__xludf.DUMMYFUNCTION("""COMPUTED_VALUE"""),"Home Maker")</f>
        <v>Home Maker</v>
      </c>
      <c r="T90" s="21" t="str">
        <f>IFERROR(__xludf.DUMMYFUNCTION("""COMPUTED_VALUE"""),"Bardhaman")</f>
        <v>Bardhaman</v>
      </c>
      <c r="U90" s="21">
        <f>IFERROR(__xludf.DUMMYFUNCTION("""COMPUTED_VALUE"""),8.001666664E9)</f>
        <v>8001666664</v>
      </c>
      <c r="V90" s="21">
        <f>IFERROR(__xludf.DUMMYFUNCTION("""COMPUTED_VALUE"""),2.0)</f>
        <v>2</v>
      </c>
      <c r="W90" s="21" t="str">
        <f>IFERROR(__xludf.DUMMYFUNCTION("""COMPUTED_VALUE"""),"Raghupati Mondal")</f>
        <v>Raghupati Mondal</v>
      </c>
      <c r="X90" s="21" t="str">
        <f>IFERROR(__xludf.DUMMYFUNCTION("""COMPUTED_VALUE"""),"Father")</f>
        <v>Father</v>
      </c>
      <c r="Y90" s="21" t="str">
        <f>IFERROR(__xludf.DUMMYFUNCTION("""COMPUTED_VALUE"""),"Susmita Mondal")</f>
        <v>Susmita Mondal</v>
      </c>
      <c r="Z90" s="21" t="str">
        <f>IFERROR(__xludf.DUMMYFUNCTION("""COMPUTED_VALUE"""),"Mother")</f>
        <v>Mother</v>
      </c>
      <c r="AA90" s="21" t="str">
        <f>IFERROR(__xludf.DUMMYFUNCTION("""COMPUTED_VALUE"""),"Non-Veg")</f>
        <v>Non-Veg</v>
      </c>
      <c r="AB90" s="21" t="str">
        <f>IFERROR(__xludf.DUMMYFUNCTION("""COMPUTED_VALUE"""),"Non-Veg")</f>
        <v>Non-Veg</v>
      </c>
      <c r="AC90" s="21" t="str">
        <f>IFERROR(__xludf.DUMMYFUNCTION("""COMPUTED_VALUE"""),"Non-Veg")</f>
        <v>Non-Veg</v>
      </c>
      <c r="AD90" s="21" t="str">
        <f>IFERROR(__xludf.DUMMYFUNCTION("""COMPUTED_VALUE"""),"Bus Drop Service not needed")</f>
        <v>Bus Drop Service not needed</v>
      </c>
      <c r="AE90" s="21">
        <f>IFERROR(__xludf.DUMMYFUNCTION("""COMPUTED_VALUE"""),0.0)</f>
        <v>0</v>
      </c>
    </row>
    <row r="91" ht="22.5" customHeight="1">
      <c r="A91" s="18">
        <f>IFERROR(__xludf.DUMMYFUNCTION("""COMPUTED_VALUE"""),46260.72056540509)</f>
        <v>46260.72057</v>
      </c>
      <c r="B91" s="21" t="str">
        <f>IFERROR(__xludf.DUMMYFUNCTION("""COMPUTED_VALUE"""),"ananya.mbbs-2020@aiimskalyani.edu.in")</f>
        <v>ananya.mbbs-2020@aiimskalyani.edu.in</v>
      </c>
      <c r="C91" s="21" t="str">
        <f>IFERROR(__xludf.DUMMYFUNCTION("""COMPUTED_VALUE"""),"ANANYA ARYANKITA ")</f>
        <v>ANANYA ARYANKITA </v>
      </c>
      <c r="D91" s="21">
        <f>IFERROR(__xludf.DUMMYFUNCTION("""COMPUTED_VALUE"""),2.0200164E7)</f>
        <v>20200164</v>
      </c>
      <c r="E91" s="21" t="str">
        <f>IFERROR(__xludf.DUMMYFUNCTION("""COMPUTED_VALUE"""),"MBBS 2020")</f>
        <v>MBBS 2020</v>
      </c>
      <c r="F91" s="21">
        <f>IFERROR(__xludf.DUMMYFUNCTION("""COMPUTED_VALUE"""),9.078841355E9)</f>
        <v>9078841355</v>
      </c>
      <c r="G91" s="21" t="str">
        <f>IFERROR(__xludf.DUMMYFUNCTION("""COMPUTED_VALUE"""),"aryankita5@gmail.com")</f>
        <v>aryankita5@gmail.com</v>
      </c>
      <c r="H91" s="21" t="str">
        <f>IFERROR(__xludf.DUMMYFUNCTION("""COMPUTED_VALUE"""),"Yes")</f>
        <v>Yes</v>
      </c>
      <c r="I91" s="21" t="str">
        <f>IFERROR(__xludf.DUMMYFUNCTION("""COMPUTED_VALUE"""),"Reading novels, painting ")</f>
        <v>Reading novels, painting </v>
      </c>
      <c r="J91" s="21" t="str">
        <f>IFERROR(__xludf.DUMMYFUNCTION("""COMPUTED_VALUE"""),"1st position in 1st year MBBS professional exams.
3rd position in 4th year MBBS professional exams.")</f>
        <v>1st position in 1st year MBBS professional exams.
3rd position in 4th year MBBS professional exams.</v>
      </c>
      <c r="K91" s="21" t="str">
        <f>IFERROR(__xludf.DUMMYFUNCTION("""COMPUTED_VALUE"""),"Bhubaneswar ")</f>
        <v>Bhubaneswar </v>
      </c>
      <c r="L91" s="22" t="str">
        <f>IFERROR(__xludf.DUMMYFUNCTION("""COMPUTED_VALUE"""),"https://drive.google.com/open?id=17b6bIqVkWSIkAmF68CQSxQ6jnC29-46V")</f>
        <v>https://drive.google.com/open?id=17b6bIqVkWSIkAmF68CQSxQ6jnC29-46V</v>
      </c>
      <c r="M91" s="22" t="str">
        <f>IFERROR(__xludf.DUMMYFUNCTION("""COMPUTED_VALUE"""),"https://drive.google.com/open?id=15mg3M5L4ukDORUqgR1KRrFy6NNLA9FaA")</f>
        <v>https://drive.google.com/open?id=15mg3M5L4ukDORUqgR1KRrFy6NNLA9FaA</v>
      </c>
      <c r="N91" s="21" t="str">
        <f>IFERROR(__xludf.DUMMYFUNCTION("""COMPUTED_VALUE"""),"Krishna Prasad Samantaray")</f>
        <v>Krishna Prasad Samantaray</v>
      </c>
      <c r="O91" s="21" t="str">
        <f>IFERROR(__xludf.DUMMYFUNCTION("""COMPUTED_VALUE"""),"Bank employee, Assistant General Manager")</f>
        <v>Bank employee, Assistant General Manager</v>
      </c>
      <c r="P91" s="21" t="str">
        <f>IFERROR(__xludf.DUMMYFUNCTION("""COMPUTED_VALUE"""),"Bhubaneswar ")</f>
        <v>Bhubaneswar </v>
      </c>
      <c r="Q91" s="21">
        <f>IFERROR(__xludf.DUMMYFUNCTION("""COMPUTED_VALUE"""),9.937014472E9)</f>
        <v>9937014472</v>
      </c>
      <c r="R91" s="21" t="str">
        <f>IFERROR(__xludf.DUMMYFUNCTION("""COMPUTED_VALUE"""),"Jyotirmayee Nayak")</f>
        <v>Jyotirmayee Nayak</v>
      </c>
      <c r="S91" s="21" t="str">
        <f>IFERROR(__xludf.DUMMYFUNCTION("""COMPUTED_VALUE"""),"Homemaker")</f>
        <v>Homemaker</v>
      </c>
      <c r="T91" s="21" t="str">
        <f>IFERROR(__xludf.DUMMYFUNCTION("""COMPUTED_VALUE"""),"Bhubaneswar ")</f>
        <v>Bhubaneswar </v>
      </c>
      <c r="U91" s="21">
        <f>IFERROR(__xludf.DUMMYFUNCTION("""COMPUTED_VALUE"""),9.937732588E9)</f>
        <v>9937732588</v>
      </c>
      <c r="V91" s="21">
        <f>IFERROR(__xludf.DUMMYFUNCTION("""COMPUTED_VALUE"""),2.0)</f>
        <v>2</v>
      </c>
      <c r="W91" s="21" t="str">
        <f>IFERROR(__xludf.DUMMYFUNCTION("""COMPUTED_VALUE"""),"Krishna Prasad Samantaray ")</f>
        <v>Krishna Prasad Samantaray </v>
      </c>
      <c r="X91" s="21" t="str">
        <f>IFERROR(__xludf.DUMMYFUNCTION("""COMPUTED_VALUE"""),"Father")</f>
        <v>Father</v>
      </c>
      <c r="Y91" s="21" t="str">
        <f>IFERROR(__xludf.DUMMYFUNCTION("""COMPUTED_VALUE"""),"Jyotirmayee Nayak ")</f>
        <v>Jyotirmayee Nayak </v>
      </c>
      <c r="Z91" s="21" t="str">
        <f>IFERROR(__xludf.DUMMYFUNCTION("""COMPUTED_VALUE"""),"Mother")</f>
        <v>Mother</v>
      </c>
      <c r="AA91" s="21" t="str">
        <f>IFERROR(__xludf.DUMMYFUNCTION("""COMPUTED_VALUE"""),"Veg")</f>
        <v>Veg</v>
      </c>
      <c r="AB91" s="21" t="str">
        <f>IFERROR(__xludf.DUMMYFUNCTION("""COMPUTED_VALUE"""),"Veg")</f>
        <v>Veg</v>
      </c>
      <c r="AC91" s="21" t="str">
        <f>IFERROR(__xludf.DUMMYFUNCTION("""COMPUTED_VALUE"""),"Veg")</f>
        <v>Veg</v>
      </c>
      <c r="AD91" s="21" t="str">
        <f>IFERROR(__xludf.DUMMYFUNCTION("""COMPUTED_VALUE"""),"Bus Drop Service not needed")</f>
        <v>Bus Drop Service not needed</v>
      </c>
      <c r="AE91" s="21">
        <f>IFERROR(__xludf.DUMMYFUNCTION("""COMPUTED_VALUE"""),0.0)</f>
        <v>0</v>
      </c>
    </row>
    <row r="92" ht="22.5" customHeight="1">
      <c r="A92" s="18">
        <f>IFERROR(__xludf.DUMMYFUNCTION("""COMPUTED_VALUE"""),46260.719568726854)</f>
        <v>46260.71957</v>
      </c>
      <c r="B92" s="21" t="str">
        <f>IFERROR(__xludf.DUMMYFUNCTION("""COMPUTED_VALUE"""),"shraddha.mbbs-2020@aiimskalyani.edu.in")</f>
        <v>shraddha.mbbs-2020@aiimskalyani.edu.in</v>
      </c>
      <c r="C92" s="21" t="str">
        <f>IFERROR(__xludf.DUMMYFUNCTION("""COMPUTED_VALUE"""),"SHRADDHA MATSYAPAL")</f>
        <v>SHRADDHA MATSYAPAL</v>
      </c>
      <c r="D92" s="21" t="str">
        <f>IFERROR(__xludf.DUMMYFUNCTION("""COMPUTED_VALUE"""),"93/202001143")</f>
        <v>93/202001143</v>
      </c>
      <c r="E92" s="21" t="str">
        <f>IFERROR(__xludf.DUMMYFUNCTION("""COMPUTED_VALUE"""),"MBBS 2020")</f>
        <v>MBBS 2020</v>
      </c>
      <c r="F92" s="21">
        <f>IFERROR(__xludf.DUMMYFUNCTION("""COMPUTED_VALUE"""),8.319646271E9)</f>
        <v>8319646271</v>
      </c>
      <c r="G92" s="21" t="str">
        <f>IFERROR(__xludf.DUMMYFUNCTION("""COMPUTED_VALUE"""),"shraddha.mbbs-2020@aiimskalyani.edu.in")</f>
        <v>shraddha.mbbs-2020@aiimskalyani.edu.in</v>
      </c>
      <c r="H92" s="21" t="str">
        <f>IFERROR(__xludf.DUMMYFUNCTION("""COMPUTED_VALUE"""),"Yes")</f>
        <v>Yes</v>
      </c>
      <c r="I92" s="21" t="str">
        <f>IFERROR(__xludf.DUMMYFUNCTION("""COMPUTED_VALUE"""),"Dancing, sketching and traveling")</f>
        <v>Dancing, sketching and traveling</v>
      </c>
      <c r="J92" s="21"/>
      <c r="K92" s="21" t="str">
        <f>IFERROR(__xludf.DUMMYFUNCTION("""COMPUTED_VALUE"""),"Dhamtari")</f>
        <v>Dhamtari</v>
      </c>
      <c r="L92" s="22" t="str">
        <f>IFERROR(__xludf.DUMMYFUNCTION("""COMPUTED_VALUE"""),"https://drive.google.com/open?id=1IGN8QQZm9ZLtGrUOJzX5EeRq2LTFOeS9")</f>
        <v>https://drive.google.com/open?id=1IGN8QQZm9ZLtGrUOJzX5EeRq2LTFOeS9</v>
      </c>
      <c r="M92" s="22" t="str">
        <f>IFERROR(__xludf.DUMMYFUNCTION("""COMPUTED_VALUE"""),"https://drive.google.com/open?id=1sEgVY-mkTmcFAlq_VHH_zH8V7NRcRTZB")</f>
        <v>https://drive.google.com/open?id=1sEgVY-mkTmcFAlq_VHH_zH8V7NRcRTZB</v>
      </c>
      <c r="N92" s="21" t="str">
        <f>IFERROR(__xludf.DUMMYFUNCTION("""COMPUTED_VALUE"""),"Hemant Matsyapal")</f>
        <v>Hemant Matsyapal</v>
      </c>
      <c r="O92" s="21" t="str">
        <f>IFERROR(__xludf.DUMMYFUNCTION("""COMPUTED_VALUE"""),"Additional Collector")</f>
        <v>Additional Collector</v>
      </c>
      <c r="P92" s="21" t="str">
        <f>IFERROR(__xludf.DUMMYFUNCTION("""COMPUTED_VALUE"""),"Dhamtari")</f>
        <v>Dhamtari</v>
      </c>
      <c r="Q92" s="21">
        <f>IFERROR(__xludf.DUMMYFUNCTION("""COMPUTED_VALUE"""),9.42422039E9)</f>
        <v>9424220390</v>
      </c>
      <c r="R92" s="21" t="str">
        <f>IFERROR(__xludf.DUMMYFUNCTION("""COMPUTED_VALUE"""),"Ishwari Matsyapal")</f>
        <v>Ishwari Matsyapal</v>
      </c>
      <c r="S92" s="21" t="str">
        <f>IFERROR(__xludf.DUMMYFUNCTION("""COMPUTED_VALUE"""),"Teacher")</f>
        <v>Teacher</v>
      </c>
      <c r="T92" s="21" t="str">
        <f>IFERROR(__xludf.DUMMYFUNCTION("""COMPUTED_VALUE"""),"Dhamtari")</f>
        <v>Dhamtari</v>
      </c>
      <c r="U92" s="21">
        <f>IFERROR(__xludf.DUMMYFUNCTION("""COMPUTED_VALUE"""),9.40637396E9)</f>
        <v>9406373960</v>
      </c>
      <c r="V92" s="21">
        <f>IFERROR(__xludf.DUMMYFUNCTION("""COMPUTED_VALUE"""),1.0)</f>
        <v>1</v>
      </c>
      <c r="W92" s="21" t="str">
        <f>IFERROR(__xludf.DUMMYFUNCTION("""COMPUTED_VALUE"""),"Ishwari Matsyapal")</f>
        <v>Ishwari Matsyapal</v>
      </c>
      <c r="X92" s="21" t="str">
        <f>IFERROR(__xludf.DUMMYFUNCTION("""COMPUTED_VALUE"""),"Mother")</f>
        <v>Mother</v>
      </c>
      <c r="Y92" s="21"/>
      <c r="Z92" s="21"/>
      <c r="AA92" s="21" t="str">
        <f>IFERROR(__xludf.DUMMYFUNCTION("""COMPUTED_VALUE"""),"Non-Veg")</f>
        <v>Non-Veg</v>
      </c>
      <c r="AB92" s="21" t="str">
        <f>IFERROR(__xludf.DUMMYFUNCTION("""COMPUTED_VALUE"""),"Non-Veg")</f>
        <v>Non-Veg</v>
      </c>
      <c r="AC92" s="21"/>
      <c r="AD92" s="21" t="str">
        <f>IFERROR(__xludf.DUMMYFUNCTION("""COMPUTED_VALUE"""),"Bus Drop Service not needed")</f>
        <v>Bus Drop Service not needed</v>
      </c>
      <c r="AE92" s="21">
        <f>IFERROR(__xludf.DUMMYFUNCTION("""COMPUTED_VALUE"""),0.0)</f>
        <v>0</v>
      </c>
    </row>
    <row r="93" ht="22.5" customHeight="1">
      <c r="A93" s="18">
        <f>IFERROR(__xludf.DUMMYFUNCTION("""COMPUTED_VALUE"""),46260.694607997684)</f>
        <v>46260.69461</v>
      </c>
      <c r="B93" s="21" t="str">
        <f>IFERROR(__xludf.DUMMYFUNCTION("""COMPUTED_VALUE"""),"divyansh.mbbs-2020@aiimskalyani.edu.in")</f>
        <v>divyansh.mbbs-2020@aiimskalyani.edu.in</v>
      </c>
      <c r="C93" s="21" t="str">
        <f>IFERROR(__xludf.DUMMYFUNCTION("""COMPUTED_VALUE"""),"DIVYANSH CHARAN")</f>
        <v>DIVYANSH CHARAN</v>
      </c>
      <c r="D93" s="21">
        <f>IFERROR(__xludf.DUMMYFUNCTION("""COMPUTED_VALUE"""),2.02001168E8)</f>
        <v>202001168</v>
      </c>
      <c r="E93" s="21" t="str">
        <f>IFERROR(__xludf.DUMMYFUNCTION("""COMPUTED_VALUE"""),"MBBS 2020")</f>
        <v>MBBS 2020</v>
      </c>
      <c r="F93" s="21">
        <f>IFERROR(__xludf.DUMMYFUNCTION("""COMPUTED_VALUE"""),8.824714602E9)</f>
        <v>8824714602</v>
      </c>
      <c r="G93" s="21" t="str">
        <f>IFERROR(__xludf.DUMMYFUNCTION("""COMPUTED_VALUE"""),"divyansh.mbbs-2020@aiimskalyani.edu.in")</f>
        <v>divyansh.mbbs-2020@aiimskalyani.edu.in</v>
      </c>
      <c r="H93" s="21" t="str">
        <f>IFERROR(__xludf.DUMMYFUNCTION("""COMPUTED_VALUE"""),"Yes")</f>
        <v>Yes</v>
      </c>
      <c r="I93" s="21" t="str">
        <f>IFERROR(__xludf.DUMMYFUNCTION("""COMPUTED_VALUE"""),"Singing")</f>
        <v>Singing</v>
      </c>
      <c r="J93" s="21"/>
      <c r="K93" s="21" t="str">
        <f>IFERROR(__xludf.DUMMYFUNCTION("""COMPUTED_VALUE"""),"Pali, Rajasthan")</f>
        <v>Pali, Rajasthan</v>
      </c>
      <c r="L93" s="22" t="str">
        <f>IFERROR(__xludf.DUMMYFUNCTION("""COMPUTED_VALUE"""),"https://drive.google.com/open?id=1I2vyciA0tArPcdiQVStjSbGUrAuBO1gl")</f>
        <v>https://drive.google.com/open?id=1I2vyciA0tArPcdiQVStjSbGUrAuBO1gl</v>
      </c>
      <c r="M93" s="22" t="str">
        <f>IFERROR(__xludf.DUMMYFUNCTION("""COMPUTED_VALUE"""),"https://drive.google.com/open?id=18ktayzQ3enUk0YBzZUCarsxwHROZtm_i")</f>
        <v>https://drive.google.com/open?id=18ktayzQ3enUk0YBzZUCarsxwHROZtm_i</v>
      </c>
      <c r="N93" s="21" t="str">
        <f>IFERROR(__xludf.DUMMYFUNCTION("""COMPUTED_VALUE"""),"Mahesh Singh")</f>
        <v>Mahesh Singh</v>
      </c>
      <c r="O93" s="21" t="str">
        <f>IFERROR(__xludf.DUMMYFUNCTION("""COMPUTED_VALUE"""),"Police Inspector")</f>
        <v>Police Inspector</v>
      </c>
      <c r="P93" s="21" t="str">
        <f>IFERROR(__xludf.DUMMYFUNCTION("""COMPUTED_VALUE"""),"Jaipur")</f>
        <v>Jaipur</v>
      </c>
      <c r="Q93" s="21">
        <f>IFERROR(__xludf.DUMMYFUNCTION("""COMPUTED_VALUE"""),9.829045528E9)</f>
        <v>9829045528</v>
      </c>
      <c r="R93" s="21" t="str">
        <f>IFERROR(__xludf.DUMMYFUNCTION("""COMPUTED_VALUE"""),"Kiran Charan")</f>
        <v>Kiran Charan</v>
      </c>
      <c r="S93" s="21" t="str">
        <f>IFERROR(__xludf.DUMMYFUNCTION("""COMPUTED_VALUE"""),"Yoga Instructor")</f>
        <v>Yoga Instructor</v>
      </c>
      <c r="T93" s="21" t="str">
        <f>IFERROR(__xludf.DUMMYFUNCTION("""COMPUTED_VALUE"""),"Jaipur")</f>
        <v>Jaipur</v>
      </c>
      <c r="U93" s="21">
        <f>IFERROR(__xludf.DUMMYFUNCTION("""COMPUTED_VALUE"""),9.799096666E9)</f>
        <v>9799096666</v>
      </c>
      <c r="V93" s="21">
        <f>IFERROR(__xludf.DUMMYFUNCTION("""COMPUTED_VALUE"""),2.0)</f>
        <v>2</v>
      </c>
      <c r="W93" s="21" t="str">
        <f>IFERROR(__xludf.DUMMYFUNCTION("""COMPUTED_VALUE"""),"Kiran Charan")</f>
        <v>Kiran Charan</v>
      </c>
      <c r="X93" s="21" t="str">
        <f>IFERROR(__xludf.DUMMYFUNCTION("""COMPUTED_VALUE"""),"Mother")</f>
        <v>Mother</v>
      </c>
      <c r="Y93" s="21" t="str">
        <f>IFERROR(__xludf.DUMMYFUNCTION("""COMPUTED_VALUE"""),"Mahesh Singh")</f>
        <v>Mahesh Singh</v>
      </c>
      <c r="Z93" s="21" t="str">
        <f>IFERROR(__xludf.DUMMYFUNCTION("""COMPUTED_VALUE"""),"Father")</f>
        <v>Father</v>
      </c>
      <c r="AA93" s="21" t="str">
        <f>IFERROR(__xludf.DUMMYFUNCTION("""COMPUTED_VALUE"""),"Veg")</f>
        <v>Veg</v>
      </c>
      <c r="AB93" s="21" t="str">
        <f>IFERROR(__xludf.DUMMYFUNCTION("""COMPUTED_VALUE"""),"Veg")</f>
        <v>Veg</v>
      </c>
      <c r="AC93" s="21" t="str">
        <f>IFERROR(__xludf.DUMMYFUNCTION("""COMPUTED_VALUE"""),"Veg")</f>
        <v>Veg</v>
      </c>
      <c r="AD93" s="21" t="str">
        <f>IFERROR(__xludf.DUMMYFUNCTION("""COMPUTED_VALUE"""),"Bus Drop Service not needed")</f>
        <v>Bus Drop Service not needed</v>
      </c>
      <c r="AE93" s="21">
        <f>IFERROR(__xludf.DUMMYFUNCTION("""COMPUTED_VALUE"""),0.0)</f>
        <v>0</v>
      </c>
    </row>
    <row r="94" ht="22.5" customHeight="1">
      <c r="A94" s="18">
        <f>IFERROR(__xludf.DUMMYFUNCTION("""COMPUTED_VALUE"""),46260.674663819445)</f>
        <v>46260.67466</v>
      </c>
      <c r="B94" s="21" t="str">
        <f>IFERROR(__xludf.DUMMYFUNCTION("""COMPUTED_VALUE"""),"megha.mbbs-2020@aiimskalyani.edu.in")</f>
        <v>megha.mbbs-2020@aiimskalyani.edu.in</v>
      </c>
      <c r="C94" s="21" t="str">
        <f>IFERROR(__xludf.DUMMYFUNCTION("""COMPUTED_VALUE"""),"MEGHA HAZARIKA")</f>
        <v>MEGHA HAZARIKA</v>
      </c>
      <c r="D94" s="21">
        <f>IFERROR(__xludf.DUMMYFUNCTION("""COMPUTED_VALUE"""),2.02001112E8)</f>
        <v>202001112</v>
      </c>
      <c r="E94" s="21" t="str">
        <f>IFERROR(__xludf.DUMMYFUNCTION("""COMPUTED_VALUE"""),"MBBS 2020")</f>
        <v>MBBS 2020</v>
      </c>
      <c r="F94" s="21">
        <f>IFERROR(__xludf.DUMMYFUNCTION("""COMPUTED_VALUE"""),9.518596484E9)</f>
        <v>9518596484</v>
      </c>
      <c r="G94" s="21" t="str">
        <f>IFERROR(__xludf.DUMMYFUNCTION("""COMPUTED_VALUE"""),"meghahazarika270701@gmail.com")</f>
        <v>meghahazarika270701@gmail.com</v>
      </c>
      <c r="H94" s="21" t="str">
        <f>IFERROR(__xludf.DUMMYFUNCTION("""COMPUTED_VALUE"""),"Yes")</f>
        <v>Yes</v>
      </c>
      <c r="I94" s="21" t="str">
        <f>IFERROR(__xludf.DUMMYFUNCTION("""COMPUTED_VALUE"""),"Dancing, Poetry ")</f>
        <v>Dancing, Poetry </v>
      </c>
      <c r="J94" s="21"/>
      <c r="K94" s="21" t="str">
        <f>IFERROR(__xludf.DUMMYFUNCTION("""COMPUTED_VALUE"""),"Guwahati")</f>
        <v>Guwahati</v>
      </c>
      <c r="L94" s="22" t="str">
        <f>IFERROR(__xludf.DUMMYFUNCTION("""COMPUTED_VALUE"""),"https://drive.google.com/open?id=1nBinud0RE0f_0prwiaAI5ZZNJcp5dUd7")</f>
        <v>https://drive.google.com/open?id=1nBinud0RE0f_0prwiaAI5ZZNJcp5dUd7</v>
      </c>
      <c r="M94" s="22" t="str">
        <f>IFERROR(__xludf.DUMMYFUNCTION("""COMPUTED_VALUE"""),"https://drive.google.com/open?id=17NwuQxURpwnFXAM2DiR5BSKfqwrc4IpS")</f>
        <v>https://drive.google.com/open?id=17NwuQxURpwnFXAM2DiR5BSKfqwrc4IpS</v>
      </c>
      <c r="N94" s="21" t="str">
        <f>IFERROR(__xludf.DUMMYFUNCTION("""COMPUTED_VALUE"""),"Dr. Alokesh Hazarika")</f>
        <v>Dr. Alokesh Hazarika</v>
      </c>
      <c r="O94" s="21" t="str">
        <f>IFERROR(__xludf.DUMMYFUNCTION("""COMPUTED_VALUE"""),"Retired as CMO In-charge")</f>
        <v>Retired as CMO In-charge</v>
      </c>
      <c r="P94" s="21" t="str">
        <f>IFERROR(__xludf.DUMMYFUNCTION("""COMPUTED_VALUE"""),"Dibrugarh")</f>
        <v>Dibrugarh</v>
      </c>
      <c r="Q94" s="21">
        <f>IFERROR(__xludf.DUMMYFUNCTION("""COMPUTED_VALUE"""),9.975994611E9)</f>
        <v>9975994611</v>
      </c>
      <c r="R94" s="21" t="str">
        <f>IFERROR(__xludf.DUMMYFUNCTION("""COMPUTED_VALUE"""),"Shivani Hazarika")</f>
        <v>Shivani Hazarika</v>
      </c>
      <c r="S94" s="21" t="str">
        <f>IFERROR(__xludf.DUMMYFUNCTION("""COMPUTED_VALUE"""),"Home maker")</f>
        <v>Home maker</v>
      </c>
      <c r="T94" s="21" t="str">
        <f>IFERROR(__xludf.DUMMYFUNCTION("""COMPUTED_VALUE"""),"Agra")</f>
        <v>Agra</v>
      </c>
      <c r="U94" s="21">
        <f>IFERROR(__xludf.DUMMYFUNCTION("""COMPUTED_VALUE"""),9.421192706E9)</f>
        <v>9421192706</v>
      </c>
      <c r="V94" s="21">
        <f>IFERROR(__xludf.DUMMYFUNCTION("""COMPUTED_VALUE"""),2.0)</f>
        <v>2</v>
      </c>
      <c r="W94" s="21" t="str">
        <f>IFERROR(__xludf.DUMMYFUNCTION("""COMPUTED_VALUE"""),"Dr. Alokesh Hazarika")</f>
        <v>Dr. Alokesh Hazarika</v>
      </c>
      <c r="X94" s="21" t="str">
        <f>IFERROR(__xludf.DUMMYFUNCTION("""COMPUTED_VALUE"""),"Father")</f>
        <v>Father</v>
      </c>
      <c r="Y94" s="21" t="str">
        <f>IFERROR(__xludf.DUMMYFUNCTION("""COMPUTED_VALUE"""),"Diya ")</f>
        <v>Diya </v>
      </c>
      <c r="Z94" s="21" t="str">
        <f>IFERROR(__xludf.DUMMYFUNCTION("""COMPUTED_VALUE"""),"Cousin")</f>
        <v>Cousin</v>
      </c>
      <c r="AA94" s="21" t="str">
        <f>IFERROR(__xludf.DUMMYFUNCTION("""COMPUTED_VALUE"""),"Veg")</f>
        <v>Veg</v>
      </c>
      <c r="AB94" s="21" t="str">
        <f>IFERROR(__xludf.DUMMYFUNCTION("""COMPUTED_VALUE"""),"Veg")</f>
        <v>Veg</v>
      </c>
      <c r="AC94" s="21" t="str">
        <f>IFERROR(__xludf.DUMMYFUNCTION("""COMPUTED_VALUE"""),"Non-Veg")</f>
        <v>Non-Veg</v>
      </c>
      <c r="AD94" s="21" t="str">
        <f>IFERROR(__xludf.DUMMYFUNCTION("""COMPUTED_VALUE"""),"Bus Drop Service not needed")</f>
        <v>Bus Drop Service not needed</v>
      </c>
      <c r="AE94" s="21">
        <f>IFERROR(__xludf.DUMMYFUNCTION("""COMPUTED_VALUE"""),0.0)</f>
        <v>0</v>
      </c>
    </row>
    <row r="95" ht="22.5" customHeight="1">
      <c r="A95" s="18">
        <f>IFERROR(__xludf.DUMMYFUNCTION("""COMPUTED_VALUE"""),46260.55812368056)</f>
        <v>46260.55812</v>
      </c>
      <c r="B95" s="21" t="str">
        <f>IFERROR(__xludf.DUMMYFUNCTION("""COMPUTED_VALUE"""),"subhodip.mbbs-2020@aiimskalyani.edu.in")</f>
        <v>subhodip.mbbs-2020@aiimskalyani.edu.in</v>
      </c>
      <c r="C95" s="21" t="str">
        <f>IFERROR(__xludf.DUMMYFUNCTION("""COMPUTED_VALUE"""),"SUBHODIP DAS")</f>
        <v>SUBHODIP DAS</v>
      </c>
      <c r="D95" s="21" t="str">
        <f>IFERROR(__xludf.DUMMYFUNCTION("""COMPUTED_VALUE"""),"101/202001151")</f>
        <v>101/202001151</v>
      </c>
      <c r="E95" s="21" t="str">
        <f>IFERROR(__xludf.DUMMYFUNCTION("""COMPUTED_VALUE"""),"MBBS 2020")</f>
        <v>MBBS 2020</v>
      </c>
      <c r="F95" s="21">
        <f>IFERROR(__xludf.DUMMYFUNCTION("""COMPUTED_VALUE"""),9.679602964E9)</f>
        <v>9679602964</v>
      </c>
      <c r="G95" s="21" t="str">
        <f>IFERROR(__xludf.DUMMYFUNCTION("""COMPUTED_VALUE"""),"subhodip.mbbs-2020@aiimskalyani.edu.in")</f>
        <v>subhodip.mbbs-2020@aiimskalyani.edu.in</v>
      </c>
      <c r="H95" s="21" t="str">
        <f>IFERROR(__xludf.DUMMYFUNCTION("""COMPUTED_VALUE"""),"Yes")</f>
        <v>Yes</v>
      </c>
      <c r="I95" s="21" t="str">
        <f>IFERROR(__xludf.DUMMYFUNCTION("""COMPUTED_VALUE"""),"Strong interest in football and video gaming. ")</f>
        <v>Strong interest in football and video gaming. </v>
      </c>
      <c r="J95" s="21" t="str">
        <f>IFERROR(__xludf.DUMMYFUNCTION("""COMPUTED_VALUE"""),"Football ")</f>
        <v>Football </v>
      </c>
      <c r="K95" s="21" t="str">
        <f>IFERROR(__xludf.DUMMYFUNCTION("""COMPUTED_VALUE"""),"Asansol ")</f>
        <v>Asansol </v>
      </c>
      <c r="L95" s="22" t="str">
        <f>IFERROR(__xludf.DUMMYFUNCTION("""COMPUTED_VALUE"""),"https://drive.google.com/open?id=1P6zVDGzkvgIb6Tdpk3ftQTaZgIxa5RHn")</f>
        <v>https://drive.google.com/open?id=1P6zVDGzkvgIb6Tdpk3ftQTaZgIxa5RHn</v>
      </c>
      <c r="M95" s="22" t="str">
        <f>IFERROR(__xludf.DUMMYFUNCTION("""COMPUTED_VALUE"""),"https://drive.google.com/open?id=1pWB5DAklFhIBCDY88-lVSMw6USUqOUwf")</f>
        <v>https://drive.google.com/open?id=1pWB5DAklFhIBCDY88-lVSMw6USUqOUwf</v>
      </c>
      <c r="N95" s="21" t="str">
        <f>IFERROR(__xludf.DUMMYFUNCTION("""COMPUTED_VALUE"""),"Uday Chand Das")</f>
        <v>Uday Chand Das</v>
      </c>
      <c r="O95" s="21" t="str">
        <f>IFERROR(__xludf.DUMMYFUNCTION("""COMPUTED_VALUE"""),"Retired Railway Personal ")</f>
        <v>Retired Railway Personal </v>
      </c>
      <c r="P95" s="21" t="str">
        <f>IFERROR(__xludf.DUMMYFUNCTION("""COMPUTED_VALUE"""),"Asansol ")</f>
        <v>Asansol </v>
      </c>
      <c r="Q95" s="21">
        <f>IFERROR(__xludf.DUMMYFUNCTION("""COMPUTED_VALUE"""),7.365841536E9)</f>
        <v>7365841536</v>
      </c>
      <c r="R95" s="21" t="str">
        <f>IFERROR(__xludf.DUMMYFUNCTION("""COMPUTED_VALUE"""),"Archana Das")</f>
        <v>Archana Das</v>
      </c>
      <c r="S95" s="21" t="str">
        <f>IFERROR(__xludf.DUMMYFUNCTION("""COMPUTED_VALUE"""),"Housewife")</f>
        <v>Housewife</v>
      </c>
      <c r="T95" s="21" t="str">
        <f>IFERROR(__xludf.DUMMYFUNCTION("""COMPUTED_VALUE"""),"Asansol ")</f>
        <v>Asansol </v>
      </c>
      <c r="U95" s="21">
        <f>IFERROR(__xludf.DUMMYFUNCTION("""COMPUTED_VALUE"""),9.832715653E9)</f>
        <v>9832715653</v>
      </c>
      <c r="V95" s="21">
        <f>IFERROR(__xludf.DUMMYFUNCTION("""COMPUTED_VALUE"""),2.0)</f>
        <v>2</v>
      </c>
      <c r="W95" s="21" t="str">
        <f>IFERROR(__xludf.DUMMYFUNCTION("""COMPUTED_VALUE"""),"Uday Chand Das")</f>
        <v>Uday Chand Das</v>
      </c>
      <c r="X95" s="21" t="str">
        <f>IFERROR(__xludf.DUMMYFUNCTION("""COMPUTED_VALUE"""),"Father ")</f>
        <v>Father </v>
      </c>
      <c r="Y95" s="21" t="str">
        <f>IFERROR(__xludf.DUMMYFUNCTION("""COMPUTED_VALUE"""),"Archana Das")</f>
        <v>Archana Das</v>
      </c>
      <c r="Z95" s="21" t="str">
        <f>IFERROR(__xludf.DUMMYFUNCTION("""COMPUTED_VALUE"""),"Mother")</f>
        <v>Mother</v>
      </c>
      <c r="AA95" s="21" t="str">
        <f>IFERROR(__xludf.DUMMYFUNCTION("""COMPUTED_VALUE"""),"Non-Veg")</f>
        <v>Non-Veg</v>
      </c>
      <c r="AB95" s="21" t="str">
        <f>IFERROR(__xludf.DUMMYFUNCTION("""COMPUTED_VALUE"""),"Non-Veg")</f>
        <v>Non-Veg</v>
      </c>
      <c r="AC95" s="21" t="str">
        <f>IFERROR(__xludf.DUMMYFUNCTION("""COMPUTED_VALUE"""),"Non-Veg")</f>
        <v>Non-Veg</v>
      </c>
      <c r="AD95" s="21" t="str">
        <f>IFERROR(__xludf.DUMMYFUNCTION("""COMPUTED_VALUE"""),"Bus Drop Service not needed")</f>
        <v>Bus Drop Service not needed</v>
      </c>
      <c r="AE95" s="21">
        <f>IFERROR(__xludf.DUMMYFUNCTION("""COMPUTED_VALUE"""),0.0)</f>
        <v>0</v>
      </c>
    </row>
    <row r="96" ht="22.5" customHeight="1">
      <c r="A96" s="18">
        <f>IFERROR(__xludf.DUMMYFUNCTION("""COMPUTED_VALUE"""),46260.10906511574)</f>
        <v>46260.10907</v>
      </c>
      <c r="B96" s="21" t="str">
        <f>IFERROR(__xludf.DUMMYFUNCTION("""COMPUTED_VALUE"""),"riya.mbbs-2020@aiimskalyani.edu.in")</f>
        <v>riya.mbbs-2020@aiimskalyani.edu.in</v>
      </c>
      <c r="C96" s="21" t="str">
        <f>IFERROR(__xludf.DUMMYFUNCTION("""COMPUTED_VALUE"""),"RIYA BEN")</f>
        <v>RIYA BEN</v>
      </c>
      <c r="D96" s="21">
        <f>IFERROR(__xludf.DUMMYFUNCTION("""COMPUTED_VALUE"""),2.02001127E8)</f>
        <v>202001127</v>
      </c>
      <c r="E96" s="21" t="str">
        <f>IFERROR(__xludf.DUMMYFUNCTION("""COMPUTED_VALUE"""),"MBBS 2020")</f>
        <v>MBBS 2020</v>
      </c>
      <c r="F96" s="21">
        <f>IFERROR(__xludf.DUMMYFUNCTION("""COMPUTED_VALUE"""),8.606774642E9)</f>
        <v>8606774642</v>
      </c>
      <c r="G96" s="21" t="str">
        <f>IFERROR(__xludf.DUMMYFUNCTION("""COMPUTED_VALUE"""),"riya.mbbs-2020@aiimskalyani.edu.in")</f>
        <v>riya.mbbs-2020@aiimskalyani.edu.in</v>
      </c>
      <c r="H96" s="21" t="str">
        <f>IFERROR(__xludf.DUMMYFUNCTION("""COMPUTED_VALUE"""),"Yes")</f>
        <v>Yes</v>
      </c>
      <c r="I96" s="21" t="str">
        <f>IFERROR(__xludf.DUMMYFUNCTION("""COMPUTED_VALUE"""),"I play musical instruments like Keyboard and do Classical Dance. ")</f>
        <v>I play musical instruments like Keyboard and do Classical Dance. </v>
      </c>
      <c r="J96" s="21" t="str">
        <f>IFERROR(__xludf.DUMMYFUNCTION("""COMPUTED_VALUE"""),"Achievements in Clinical case presentations and Quiz competitions.")</f>
        <v>Achievements in Clinical case presentations and Quiz competitions.</v>
      </c>
      <c r="K96" s="21" t="str">
        <f>IFERROR(__xludf.DUMMYFUNCTION("""COMPUTED_VALUE"""),"Palakkad,Kerala")</f>
        <v>Palakkad,Kerala</v>
      </c>
      <c r="L96" s="22" t="str">
        <f>IFERROR(__xludf.DUMMYFUNCTION("""COMPUTED_VALUE"""),"https://drive.google.com/open?id=1fxh5-Uv1aPb30bXsySbDnRVK9Y3Kg_gX")</f>
        <v>https://drive.google.com/open?id=1fxh5-Uv1aPb30bXsySbDnRVK9Y3Kg_gX</v>
      </c>
      <c r="M96" s="22" t="str">
        <f>IFERROR(__xludf.DUMMYFUNCTION("""COMPUTED_VALUE"""),"https://drive.google.com/open?id=1b2PmDTvfM0tx4EnfWQ5zBGcJFZ-e_yhI")</f>
        <v>https://drive.google.com/open?id=1b2PmDTvfM0tx4EnfWQ5zBGcJFZ-e_yhI</v>
      </c>
      <c r="N96" s="21" t="str">
        <f>IFERROR(__xludf.DUMMYFUNCTION("""COMPUTED_VALUE"""),"BEN")</f>
        <v>BEN</v>
      </c>
      <c r="O96" s="21" t="str">
        <f>IFERROR(__xludf.DUMMYFUNCTION("""COMPUTED_VALUE"""),"Doctor[Consultant Radiologist] &amp; Owner[Ideal Diagnostics Centre]")</f>
        <v>Doctor[Consultant Radiologist] &amp; Owner[Ideal Diagnostics Centre]</v>
      </c>
      <c r="P96" s="21" t="str">
        <f>IFERROR(__xludf.DUMMYFUNCTION("""COMPUTED_VALUE"""),"Madurai,Tamil Nadu")</f>
        <v>Madurai,Tamil Nadu</v>
      </c>
      <c r="Q96" s="21">
        <f>IFERROR(__xludf.DUMMYFUNCTION("""COMPUTED_VALUE"""),9.447277746E9)</f>
        <v>9447277746</v>
      </c>
      <c r="R96" s="21" t="str">
        <f>IFERROR(__xludf.DUMMYFUNCTION("""COMPUTED_VALUE"""),"RANI BEN")</f>
        <v>RANI BEN</v>
      </c>
      <c r="S96" s="21" t="str">
        <f>IFERROR(__xludf.DUMMYFUNCTION("""COMPUTED_VALUE"""),"Administrator [Ideal Diagnostics Centre]")</f>
        <v>Administrator [Ideal Diagnostics Centre]</v>
      </c>
      <c r="T96" s="21" t="str">
        <f>IFERROR(__xludf.DUMMYFUNCTION("""COMPUTED_VALUE"""),"Ernakulam,Kerala")</f>
        <v>Ernakulam,Kerala</v>
      </c>
      <c r="U96" s="21">
        <f>IFERROR(__xludf.DUMMYFUNCTION("""COMPUTED_VALUE"""),9.895637636E9)</f>
        <v>9895637636</v>
      </c>
      <c r="V96" s="21">
        <f>IFERROR(__xludf.DUMMYFUNCTION("""COMPUTED_VALUE"""),2.0)</f>
        <v>2</v>
      </c>
      <c r="W96" s="21" t="str">
        <f>IFERROR(__xludf.DUMMYFUNCTION("""COMPUTED_VALUE"""),"BEN")</f>
        <v>BEN</v>
      </c>
      <c r="X96" s="21" t="str">
        <f>IFERROR(__xludf.DUMMYFUNCTION("""COMPUTED_VALUE"""),"Father")</f>
        <v>Father</v>
      </c>
      <c r="Y96" s="21" t="str">
        <f>IFERROR(__xludf.DUMMYFUNCTION("""COMPUTED_VALUE"""),"RANI BEN")</f>
        <v>RANI BEN</v>
      </c>
      <c r="Z96" s="21" t="str">
        <f>IFERROR(__xludf.DUMMYFUNCTION("""COMPUTED_VALUE"""),"Mother ")</f>
        <v>Mother </v>
      </c>
      <c r="AA96" s="21" t="str">
        <f>IFERROR(__xludf.DUMMYFUNCTION("""COMPUTED_VALUE"""),"Non-Veg")</f>
        <v>Non-Veg</v>
      </c>
      <c r="AB96" s="21" t="str">
        <f>IFERROR(__xludf.DUMMYFUNCTION("""COMPUTED_VALUE"""),"Non-Veg")</f>
        <v>Non-Veg</v>
      </c>
      <c r="AC96" s="21" t="str">
        <f>IFERROR(__xludf.DUMMYFUNCTION("""COMPUTED_VALUE"""),"Non-Veg")</f>
        <v>Non-Veg</v>
      </c>
      <c r="AD96" s="21" t="str">
        <f>IFERROR(__xludf.DUMMYFUNCTION("""COMPUTED_VALUE"""),"Bus Drop Service not needed")</f>
        <v>Bus Drop Service not needed</v>
      </c>
      <c r="AE96" s="21"/>
    </row>
    <row r="97" ht="22.5" customHeight="1">
      <c r="A97" s="18">
        <f>IFERROR(__xludf.DUMMYFUNCTION("""COMPUTED_VALUE"""),46260.065360127315)</f>
        <v>46260.06536</v>
      </c>
      <c r="B97" s="21" t="str">
        <f>IFERROR(__xludf.DUMMYFUNCTION("""COMPUTED_VALUE"""),"krishnas.mbbs-2020@aiimskalyani.edu.in")</f>
        <v>krishnas.mbbs-2020@aiimskalyani.edu.in</v>
      </c>
      <c r="C97" s="21" t="str">
        <f>IFERROR(__xludf.DUMMYFUNCTION("""COMPUTED_VALUE"""),"KRISHNAS MAHI ")</f>
        <v>KRISHNAS MAHI </v>
      </c>
      <c r="D97" s="21" t="str">
        <f>IFERROR(__xludf.DUMMYFUNCTION("""COMPUTED_VALUE"""),"58/202001108")</f>
        <v>58/202001108</v>
      </c>
      <c r="E97" s="21" t="str">
        <f>IFERROR(__xludf.DUMMYFUNCTION("""COMPUTED_VALUE"""),"MBBS 2020")</f>
        <v>MBBS 2020</v>
      </c>
      <c r="F97" s="21">
        <f>IFERROR(__xludf.DUMMYFUNCTION("""COMPUTED_VALUE"""),9.11016785E9)</f>
        <v>9110167850</v>
      </c>
      <c r="G97" s="21" t="str">
        <f>IFERROR(__xludf.DUMMYFUNCTION("""COMPUTED_VALUE"""),"krishnasmahi1@gmail.com")</f>
        <v>krishnasmahi1@gmail.com</v>
      </c>
      <c r="H97" s="21" t="str">
        <f>IFERROR(__xludf.DUMMYFUNCTION("""COMPUTED_VALUE"""),"Yes")</f>
        <v>Yes</v>
      </c>
      <c r="I97" s="21" t="str">
        <f>IFERROR(__xludf.DUMMYFUNCTION("""COMPUTED_VALUE"""),"Cooking &amp;Baking, makeup, painting ")</f>
        <v>Cooking &amp;Baking, makeup, painting </v>
      </c>
      <c r="J97" s="21" t="str">
        <f>IFERROR(__xludf.DUMMYFUNCTION("""COMPUTED_VALUE"""),"No such")</f>
        <v>No such</v>
      </c>
      <c r="K97" s="21" t="str">
        <f>IFERROR(__xludf.DUMMYFUNCTION("""COMPUTED_VALUE"""),"Bhagalpur ")</f>
        <v>Bhagalpur </v>
      </c>
      <c r="L97" s="22" t="str">
        <f>IFERROR(__xludf.DUMMYFUNCTION("""COMPUTED_VALUE"""),"https://drive.google.com/open?id=1XTyHx4GbZQFlgWAkfnY_3DnqsZBqeupP")</f>
        <v>https://drive.google.com/open?id=1XTyHx4GbZQFlgWAkfnY_3DnqsZBqeupP</v>
      </c>
      <c r="M97" s="22" t="str">
        <f>IFERROR(__xludf.DUMMYFUNCTION("""COMPUTED_VALUE"""),"https://drive.google.com/open?id=1P_X0YDbiCrcY9oVeF1sWkeovZYgKMExE")</f>
        <v>https://drive.google.com/open?id=1P_X0YDbiCrcY9oVeF1sWkeovZYgKMExE</v>
      </c>
      <c r="N97" s="21" t="str">
        <f>IFERROR(__xludf.DUMMYFUNCTION("""COMPUTED_VALUE"""),"Mr. Anupam Kumar Veena ")</f>
        <v>Mr. Anupam Kumar Veena </v>
      </c>
      <c r="O97" s="21" t="str">
        <f>IFERROR(__xludf.DUMMYFUNCTION("""COMPUTED_VALUE"""),"Businessman ")</f>
        <v>Businessman </v>
      </c>
      <c r="P97" s="21" t="str">
        <f>IFERROR(__xludf.DUMMYFUNCTION("""COMPUTED_VALUE"""),"Bhagalpur ")</f>
        <v>Bhagalpur </v>
      </c>
      <c r="Q97" s="21">
        <f>IFERROR(__xludf.DUMMYFUNCTION("""COMPUTED_VALUE"""),7.488610832E9)</f>
        <v>7488610832</v>
      </c>
      <c r="R97" s="21" t="str">
        <f>IFERROR(__xludf.DUMMYFUNCTION("""COMPUTED_VALUE"""),"Mrs Pankhuri Verma ")</f>
        <v>Mrs Pankhuri Verma </v>
      </c>
      <c r="S97" s="21" t="str">
        <f>IFERROR(__xludf.DUMMYFUNCTION("""COMPUTED_VALUE"""),"Teacher ")</f>
        <v>Teacher </v>
      </c>
      <c r="T97" s="21" t="str">
        <f>IFERROR(__xludf.DUMMYFUNCTION("""COMPUTED_VALUE"""),"Bhagalpur ")</f>
        <v>Bhagalpur </v>
      </c>
      <c r="U97" s="21">
        <f>IFERROR(__xludf.DUMMYFUNCTION("""COMPUTED_VALUE"""),9.11090467E9)</f>
        <v>9110904670</v>
      </c>
      <c r="V97" s="21">
        <f>IFERROR(__xludf.DUMMYFUNCTION("""COMPUTED_VALUE"""),2.0)</f>
        <v>2</v>
      </c>
      <c r="W97" s="21" t="str">
        <f>IFERROR(__xludf.DUMMYFUNCTION("""COMPUTED_VALUE"""),"Mr Anupam Kumar Verma ")</f>
        <v>Mr Anupam Kumar Verma </v>
      </c>
      <c r="X97" s="21" t="str">
        <f>IFERROR(__xludf.DUMMYFUNCTION("""COMPUTED_VALUE"""),"Father")</f>
        <v>Father</v>
      </c>
      <c r="Y97" s="21" t="str">
        <f>IFERROR(__xludf.DUMMYFUNCTION("""COMPUTED_VALUE"""),"Mrs Pankhuri Verma ")</f>
        <v>Mrs Pankhuri Verma </v>
      </c>
      <c r="Z97" s="21" t="str">
        <f>IFERROR(__xludf.DUMMYFUNCTION("""COMPUTED_VALUE"""),"Mother")</f>
        <v>Mother</v>
      </c>
      <c r="AA97" s="21" t="str">
        <f>IFERROR(__xludf.DUMMYFUNCTION("""COMPUTED_VALUE"""),"Non-Veg")</f>
        <v>Non-Veg</v>
      </c>
      <c r="AB97" s="21" t="str">
        <f>IFERROR(__xludf.DUMMYFUNCTION("""COMPUTED_VALUE"""),"Non-Veg")</f>
        <v>Non-Veg</v>
      </c>
      <c r="AC97" s="21" t="str">
        <f>IFERROR(__xludf.DUMMYFUNCTION("""COMPUTED_VALUE"""),"Non-Veg")</f>
        <v>Non-Veg</v>
      </c>
      <c r="AD97" s="21" t="str">
        <f>IFERROR(__xludf.DUMMYFUNCTION("""COMPUTED_VALUE"""),"Bus Drop Service not needed")</f>
        <v>Bus Drop Service not needed</v>
      </c>
      <c r="AE97" s="21">
        <f>IFERROR(__xludf.DUMMYFUNCTION("""COMPUTED_VALUE"""),0.0)</f>
        <v>0</v>
      </c>
    </row>
    <row r="98" ht="22.5" customHeight="1">
      <c r="A98" s="18">
        <f>IFERROR(__xludf.DUMMYFUNCTION("""COMPUTED_VALUE"""),46259.89947233796)</f>
        <v>46259.89947</v>
      </c>
      <c r="B98" s="21" t="str">
        <f>IFERROR(__xludf.DUMMYFUNCTION("""COMPUTED_VALUE"""),"satyajit.mbbs-2020@aiimskalyani.edu.in")</f>
        <v>satyajit.mbbs-2020@aiimskalyani.edu.in</v>
      </c>
      <c r="C98" s="21" t="str">
        <f>IFERROR(__xludf.DUMMYFUNCTION("""COMPUTED_VALUE"""),"SATYAJIT BEHERA ")</f>
        <v>SATYAJIT BEHERA </v>
      </c>
      <c r="D98" s="21" t="str">
        <f>IFERROR(__xludf.DUMMYFUNCTION("""COMPUTED_VALUE"""),"86(202001136)")</f>
        <v>86(202001136)</v>
      </c>
      <c r="E98" s="21" t="str">
        <f>IFERROR(__xludf.DUMMYFUNCTION("""COMPUTED_VALUE"""),"MBBS 2020")</f>
        <v>MBBS 2020</v>
      </c>
      <c r="F98" s="21">
        <f>IFERROR(__xludf.DUMMYFUNCTION("""COMPUTED_VALUE"""),8.98415561E9)</f>
        <v>8984155610</v>
      </c>
      <c r="G98" s="21" t="str">
        <f>IFERROR(__xludf.DUMMYFUNCTION("""COMPUTED_VALUE"""),"satyajit.mbbs-2020@aiimskalyani.edu.in")</f>
        <v>satyajit.mbbs-2020@aiimskalyani.edu.in</v>
      </c>
      <c r="H98" s="21" t="str">
        <f>IFERROR(__xludf.DUMMYFUNCTION("""COMPUTED_VALUE"""),"Yes")</f>
        <v>Yes</v>
      </c>
      <c r="I98" s="21" t="str">
        <f>IFERROR(__xludf.DUMMYFUNCTION("""COMPUTED_VALUE"""),"Studying ")</f>
        <v>Studying </v>
      </c>
      <c r="J98" s="21"/>
      <c r="K98" s="21" t="str">
        <f>IFERROR(__xludf.DUMMYFUNCTION("""COMPUTED_VALUE"""),"Bhadrak ")</f>
        <v>Bhadrak </v>
      </c>
      <c r="L98" s="22" t="str">
        <f>IFERROR(__xludf.DUMMYFUNCTION("""COMPUTED_VALUE"""),"https://drive.google.com/open?id=1pTCiAxTmh72cd1ew5dqtKt5o63zF4DVl")</f>
        <v>https://drive.google.com/open?id=1pTCiAxTmh72cd1ew5dqtKt5o63zF4DVl</v>
      </c>
      <c r="M98" s="22" t="str">
        <f>IFERROR(__xludf.DUMMYFUNCTION("""COMPUTED_VALUE"""),"https://drive.google.com/open?id=18yGlpiRX8BvHeQapF545hc1x-tS2uJog")</f>
        <v>https://drive.google.com/open?id=18yGlpiRX8BvHeQapF545hc1x-tS2uJog</v>
      </c>
      <c r="N98" s="21" t="str">
        <f>IFERROR(__xludf.DUMMYFUNCTION("""COMPUTED_VALUE"""),"Ramakanta Behera ")</f>
        <v>Ramakanta Behera </v>
      </c>
      <c r="O98" s="21" t="str">
        <f>IFERROR(__xludf.DUMMYFUNCTION("""COMPUTED_VALUE"""),"Farmer ")</f>
        <v>Farmer </v>
      </c>
      <c r="P98" s="21" t="str">
        <f>IFERROR(__xludf.DUMMYFUNCTION("""COMPUTED_VALUE"""),"Bhadrak ")</f>
        <v>Bhadrak </v>
      </c>
      <c r="Q98" s="21">
        <f>IFERROR(__xludf.DUMMYFUNCTION("""COMPUTED_VALUE"""),8.598018028E9)</f>
        <v>8598018028</v>
      </c>
      <c r="R98" s="21" t="str">
        <f>IFERROR(__xludf.DUMMYFUNCTION("""COMPUTED_VALUE"""),"Minati Behera ")</f>
        <v>Minati Behera </v>
      </c>
      <c r="S98" s="21" t="str">
        <f>IFERROR(__xludf.DUMMYFUNCTION("""COMPUTED_VALUE"""),"Housewife ")</f>
        <v>Housewife </v>
      </c>
      <c r="T98" s="21" t="str">
        <f>IFERROR(__xludf.DUMMYFUNCTION("""COMPUTED_VALUE"""),"Bhadrak ")</f>
        <v>Bhadrak </v>
      </c>
      <c r="U98" s="21">
        <f>IFERROR(__xludf.DUMMYFUNCTION("""COMPUTED_VALUE"""),8.598018028E9)</f>
        <v>8598018028</v>
      </c>
      <c r="V98" s="21">
        <f>IFERROR(__xludf.DUMMYFUNCTION("""COMPUTED_VALUE"""),2.0)</f>
        <v>2</v>
      </c>
      <c r="W98" s="21" t="str">
        <f>IFERROR(__xludf.DUMMYFUNCTION("""COMPUTED_VALUE"""),"Sasmita Barik ")</f>
        <v>Sasmita Barik </v>
      </c>
      <c r="X98" s="21" t="str">
        <f>IFERROR(__xludf.DUMMYFUNCTION("""COMPUTED_VALUE"""),"Sister ")</f>
        <v>Sister </v>
      </c>
      <c r="Y98" s="21" t="str">
        <f>IFERROR(__xludf.DUMMYFUNCTION("""COMPUTED_VALUE"""),"Kashinath Barik ")</f>
        <v>Kashinath Barik </v>
      </c>
      <c r="Z98" s="21" t="str">
        <f>IFERROR(__xludf.DUMMYFUNCTION("""COMPUTED_VALUE"""),"Brother ")</f>
        <v>Brother </v>
      </c>
      <c r="AA98" s="21" t="str">
        <f>IFERROR(__xludf.DUMMYFUNCTION("""COMPUTED_VALUE"""),"Non-Veg")</f>
        <v>Non-Veg</v>
      </c>
      <c r="AB98" s="21" t="str">
        <f>IFERROR(__xludf.DUMMYFUNCTION("""COMPUTED_VALUE"""),"Veg")</f>
        <v>Veg</v>
      </c>
      <c r="AC98" s="21" t="str">
        <f>IFERROR(__xludf.DUMMYFUNCTION("""COMPUTED_VALUE"""),"Non-Veg")</f>
        <v>Non-Veg</v>
      </c>
      <c r="AD98" s="21" t="str">
        <f>IFERROR(__xludf.DUMMYFUNCTION("""COMPUTED_VALUE"""),"Bus Drop Service not needed")</f>
        <v>Bus Drop Service not needed</v>
      </c>
      <c r="AE98" s="21">
        <f>IFERROR(__xludf.DUMMYFUNCTION("""COMPUTED_VALUE"""),0.0)</f>
        <v>0</v>
      </c>
    </row>
    <row r="99" ht="22.5" customHeight="1">
      <c r="A99" s="18">
        <f>IFERROR(__xludf.DUMMYFUNCTION("""COMPUTED_VALUE"""),46259.730784907406)</f>
        <v>46259.73078</v>
      </c>
      <c r="B99" s="21" t="str">
        <f>IFERROR(__xludf.DUMMYFUNCTION("""COMPUTED_VALUE"""),"aritpriyo.mbbs-2020@aiimskalyani.edu.in")</f>
        <v>aritpriyo.mbbs-2020@aiimskalyani.edu.in</v>
      </c>
      <c r="C99" s="21" t="str">
        <f>IFERROR(__xludf.DUMMYFUNCTION("""COMPUTED_VALUE"""),"ARITPRIYO GHOSH ")</f>
        <v>ARITPRIYO GHOSH </v>
      </c>
      <c r="D99" s="21">
        <f>IFERROR(__xludf.DUMMYFUNCTION("""COMPUTED_VALUE"""),24.0)</f>
        <v>24</v>
      </c>
      <c r="E99" s="21" t="str">
        <f>IFERROR(__xludf.DUMMYFUNCTION("""COMPUTED_VALUE"""),"MBBS 2020")</f>
        <v>MBBS 2020</v>
      </c>
      <c r="F99" s="21">
        <f>IFERROR(__xludf.DUMMYFUNCTION("""COMPUTED_VALUE"""),7.339814841E9)</f>
        <v>7339814841</v>
      </c>
      <c r="G99" s="21" t="str">
        <f>IFERROR(__xludf.DUMMYFUNCTION("""COMPUTED_VALUE"""),"rikghosh2015@gmail.com")</f>
        <v>rikghosh2015@gmail.com</v>
      </c>
      <c r="H99" s="21" t="str">
        <f>IFERROR(__xludf.DUMMYFUNCTION("""COMPUTED_VALUE"""),"Yes")</f>
        <v>Yes</v>
      </c>
      <c r="I99" s="21"/>
      <c r="J99" s="21"/>
      <c r="K99" s="21" t="str">
        <f>IFERROR(__xludf.DUMMYFUNCTION("""COMPUTED_VALUE"""),"Kalyani ")</f>
        <v>Kalyani </v>
      </c>
      <c r="L99" s="22" t="str">
        <f>IFERROR(__xludf.DUMMYFUNCTION("""COMPUTED_VALUE"""),"https://drive.google.com/open?id=1_lO5SQB-zGnpvwJKVcDPzkTOs5OgzmxX")</f>
        <v>https://drive.google.com/open?id=1_lO5SQB-zGnpvwJKVcDPzkTOs5OgzmxX</v>
      </c>
      <c r="M99" s="22" t="str">
        <f>IFERROR(__xludf.DUMMYFUNCTION("""COMPUTED_VALUE"""),"https://drive.google.com/open?id=1lM_Pqa4APkRd4ud8x3cCNVqZaH20aqcU")</f>
        <v>https://drive.google.com/open?id=1lM_Pqa4APkRd4ud8x3cCNVqZaH20aqcU</v>
      </c>
      <c r="N99" s="21" t="str">
        <f>IFERROR(__xludf.DUMMYFUNCTION("""COMPUTED_VALUE"""),"Rajib Ghosh")</f>
        <v>Rajib Ghosh</v>
      </c>
      <c r="O99" s="21" t="str">
        <f>IFERROR(__xludf.DUMMYFUNCTION("""COMPUTED_VALUE"""),"Government service ")</f>
        <v>Government service </v>
      </c>
      <c r="P99" s="21" t="str">
        <f>IFERROR(__xludf.DUMMYFUNCTION("""COMPUTED_VALUE"""),"Kalyani ")</f>
        <v>Kalyani </v>
      </c>
      <c r="Q99" s="21">
        <f>IFERROR(__xludf.DUMMYFUNCTION("""COMPUTED_VALUE"""),8.017553865E9)</f>
        <v>8017553865</v>
      </c>
      <c r="R99" s="21" t="str">
        <f>IFERROR(__xludf.DUMMYFUNCTION("""COMPUTED_VALUE"""),"Madhumita Ghosh")</f>
        <v>Madhumita Ghosh</v>
      </c>
      <c r="S99" s="21" t="str">
        <f>IFERROR(__xludf.DUMMYFUNCTION("""COMPUTED_VALUE"""),"Home maker")</f>
        <v>Home maker</v>
      </c>
      <c r="T99" s="21" t="str">
        <f>IFERROR(__xludf.DUMMYFUNCTION("""COMPUTED_VALUE"""),"Kalyani")</f>
        <v>Kalyani</v>
      </c>
      <c r="U99" s="21">
        <f>IFERROR(__xludf.DUMMYFUNCTION("""COMPUTED_VALUE"""),6.289116611E9)</f>
        <v>6289116611</v>
      </c>
      <c r="V99" s="21">
        <f>IFERROR(__xludf.DUMMYFUNCTION("""COMPUTED_VALUE"""),2.0)</f>
        <v>2</v>
      </c>
      <c r="W99" s="21" t="str">
        <f>IFERROR(__xludf.DUMMYFUNCTION("""COMPUTED_VALUE"""),"Madhumita Ghosh ")</f>
        <v>Madhumita Ghosh </v>
      </c>
      <c r="X99" s="21" t="str">
        <f>IFERROR(__xludf.DUMMYFUNCTION("""COMPUTED_VALUE"""),"Mother")</f>
        <v>Mother</v>
      </c>
      <c r="Y99" s="21" t="str">
        <f>IFERROR(__xludf.DUMMYFUNCTION("""COMPUTED_VALUE"""),"Rajib Ghosh ")</f>
        <v>Rajib Ghosh </v>
      </c>
      <c r="Z99" s="21" t="str">
        <f>IFERROR(__xludf.DUMMYFUNCTION("""COMPUTED_VALUE"""),"Father")</f>
        <v>Father</v>
      </c>
      <c r="AA99" s="21" t="str">
        <f>IFERROR(__xludf.DUMMYFUNCTION("""COMPUTED_VALUE"""),"Non-Veg")</f>
        <v>Non-Veg</v>
      </c>
      <c r="AB99" s="21" t="str">
        <f>IFERROR(__xludf.DUMMYFUNCTION("""COMPUTED_VALUE"""),"Non-Veg")</f>
        <v>Non-Veg</v>
      </c>
      <c r="AC99" s="21" t="str">
        <f>IFERROR(__xludf.DUMMYFUNCTION("""COMPUTED_VALUE"""),"Non-Veg")</f>
        <v>Non-Veg</v>
      </c>
      <c r="AD99" s="21"/>
      <c r="AE99" s="21">
        <f>IFERROR(__xludf.DUMMYFUNCTION("""COMPUTED_VALUE"""),0.0)</f>
        <v>0</v>
      </c>
    </row>
    <row r="100" ht="22.5" customHeight="1">
      <c r="A100" s="18">
        <f>IFERROR(__xludf.DUMMYFUNCTION("""COMPUTED_VALUE"""),46259.4680224537)</f>
        <v>46259.46802</v>
      </c>
      <c r="B100" s="21" t="str">
        <f>IFERROR(__xludf.DUMMYFUNCTION("""COMPUTED_VALUE"""),"awantika.mbbs-2020@aiimskalyani.edu.in")</f>
        <v>awantika.mbbs-2020@aiimskalyani.edu.in</v>
      </c>
      <c r="C100" s="21" t="str">
        <f>IFERROR(__xludf.DUMMYFUNCTION("""COMPUTED_VALUE"""),"AWANTIKA JHA ")</f>
        <v>AWANTIKA JHA </v>
      </c>
      <c r="D100" s="21" t="str">
        <f>IFERROR(__xludf.DUMMYFUNCTION("""COMPUTED_VALUE""")," Enrolment number: 20200181")</f>
        <v> Enrolment number: 20200181</v>
      </c>
      <c r="E100" s="21" t="str">
        <f>IFERROR(__xludf.DUMMYFUNCTION("""COMPUTED_VALUE"""),"MBBS 2020")</f>
        <v>MBBS 2020</v>
      </c>
      <c r="F100" s="21">
        <f>IFERROR(__xludf.DUMMYFUNCTION("""COMPUTED_VALUE"""),8.918275082E9)</f>
        <v>8918275082</v>
      </c>
      <c r="G100" s="21" t="str">
        <f>IFERROR(__xludf.DUMMYFUNCTION("""COMPUTED_VALUE"""),"awantika.mbbs-2020@aiimskalyani.edu.in")</f>
        <v>awantika.mbbs-2020@aiimskalyani.edu.in</v>
      </c>
      <c r="H100" s="21" t="str">
        <f>IFERROR(__xludf.DUMMYFUNCTION("""COMPUTED_VALUE"""),"Yes")</f>
        <v>Yes</v>
      </c>
      <c r="I100" s="21" t="str">
        <f>IFERROR(__xludf.DUMMYFUNCTION("""COMPUTED_VALUE"""),"Poem writing, listening to music ")</f>
        <v>Poem writing, listening to music </v>
      </c>
      <c r="J100" s="21"/>
      <c r="K100" s="21" t="str">
        <f>IFERROR(__xludf.DUMMYFUNCTION("""COMPUTED_VALUE"""),"Durgapur")</f>
        <v>Durgapur</v>
      </c>
      <c r="L100" s="22" t="str">
        <f>IFERROR(__xludf.DUMMYFUNCTION("""COMPUTED_VALUE"""),"https://drive.google.com/open?id=1swgdXG5ahfxdANZb31Jij9iuAiMrQ-GJ")</f>
        <v>https://drive.google.com/open?id=1swgdXG5ahfxdANZb31Jij9iuAiMrQ-GJ</v>
      </c>
      <c r="M100" s="22" t="str">
        <f>IFERROR(__xludf.DUMMYFUNCTION("""COMPUTED_VALUE"""),"https://drive.google.com/open?id=1T6W7gCxCxiXRzLWClR30gfBGvOB7xvpI")</f>
        <v>https://drive.google.com/open?id=1T6W7gCxCxiXRzLWClR30gfBGvOB7xvpI</v>
      </c>
      <c r="N100" s="21" t="str">
        <f>IFERROR(__xludf.DUMMYFUNCTION("""COMPUTED_VALUE"""),"Vimalesh Kumar ")</f>
        <v>Vimalesh Kumar </v>
      </c>
      <c r="O100" s="21" t="str">
        <f>IFERROR(__xludf.DUMMYFUNCTION("""COMPUTED_VALUE"""),"Deputy Accountant General/IAAS")</f>
        <v>Deputy Accountant General/IAAS</v>
      </c>
      <c r="P100" s="21" t="str">
        <f>IFERROR(__xludf.DUMMYFUNCTION("""COMPUTED_VALUE"""),"KOLKATA ")</f>
        <v>KOLKATA </v>
      </c>
      <c r="Q100" s="21">
        <f>IFERROR(__xludf.DUMMYFUNCTION("""COMPUTED_VALUE"""),9.434200996E9)</f>
        <v>9434200996</v>
      </c>
      <c r="R100" s="21" t="str">
        <f>IFERROR(__xludf.DUMMYFUNCTION("""COMPUTED_VALUE"""),"Guriya Kumari ")</f>
        <v>Guriya Kumari </v>
      </c>
      <c r="S100" s="21" t="str">
        <f>IFERROR(__xludf.DUMMYFUNCTION("""COMPUTED_VALUE"""),"Homemaker")</f>
        <v>Homemaker</v>
      </c>
      <c r="T100" s="21" t="str">
        <f>IFERROR(__xludf.DUMMYFUNCTION("""COMPUTED_VALUE"""),"Durgapur ")</f>
        <v>Durgapur </v>
      </c>
      <c r="U100" s="21">
        <f>IFERROR(__xludf.DUMMYFUNCTION("""COMPUTED_VALUE"""),9.339372714E9)</f>
        <v>9339372714</v>
      </c>
      <c r="V100" s="21">
        <f>IFERROR(__xludf.DUMMYFUNCTION("""COMPUTED_VALUE"""),2.0)</f>
        <v>2</v>
      </c>
      <c r="W100" s="21" t="str">
        <f>IFERROR(__xludf.DUMMYFUNCTION("""COMPUTED_VALUE"""),"Vimalesh Kumar ")</f>
        <v>Vimalesh Kumar </v>
      </c>
      <c r="X100" s="21" t="str">
        <f>IFERROR(__xludf.DUMMYFUNCTION("""COMPUTED_VALUE"""),"Father")</f>
        <v>Father</v>
      </c>
      <c r="Y100" s="21" t="str">
        <f>IFERROR(__xludf.DUMMYFUNCTION("""COMPUTED_VALUE"""),"Guriya Kumari")</f>
        <v>Guriya Kumari</v>
      </c>
      <c r="Z100" s="21" t="str">
        <f>IFERROR(__xludf.DUMMYFUNCTION("""COMPUTED_VALUE"""),"Mother")</f>
        <v>Mother</v>
      </c>
      <c r="AA100" s="21" t="str">
        <f>IFERROR(__xludf.DUMMYFUNCTION("""COMPUTED_VALUE"""),"Veg")</f>
        <v>Veg</v>
      </c>
      <c r="AB100" s="21" t="str">
        <f>IFERROR(__xludf.DUMMYFUNCTION("""COMPUTED_VALUE"""),"Veg")</f>
        <v>Veg</v>
      </c>
      <c r="AC100" s="21" t="str">
        <f>IFERROR(__xludf.DUMMYFUNCTION("""COMPUTED_VALUE"""),"Veg")</f>
        <v>Veg</v>
      </c>
      <c r="AD100" s="21" t="str">
        <f>IFERROR(__xludf.DUMMYFUNCTION("""COMPUTED_VALUE"""),"Bus Drop Service not needed")</f>
        <v>Bus Drop Service not needed</v>
      </c>
      <c r="AE100" s="21">
        <f>IFERROR(__xludf.DUMMYFUNCTION("""COMPUTED_VALUE"""),0.0)</f>
        <v>0</v>
      </c>
    </row>
    <row r="101" ht="22.5" customHeight="1">
      <c r="A101" s="18">
        <f>IFERROR(__xludf.DUMMYFUNCTION("""COMPUTED_VALUE"""),46259.43666690972)</f>
        <v>46259.43667</v>
      </c>
      <c r="B101" s="21" t="str">
        <f>IFERROR(__xludf.DUMMYFUNCTION("""COMPUTED_VALUE"""),"amrit.mbbs-2020@aiimskalyani.edu.in")</f>
        <v>amrit.mbbs-2020@aiimskalyani.edu.in</v>
      </c>
      <c r="C101" s="21" t="str">
        <f>IFERROR(__xludf.DUMMYFUNCTION("""COMPUTED_VALUE"""),"AMRIT RAJ ANAND")</f>
        <v>AMRIT RAJ ANAND</v>
      </c>
      <c r="D101" s="21">
        <f>IFERROR(__xludf.DUMMYFUNCTION("""COMPUTED_VALUE"""),2.0200163E7)</f>
        <v>20200163</v>
      </c>
      <c r="E101" s="21" t="str">
        <f>IFERROR(__xludf.DUMMYFUNCTION("""COMPUTED_VALUE"""),"MBBS 2020")</f>
        <v>MBBS 2020</v>
      </c>
      <c r="F101" s="21">
        <f>IFERROR(__xludf.DUMMYFUNCTION("""COMPUTED_VALUE"""),7.48402736E9)</f>
        <v>7484027360</v>
      </c>
      <c r="G101" s="21" t="str">
        <f>IFERROR(__xludf.DUMMYFUNCTION("""COMPUTED_VALUE"""),"amritrajanand51054@gmail.com")</f>
        <v>amritrajanand51054@gmail.com</v>
      </c>
      <c r="H101" s="21" t="str">
        <f>IFERROR(__xludf.DUMMYFUNCTION("""COMPUTED_VALUE"""),"Yes")</f>
        <v>Yes</v>
      </c>
      <c r="I101" s="21" t="str">
        <f>IFERROR(__xludf.DUMMYFUNCTION("""COMPUTED_VALUE"""),"Football and Music")</f>
        <v>Football and Music</v>
      </c>
      <c r="J101" s="21"/>
      <c r="K101" s="21" t="str">
        <f>IFERROR(__xludf.DUMMYFUNCTION("""COMPUTED_VALUE"""),"Chhapra")</f>
        <v>Chhapra</v>
      </c>
      <c r="L101" s="22" t="str">
        <f>IFERROR(__xludf.DUMMYFUNCTION("""COMPUTED_VALUE"""),"https://drive.google.com/open?id=1ebUTdcQyNy1kHGDWLP7si5Lr08i6dGfS")</f>
        <v>https://drive.google.com/open?id=1ebUTdcQyNy1kHGDWLP7si5Lr08i6dGfS</v>
      </c>
      <c r="M101" s="22" t="str">
        <f>IFERROR(__xludf.DUMMYFUNCTION("""COMPUTED_VALUE"""),"https://drive.google.com/open?id=1_LznKduDz5f4pghoIv7j-MlwomF_NOaA")</f>
        <v>https://drive.google.com/open?id=1_LznKduDz5f4pghoIv7j-MlwomF_NOaA</v>
      </c>
      <c r="N101" s="21" t="str">
        <f>IFERROR(__xludf.DUMMYFUNCTION("""COMPUTED_VALUE"""),"CHANDAN SHARMA ")</f>
        <v>CHANDAN SHARMA </v>
      </c>
      <c r="O101" s="21" t="str">
        <f>IFERROR(__xludf.DUMMYFUNCTION("""COMPUTED_VALUE"""),"FARMER")</f>
        <v>FARMER</v>
      </c>
      <c r="P101" s="21" t="str">
        <f>IFERROR(__xludf.DUMMYFUNCTION("""COMPUTED_VALUE"""),"CHHAPRA")</f>
        <v>CHHAPRA</v>
      </c>
      <c r="Q101" s="21">
        <f>IFERROR(__xludf.DUMMYFUNCTION("""COMPUTED_VALUE"""),8.002729788E9)</f>
        <v>8002729788</v>
      </c>
      <c r="R101" s="21" t="str">
        <f>IFERROR(__xludf.DUMMYFUNCTION("""COMPUTED_VALUE"""),"MANORMA SHARMA")</f>
        <v>MANORMA SHARMA</v>
      </c>
      <c r="S101" s="21" t="str">
        <f>IFERROR(__xludf.DUMMYFUNCTION("""COMPUTED_VALUE"""),"HOUSEWIFE")</f>
        <v>HOUSEWIFE</v>
      </c>
      <c r="T101" s="21" t="str">
        <f>IFERROR(__xludf.DUMMYFUNCTION("""COMPUTED_VALUE"""),"CHHAPRA")</f>
        <v>CHHAPRA</v>
      </c>
      <c r="U101" s="21">
        <f>IFERROR(__xludf.DUMMYFUNCTION("""COMPUTED_VALUE"""),8.002729788E9)</f>
        <v>8002729788</v>
      </c>
      <c r="V101" s="21">
        <f>IFERROR(__xludf.DUMMYFUNCTION("""COMPUTED_VALUE"""),2.0)</f>
        <v>2</v>
      </c>
      <c r="W101" s="21" t="str">
        <f>IFERROR(__xludf.DUMMYFUNCTION("""COMPUTED_VALUE"""),"RAM ANOOP SHRMA")</f>
        <v>RAM ANOOP SHRMA</v>
      </c>
      <c r="X101" s="21" t="str">
        <f>IFERROR(__xludf.DUMMYFUNCTION("""COMPUTED_VALUE"""),"Grandfather")</f>
        <v>Grandfather</v>
      </c>
      <c r="Y101" s="21" t="str">
        <f>IFERROR(__xludf.DUMMYFUNCTION("""COMPUTED_VALUE"""),"Nirmal Sharma ")</f>
        <v>Nirmal Sharma </v>
      </c>
      <c r="Z101" s="21" t="str">
        <f>IFERROR(__xludf.DUMMYFUNCTION("""COMPUTED_VALUE"""),"Uncle ")</f>
        <v>Uncle </v>
      </c>
      <c r="AA101" s="21" t="str">
        <f>IFERROR(__xludf.DUMMYFUNCTION("""COMPUTED_VALUE"""),"Non-Veg")</f>
        <v>Non-Veg</v>
      </c>
      <c r="AB101" s="21" t="str">
        <f>IFERROR(__xludf.DUMMYFUNCTION("""COMPUTED_VALUE"""),"Veg")</f>
        <v>Veg</v>
      </c>
      <c r="AC101" s="21" t="str">
        <f>IFERROR(__xludf.DUMMYFUNCTION("""COMPUTED_VALUE"""),"Veg")</f>
        <v>Veg</v>
      </c>
      <c r="AD101" s="21" t="str">
        <f>IFERROR(__xludf.DUMMYFUNCTION("""COMPUTED_VALUE"""),"Bus Drop Service not needed")</f>
        <v>Bus Drop Service not needed</v>
      </c>
      <c r="AE101" s="21">
        <f>IFERROR(__xludf.DUMMYFUNCTION("""COMPUTED_VALUE"""),0.0)</f>
        <v>0</v>
      </c>
    </row>
    <row r="102" ht="22.5" customHeight="1">
      <c r="A102" s="18">
        <f>IFERROR(__xludf.DUMMYFUNCTION("""COMPUTED_VALUE"""),46258.88864873843)</f>
        <v>46258.88865</v>
      </c>
      <c r="B102" s="21" t="str">
        <f>IFERROR(__xludf.DUMMYFUNCTION("""COMPUTED_VALUE"""),"soumya.mbbs-2020@aiimskalyani.edu.in")</f>
        <v>soumya.mbbs-2020@aiimskalyani.edu.in</v>
      </c>
      <c r="C102" s="21" t="str">
        <f>IFERROR(__xludf.DUMMYFUNCTION("""COMPUTED_VALUE"""),"SOUMYA PARIDA ")</f>
        <v>SOUMYA PARIDA </v>
      </c>
      <c r="D102" s="21">
        <f>IFERROR(__xludf.DUMMYFUNCTION("""COMPUTED_VALUE"""),2.02001148E8)</f>
        <v>202001148</v>
      </c>
      <c r="E102" s="21" t="str">
        <f>IFERROR(__xludf.DUMMYFUNCTION("""COMPUTED_VALUE"""),"MBBS 2020")</f>
        <v>MBBS 2020</v>
      </c>
      <c r="F102" s="21">
        <f>IFERROR(__xludf.DUMMYFUNCTION("""COMPUTED_VALUE"""),7.735479962E9)</f>
        <v>7735479962</v>
      </c>
      <c r="G102" s="21" t="str">
        <f>IFERROR(__xludf.DUMMYFUNCTION("""COMPUTED_VALUE"""),"paridasoumya1@gmail.com")</f>
        <v>paridasoumya1@gmail.com</v>
      </c>
      <c r="H102" s="21" t="str">
        <f>IFERROR(__xludf.DUMMYFUNCTION("""COMPUTED_VALUE"""),"Yes")</f>
        <v>Yes</v>
      </c>
      <c r="I102" s="21"/>
      <c r="J102" s="21"/>
      <c r="K102" s="21" t="str">
        <f>IFERROR(__xludf.DUMMYFUNCTION("""COMPUTED_VALUE"""),"Kendrapada , Odisha ")</f>
        <v>Kendrapada , Odisha </v>
      </c>
      <c r="L102" s="22" t="str">
        <f>IFERROR(__xludf.DUMMYFUNCTION("""COMPUTED_VALUE"""),"https://drive.google.com/open?id=1zTOBxVNCXt22Rwj7Pl1gpjJkQa8kWMSn")</f>
        <v>https://drive.google.com/open?id=1zTOBxVNCXt22Rwj7Pl1gpjJkQa8kWMSn</v>
      </c>
      <c r="M102" s="22" t="str">
        <f>IFERROR(__xludf.DUMMYFUNCTION("""COMPUTED_VALUE"""),"https://drive.google.com/open?id=1UJUiJTyL0PYyi87H4TV5zhX-DzbNR0lw")</f>
        <v>https://drive.google.com/open?id=1UJUiJTyL0PYyi87H4TV5zhX-DzbNR0lw</v>
      </c>
      <c r="N102" s="21" t="str">
        <f>IFERROR(__xludf.DUMMYFUNCTION("""COMPUTED_VALUE"""),"Pravat Kumar Parida ")</f>
        <v>Pravat Kumar Parida </v>
      </c>
      <c r="O102" s="21" t="str">
        <f>IFERROR(__xludf.DUMMYFUNCTION("""COMPUTED_VALUE"""),"Physics lecture")</f>
        <v>Physics lecture</v>
      </c>
      <c r="P102" s="21" t="str">
        <f>IFERROR(__xludf.DUMMYFUNCTION("""COMPUTED_VALUE"""),"Kendrapada, Odisha ")</f>
        <v>Kendrapada, Odisha </v>
      </c>
      <c r="Q102" s="21">
        <f>IFERROR(__xludf.DUMMYFUNCTION("""COMPUTED_VALUE"""),7.008620644E9)</f>
        <v>7008620644</v>
      </c>
      <c r="R102" s="21" t="str">
        <f>IFERROR(__xludf.DUMMYFUNCTION("""COMPUTED_VALUE"""),"Bandita Routray ")</f>
        <v>Bandita Routray </v>
      </c>
      <c r="S102" s="21" t="str">
        <f>IFERROR(__xludf.DUMMYFUNCTION("""COMPUTED_VALUE"""),"Teacher ")</f>
        <v>Teacher </v>
      </c>
      <c r="T102" s="21" t="str">
        <f>IFERROR(__xludf.DUMMYFUNCTION("""COMPUTED_VALUE"""),"Kendrapada, Odisha ")</f>
        <v>Kendrapada, Odisha </v>
      </c>
      <c r="U102" s="21">
        <f>IFERROR(__xludf.DUMMYFUNCTION("""COMPUTED_VALUE"""),7.008072294E9)</f>
        <v>7008072294</v>
      </c>
      <c r="V102" s="21">
        <f>IFERROR(__xludf.DUMMYFUNCTION("""COMPUTED_VALUE"""),2.0)</f>
        <v>2</v>
      </c>
      <c r="W102" s="21" t="str">
        <f>IFERROR(__xludf.DUMMYFUNCTION("""COMPUTED_VALUE"""),"Shraddha saraswati Parida ")</f>
        <v>Shraddha saraswati Parida </v>
      </c>
      <c r="X102" s="21" t="str">
        <f>IFERROR(__xludf.DUMMYFUNCTION("""COMPUTED_VALUE"""),"Sister ")</f>
        <v>Sister </v>
      </c>
      <c r="Y102" s="21" t="str">
        <f>IFERROR(__xludf.DUMMYFUNCTION("""COMPUTED_VALUE"""),"Pravat Kumar Parida ")</f>
        <v>Pravat Kumar Parida </v>
      </c>
      <c r="Z102" s="21" t="str">
        <f>IFERROR(__xludf.DUMMYFUNCTION("""COMPUTED_VALUE"""),"Father ")</f>
        <v>Father </v>
      </c>
      <c r="AA102" s="21" t="str">
        <f>IFERROR(__xludf.DUMMYFUNCTION("""COMPUTED_VALUE"""),"Veg")</f>
        <v>Veg</v>
      </c>
      <c r="AB102" s="21" t="str">
        <f>IFERROR(__xludf.DUMMYFUNCTION("""COMPUTED_VALUE"""),"Veg")</f>
        <v>Veg</v>
      </c>
      <c r="AC102" s="21" t="str">
        <f>IFERROR(__xludf.DUMMYFUNCTION("""COMPUTED_VALUE"""),"Veg")</f>
        <v>Veg</v>
      </c>
      <c r="AD102" s="21" t="str">
        <f>IFERROR(__xludf.DUMMYFUNCTION("""COMPUTED_VALUE"""),"Drop at Kolkata Airport")</f>
        <v>Drop at Kolkata Airport</v>
      </c>
      <c r="AE102" s="21">
        <f>IFERROR(__xludf.DUMMYFUNCTION("""COMPUTED_VALUE"""),3.0)</f>
        <v>3</v>
      </c>
    </row>
    <row r="103" ht="22.5" customHeight="1">
      <c r="A103" s="18">
        <f>IFERROR(__xludf.DUMMYFUNCTION("""COMPUTED_VALUE"""),46258.87459798611)</f>
        <v>46258.8746</v>
      </c>
      <c r="B103" s="21" t="str">
        <f>IFERROR(__xludf.DUMMYFUNCTION("""COMPUTED_VALUE"""),"sandeep.mbbs-2020@aiimskalyani.edu.in")</f>
        <v>sandeep.mbbs-2020@aiimskalyani.edu.in</v>
      </c>
      <c r="C103" s="21" t="str">
        <f>IFERROR(__xludf.DUMMYFUNCTION("""COMPUTED_VALUE"""),"SANDEEP KUMAR")</f>
        <v>SANDEEP KUMAR</v>
      </c>
      <c r="D103" s="21">
        <f>IFERROR(__xludf.DUMMYFUNCTION("""COMPUTED_VALUE"""),2.02001132E8)</f>
        <v>202001132</v>
      </c>
      <c r="E103" s="21" t="str">
        <f>IFERROR(__xludf.DUMMYFUNCTION("""COMPUTED_VALUE"""),"MBBS 2020")</f>
        <v>MBBS 2020</v>
      </c>
      <c r="F103" s="21">
        <f>IFERROR(__xludf.DUMMYFUNCTION("""COMPUTED_VALUE"""),9.142602801E9)</f>
        <v>9142602801</v>
      </c>
      <c r="G103" s="21" t="str">
        <f>IFERROR(__xludf.DUMMYFUNCTION("""COMPUTED_VALUE"""),"sandeep.mbbs-2020@aiimskalyani.edu.in")</f>
        <v>sandeep.mbbs-2020@aiimskalyani.edu.in</v>
      </c>
      <c r="H103" s="21" t="str">
        <f>IFERROR(__xludf.DUMMYFUNCTION("""COMPUTED_VALUE"""),"Yes")</f>
        <v>Yes</v>
      </c>
      <c r="I103" s="21" t="str">
        <f>IFERROR(__xludf.DUMMYFUNCTION("""COMPUTED_VALUE"""),"Sports,Watching movies,Singing and many other.")</f>
        <v>Sports,Watching movies,Singing and many other.</v>
      </c>
      <c r="J103" s="21" t="str">
        <f>IFERROR(__xludf.DUMMYFUNCTION("""COMPUTED_VALUE"""),"Gully cricket")</f>
        <v>Gully cricket</v>
      </c>
      <c r="K103" s="21" t="str">
        <f>IFERROR(__xludf.DUMMYFUNCTION("""COMPUTED_VALUE"""),"Jehanabad")</f>
        <v>Jehanabad</v>
      </c>
      <c r="L103" s="22" t="str">
        <f>IFERROR(__xludf.DUMMYFUNCTION("""COMPUTED_VALUE"""),"https://drive.google.com/open?id=1kqkAzE1eOmrtdmrzRw8esKmszv6pTXiS")</f>
        <v>https://drive.google.com/open?id=1kqkAzE1eOmrtdmrzRw8esKmszv6pTXiS</v>
      </c>
      <c r="M103" s="22" t="str">
        <f>IFERROR(__xludf.DUMMYFUNCTION("""COMPUTED_VALUE"""),"https://drive.google.com/open?id=1Bt6RqjcZymSOtepnin9GtCneOooOhk1b")</f>
        <v>https://drive.google.com/open?id=1Bt6RqjcZymSOtepnin9GtCneOooOhk1b</v>
      </c>
      <c r="N103" s="21" t="str">
        <f>IFERROR(__xludf.DUMMYFUNCTION("""COMPUTED_VALUE"""),"Shree Upendra prasad")</f>
        <v>Shree Upendra prasad</v>
      </c>
      <c r="O103" s="21" t="str">
        <f>IFERROR(__xludf.DUMMYFUNCTION("""COMPUTED_VALUE"""),"Farmer")</f>
        <v>Farmer</v>
      </c>
      <c r="P103" s="21" t="str">
        <f>IFERROR(__xludf.DUMMYFUNCTION("""COMPUTED_VALUE"""),"Jehanabad")</f>
        <v>Jehanabad</v>
      </c>
      <c r="Q103" s="21">
        <f>IFERROR(__xludf.DUMMYFUNCTION("""COMPUTED_VALUE"""),8.427188157E9)</f>
        <v>8427188157</v>
      </c>
      <c r="R103" s="21" t="str">
        <f>IFERROR(__xludf.DUMMYFUNCTION("""COMPUTED_VALUE"""),"Shreemati Neelam Kumari")</f>
        <v>Shreemati Neelam Kumari</v>
      </c>
      <c r="S103" s="21" t="str">
        <f>IFERROR(__xludf.DUMMYFUNCTION("""COMPUTED_VALUE"""),"Auxiliary Nurse Midwife")</f>
        <v>Auxiliary Nurse Midwife</v>
      </c>
      <c r="T103" s="21" t="str">
        <f>IFERROR(__xludf.DUMMYFUNCTION("""COMPUTED_VALUE"""),"Jehanabad")</f>
        <v>Jehanabad</v>
      </c>
      <c r="U103" s="21">
        <f>IFERROR(__xludf.DUMMYFUNCTION("""COMPUTED_VALUE"""),9.572285253E9)</f>
        <v>9572285253</v>
      </c>
      <c r="V103" s="21">
        <f>IFERROR(__xludf.DUMMYFUNCTION("""COMPUTED_VALUE"""),2.0)</f>
        <v>2</v>
      </c>
      <c r="W103" s="21" t="str">
        <f>IFERROR(__xludf.DUMMYFUNCTION("""COMPUTED_VALUE"""),"Shree Upendra Prasad")</f>
        <v>Shree Upendra Prasad</v>
      </c>
      <c r="X103" s="21" t="str">
        <f>IFERROR(__xludf.DUMMYFUNCTION("""COMPUTED_VALUE"""),"Father")</f>
        <v>Father</v>
      </c>
      <c r="Y103" s="21" t="str">
        <f>IFERROR(__xludf.DUMMYFUNCTION("""COMPUTED_VALUE"""),"Shreemati Neelam kumari")</f>
        <v>Shreemati Neelam kumari</v>
      </c>
      <c r="Z103" s="21" t="str">
        <f>IFERROR(__xludf.DUMMYFUNCTION("""COMPUTED_VALUE"""),"Mother")</f>
        <v>Mother</v>
      </c>
      <c r="AA103" s="21" t="str">
        <f>IFERROR(__xludf.DUMMYFUNCTION("""COMPUTED_VALUE"""),"Non-Veg")</f>
        <v>Non-Veg</v>
      </c>
      <c r="AB103" s="21" t="str">
        <f>IFERROR(__xludf.DUMMYFUNCTION("""COMPUTED_VALUE"""),"Veg")</f>
        <v>Veg</v>
      </c>
      <c r="AC103" s="21" t="str">
        <f>IFERROR(__xludf.DUMMYFUNCTION("""COMPUTED_VALUE"""),"Veg")</f>
        <v>Veg</v>
      </c>
      <c r="AD103" s="21" t="str">
        <f>IFERROR(__xludf.DUMMYFUNCTION("""COMPUTED_VALUE"""),"Bus Drop Service not needed")</f>
        <v>Bus Drop Service not needed</v>
      </c>
      <c r="AE103" s="21"/>
    </row>
    <row r="104" ht="22.5" customHeight="1">
      <c r="A104" s="18">
        <f>IFERROR(__xludf.DUMMYFUNCTION("""COMPUTED_VALUE"""),46258.87418944444)</f>
        <v>46258.87419</v>
      </c>
      <c r="B104" s="21" t="str">
        <f>IFERROR(__xludf.DUMMYFUNCTION("""COMPUTED_VALUE"""),"anirudh.mbbs-2020@aiimskalyani.edu.in")</f>
        <v>anirudh.mbbs-2020@aiimskalyani.edu.in</v>
      </c>
      <c r="C104" s="21" t="str">
        <f>IFERROR(__xludf.DUMMYFUNCTION("""COMPUTED_VALUE"""),"ANIRUDH GUPTA")</f>
        <v>ANIRUDH GUPTA</v>
      </c>
      <c r="D104" s="21" t="str">
        <f>IFERROR(__xludf.DUMMYFUNCTION("""COMPUTED_VALUE"""),"17 / 20200167")</f>
        <v>17 / 20200167</v>
      </c>
      <c r="E104" s="21" t="str">
        <f>IFERROR(__xludf.DUMMYFUNCTION("""COMPUTED_VALUE"""),"MBBS 2020")</f>
        <v>MBBS 2020</v>
      </c>
      <c r="F104" s="21">
        <f>IFERROR(__xludf.DUMMYFUNCTION("""COMPUTED_VALUE"""),9.464906137E9)</f>
        <v>9464906137</v>
      </c>
      <c r="G104" s="21" t="str">
        <f>IFERROR(__xludf.DUMMYFUNCTION("""COMPUTED_VALUE"""),"anirudh.mbbs-2020@aiimskalyani.edu.in")</f>
        <v>anirudh.mbbs-2020@aiimskalyani.edu.in</v>
      </c>
      <c r="H104" s="21" t="str">
        <f>IFERROR(__xludf.DUMMYFUNCTION("""COMPUTED_VALUE"""),"Yes")</f>
        <v>Yes</v>
      </c>
      <c r="I104" s="21" t="str">
        <f>IFERROR(__xludf.DUMMYFUNCTION("""COMPUTED_VALUE"""),"I like travelling, aviation and watching sitcoms.  ")</f>
        <v>I like travelling, aviation and watching sitcoms.  </v>
      </c>
      <c r="J104" s="21" t="str">
        <f>IFERROR(__xludf.DUMMYFUNCTION("""COMPUTED_VALUE"""),"- Joint organising secretary of ""Elyssia"" 1.0
- Editor-in-chief of ""Samhita"" 2.0")</f>
        <v>- Joint organising secretary of "Elyssia" 1.0
- Editor-in-chief of "Samhita" 2.0</v>
      </c>
      <c r="K104" s="21" t="str">
        <f>IFERROR(__xludf.DUMMYFUNCTION("""COMPUTED_VALUE"""),"Chandigarh")</f>
        <v>Chandigarh</v>
      </c>
      <c r="L104" s="22" t="str">
        <f>IFERROR(__xludf.DUMMYFUNCTION("""COMPUTED_VALUE"""),"https://drive.google.com/open?id=1PSXf2zicyWI65fLmGUfogSav7KQ6IW7Y")</f>
        <v>https://drive.google.com/open?id=1PSXf2zicyWI65fLmGUfogSav7KQ6IW7Y</v>
      </c>
      <c r="M104" s="22" t="str">
        <f>IFERROR(__xludf.DUMMYFUNCTION("""COMPUTED_VALUE"""),"https://drive.google.com/open?id=1nSrmZabl9dLEuU_jVo6OP4hFGyxYvmcW")</f>
        <v>https://drive.google.com/open?id=1nSrmZabl9dLEuU_jVo6OP4hFGyxYvmcW</v>
      </c>
      <c r="N104" s="21" t="str">
        <f>IFERROR(__xludf.DUMMYFUNCTION("""COMPUTED_VALUE"""),"Dr. Vivek Gupta")</f>
        <v>Dr. Vivek Gupta</v>
      </c>
      <c r="O104" s="21" t="str">
        <f>IFERROR(__xludf.DUMMYFUNCTION("""COMPUTED_VALUE"""),"Additional Director
Interventional Neuroradiology
Fortis Hospital Mohali
Punjab")</f>
        <v>Additional Director
Interventional Neuroradiology
Fortis Hospital Mohali
Punjab</v>
      </c>
      <c r="P104" s="21" t="str">
        <f>IFERROR(__xludf.DUMMYFUNCTION("""COMPUTED_VALUE"""),"Chandigarh")</f>
        <v>Chandigarh</v>
      </c>
      <c r="Q104" s="21">
        <f>IFERROR(__xludf.DUMMYFUNCTION("""COMPUTED_VALUE"""),7.087009871E9)</f>
        <v>7087009871</v>
      </c>
      <c r="R104" s="21" t="str">
        <f>IFERROR(__xludf.DUMMYFUNCTION("""COMPUTED_VALUE"""),"Dr. Madhu Gupta")</f>
        <v>Dr. Madhu Gupta</v>
      </c>
      <c r="S104" s="21" t="str">
        <f>IFERROR(__xludf.DUMMYFUNCTION("""COMPUTED_VALUE"""),"Professor
Department of Community Medicine and School of Public Health 
PGIMER, Chandigarh")</f>
        <v>Professor
Department of Community Medicine and School of Public Health 
PGIMER, Chandigarh</v>
      </c>
      <c r="T104" s="21" t="str">
        <f>IFERROR(__xludf.DUMMYFUNCTION("""COMPUTED_VALUE"""),"Chandigarh")</f>
        <v>Chandigarh</v>
      </c>
      <c r="U104" s="21">
        <f>IFERROR(__xludf.DUMMYFUNCTION("""COMPUTED_VALUE"""),7.087008223E9)</f>
        <v>7087008223</v>
      </c>
      <c r="V104" s="21">
        <f>IFERROR(__xludf.DUMMYFUNCTION("""COMPUTED_VALUE"""),2.0)</f>
        <v>2</v>
      </c>
      <c r="W104" s="21" t="str">
        <f>IFERROR(__xludf.DUMMYFUNCTION("""COMPUTED_VALUE"""),"Dr. Vivek Gupta")</f>
        <v>Dr. Vivek Gupta</v>
      </c>
      <c r="X104" s="21" t="str">
        <f>IFERROR(__xludf.DUMMYFUNCTION("""COMPUTED_VALUE"""),"Father")</f>
        <v>Father</v>
      </c>
      <c r="Y104" s="21" t="str">
        <f>IFERROR(__xludf.DUMMYFUNCTION("""COMPUTED_VALUE"""),"Dr. Madhu Gupta")</f>
        <v>Dr. Madhu Gupta</v>
      </c>
      <c r="Z104" s="21" t="str">
        <f>IFERROR(__xludf.DUMMYFUNCTION("""COMPUTED_VALUE"""),"Mother")</f>
        <v>Mother</v>
      </c>
      <c r="AA104" s="21" t="str">
        <f>IFERROR(__xludf.DUMMYFUNCTION("""COMPUTED_VALUE"""),"Non-Veg")</f>
        <v>Non-Veg</v>
      </c>
      <c r="AB104" s="21" t="str">
        <f>IFERROR(__xludf.DUMMYFUNCTION("""COMPUTED_VALUE"""),"Veg")</f>
        <v>Veg</v>
      </c>
      <c r="AC104" s="21" t="str">
        <f>IFERROR(__xludf.DUMMYFUNCTION("""COMPUTED_VALUE"""),"Veg")</f>
        <v>Veg</v>
      </c>
      <c r="AD104" s="21" t="str">
        <f>IFERROR(__xludf.DUMMYFUNCTION("""COMPUTED_VALUE"""),"Drop at Kolkata Airport")</f>
        <v>Drop at Kolkata Airport</v>
      </c>
      <c r="AE104" s="21">
        <f>IFERROR(__xludf.DUMMYFUNCTION("""COMPUTED_VALUE"""),3.0)</f>
        <v>3</v>
      </c>
    </row>
    <row r="105" ht="22.5" customHeight="1">
      <c r="A105" s="18">
        <f>IFERROR(__xludf.DUMMYFUNCTION("""COMPUTED_VALUE"""),46258.80148621528)</f>
        <v>46258.80149</v>
      </c>
      <c r="B105" s="21" t="str">
        <f>IFERROR(__xludf.DUMMYFUNCTION("""COMPUTED_VALUE"""),"kaki.mbbs-2020@aiimskalyani.edu.in")</f>
        <v>kaki.mbbs-2020@aiimskalyani.edu.in</v>
      </c>
      <c r="C105" s="21" t="str">
        <f>IFERROR(__xludf.DUMMYFUNCTION("""COMPUTED_VALUE"""),"Kaki Jessica Pal ")</f>
        <v>Kaki Jessica Pal </v>
      </c>
      <c r="D105" s="21" t="str">
        <f>IFERROR(__xludf.DUMMYFUNCTION("""COMPUTED_VALUE"""),"55/ 202001105")</f>
        <v>55/ 202001105</v>
      </c>
      <c r="E105" s="21" t="str">
        <f>IFERROR(__xludf.DUMMYFUNCTION("""COMPUTED_VALUE"""),"MBBS 2020")</f>
        <v>MBBS 2020</v>
      </c>
      <c r="F105" s="21">
        <f>IFERROR(__xludf.DUMMYFUNCTION("""COMPUTED_VALUE"""),8.328165594E9)</f>
        <v>8328165594</v>
      </c>
      <c r="G105" s="21" t="str">
        <f>IFERROR(__xludf.DUMMYFUNCTION("""COMPUTED_VALUE"""),"kaki.mbbs-2020@aiimskalyani.edu.in")</f>
        <v>kaki.mbbs-2020@aiimskalyani.edu.in</v>
      </c>
      <c r="H105" s="21" t="str">
        <f>IFERROR(__xludf.DUMMYFUNCTION("""COMPUTED_VALUE"""),"Yes")</f>
        <v>Yes</v>
      </c>
      <c r="I105" s="21"/>
      <c r="J105" s="21"/>
      <c r="K105" s="21" t="str">
        <f>IFERROR(__xludf.DUMMYFUNCTION("""COMPUTED_VALUE"""),"Hyderabad, Telangana ")</f>
        <v>Hyderabad, Telangana </v>
      </c>
      <c r="L105" s="22" t="str">
        <f>IFERROR(__xludf.DUMMYFUNCTION("""COMPUTED_VALUE"""),"https://drive.google.com/open?id=1h4VpzyKvgyDNNcYVeW6ly6tOWqJOXtMs")</f>
        <v>https://drive.google.com/open?id=1h4VpzyKvgyDNNcYVeW6ly6tOWqJOXtMs</v>
      </c>
      <c r="M105" s="22" t="str">
        <f>IFERROR(__xludf.DUMMYFUNCTION("""COMPUTED_VALUE"""),"https://drive.google.com/open?id=1RcZNsQ-1elCc1ADBnjl4hCbodpnOgm9-")</f>
        <v>https://drive.google.com/open?id=1RcZNsQ-1elCc1ADBnjl4hCbodpnOgm9-</v>
      </c>
      <c r="N105" s="21" t="str">
        <f>IFERROR(__xludf.DUMMYFUNCTION("""COMPUTED_VALUE"""),"Kaki V Jayapal Babu")</f>
        <v>Kaki V Jayapal Babu</v>
      </c>
      <c r="O105" s="21" t="str">
        <f>IFERROR(__xludf.DUMMYFUNCTION("""COMPUTED_VALUE"""),"DGM, CSD department, ECIL, Hyderabad.")</f>
        <v>DGM, CSD department, ECIL, Hyderabad.</v>
      </c>
      <c r="P105" s="21" t="str">
        <f>IFERROR(__xludf.DUMMYFUNCTION("""COMPUTED_VALUE"""),"Hyderabad ")</f>
        <v>Hyderabad </v>
      </c>
      <c r="Q105" s="21">
        <f>IFERROR(__xludf.DUMMYFUNCTION("""COMPUTED_VALUE"""),9.441666885E9)</f>
        <v>9441666885</v>
      </c>
      <c r="R105" s="21" t="str">
        <f>IFERROR(__xludf.DUMMYFUNCTION("""COMPUTED_VALUE"""),"N Yesumanimma")</f>
        <v>N Yesumanimma</v>
      </c>
      <c r="S105" s="21" t="str">
        <f>IFERROR(__xludf.DUMMYFUNCTION("""COMPUTED_VALUE"""),"Senior Assistant, Smt. Durgabai Deshmukh Government Women's Technical Training Institute of technology and science, Hyderabad")</f>
        <v>Senior Assistant, Smt. Durgabai Deshmukh Government Women's Technical Training Institute of technology and science, Hyderabad</v>
      </c>
      <c r="T105" s="21" t="str">
        <f>IFERROR(__xludf.DUMMYFUNCTION("""COMPUTED_VALUE"""),"Hyderabad ")</f>
        <v>Hyderabad </v>
      </c>
      <c r="U105" s="21">
        <f>IFERROR(__xludf.DUMMYFUNCTION("""COMPUTED_VALUE"""),9.246348343E9)</f>
        <v>9246348343</v>
      </c>
      <c r="V105" s="21">
        <f>IFERROR(__xludf.DUMMYFUNCTION("""COMPUTED_VALUE"""),2.0)</f>
        <v>2</v>
      </c>
      <c r="W105" s="21" t="str">
        <f>IFERROR(__xludf.DUMMYFUNCTION("""COMPUTED_VALUE"""),"Kaki V Jayapal Babu")</f>
        <v>Kaki V Jayapal Babu</v>
      </c>
      <c r="X105" s="21" t="str">
        <f>IFERROR(__xludf.DUMMYFUNCTION("""COMPUTED_VALUE"""),"Father ")</f>
        <v>Father </v>
      </c>
      <c r="Y105" s="21" t="str">
        <f>IFERROR(__xludf.DUMMYFUNCTION("""COMPUTED_VALUE"""),"N Yesumanimma")</f>
        <v>N Yesumanimma</v>
      </c>
      <c r="Z105" s="21" t="str">
        <f>IFERROR(__xludf.DUMMYFUNCTION("""COMPUTED_VALUE"""),"Mother")</f>
        <v>Mother</v>
      </c>
      <c r="AA105" s="21" t="str">
        <f>IFERROR(__xludf.DUMMYFUNCTION("""COMPUTED_VALUE"""),"Non-Veg")</f>
        <v>Non-Veg</v>
      </c>
      <c r="AB105" s="21" t="str">
        <f>IFERROR(__xludf.DUMMYFUNCTION("""COMPUTED_VALUE"""),"Non-Veg")</f>
        <v>Non-Veg</v>
      </c>
      <c r="AC105" s="21" t="str">
        <f>IFERROR(__xludf.DUMMYFUNCTION("""COMPUTED_VALUE"""),"Non-Veg")</f>
        <v>Non-Veg</v>
      </c>
      <c r="AD105" s="21" t="str">
        <f>IFERROR(__xludf.DUMMYFUNCTION("""COMPUTED_VALUE"""),"Bus Drop Service not needed")</f>
        <v>Bus Drop Service not needed</v>
      </c>
      <c r="AE105" s="21"/>
    </row>
    <row r="106" ht="22.5" customHeight="1">
      <c r="A106" s="18">
        <f>IFERROR(__xludf.DUMMYFUNCTION("""COMPUTED_VALUE"""),46258.79589826389)</f>
        <v>46258.7959</v>
      </c>
      <c r="B106" s="21" t="str">
        <f>IFERROR(__xludf.DUMMYFUNCTION("""COMPUTED_VALUE"""),"sandeepp.mbbs-2020@aiimskalyani.edu.in")</f>
        <v>sandeepp.mbbs-2020@aiimskalyani.edu.in</v>
      </c>
      <c r="C106" s="21" t="str">
        <f>IFERROR(__xludf.DUMMYFUNCTION("""COMPUTED_VALUE"""),"SANDEEP KUMAR PATRO ")</f>
        <v>SANDEEP KUMAR PATRO </v>
      </c>
      <c r="D106" s="21">
        <f>IFERROR(__xludf.DUMMYFUNCTION("""COMPUTED_VALUE"""),2.02001133E8)</f>
        <v>202001133</v>
      </c>
      <c r="E106" s="21" t="str">
        <f>IFERROR(__xludf.DUMMYFUNCTION("""COMPUTED_VALUE"""),"MBBS 2020")</f>
        <v>MBBS 2020</v>
      </c>
      <c r="F106" s="21">
        <f>IFERROR(__xludf.DUMMYFUNCTION("""COMPUTED_VALUE"""),7.205409551E9)</f>
        <v>7205409551</v>
      </c>
      <c r="G106" s="21" t="str">
        <f>IFERROR(__xludf.DUMMYFUNCTION("""COMPUTED_VALUE"""),"sandeepp.mbbs-2020@aiimskalyani.edu.in")</f>
        <v>sandeepp.mbbs-2020@aiimskalyani.edu.in</v>
      </c>
      <c r="H106" s="21" t="str">
        <f>IFERROR(__xludf.DUMMYFUNCTION("""COMPUTED_VALUE"""),"Yes")</f>
        <v>Yes</v>
      </c>
      <c r="I106" s="21" t="str">
        <f>IFERROR(__xludf.DUMMYFUNCTION("""COMPUTED_VALUE"""),"Swimming ")</f>
        <v>Swimming </v>
      </c>
      <c r="J106" s="21" t="str">
        <f>IFERROR(__xludf.DUMMYFUNCTION("""COMPUTED_VALUE"""),"Nothing ")</f>
        <v>Nothing </v>
      </c>
      <c r="K106" s="21" t="str">
        <f>IFERROR(__xludf.DUMMYFUNCTION("""COMPUTED_VALUE"""),"Bhubaneswar ")</f>
        <v>Bhubaneswar </v>
      </c>
      <c r="L106" s="22" t="str">
        <f>IFERROR(__xludf.DUMMYFUNCTION("""COMPUTED_VALUE"""),"https://drive.google.com/open?id=1eN9KhEi0TCm-OcRLJmS5rKVoLJwRf1mI")</f>
        <v>https://drive.google.com/open?id=1eN9KhEi0TCm-OcRLJmS5rKVoLJwRf1mI</v>
      </c>
      <c r="M106" s="22" t="str">
        <f>IFERROR(__xludf.DUMMYFUNCTION("""COMPUTED_VALUE"""),"https://drive.google.com/open?id=1Ri09OkjQVrb-B_-sNHrLb7K3aF2Lqv5V")</f>
        <v>https://drive.google.com/open?id=1Ri09OkjQVrb-B_-sNHrLb7K3aF2Lqv5V</v>
      </c>
      <c r="N106" s="21" t="str">
        <f>IFERROR(__xludf.DUMMYFUNCTION("""COMPUTED_VALUE"""),"Rabindra Nath Patro")</f>
        <v>Rabindra Nath Patro</v>
      </c>
      <c r="O106" s="21" t="str">
        <f>IFERROR(__xludf.DUMMYFUNCTION("""COMPUTED_VALUE"""),"Pharmacist ")</f>
        <v>Pharmacist </v>
      </c>
      <c r="P106" s="21" t="str">
        <f>IFERROR(__xludf.DUMMYFUNCTION("""COMPUTED_VALUE"""),"Bhubaneswar ")</f>
        <v>Bhubaneswar </v>
      </c>
      <c r="Q106" s="21">
        <f>IFERROR(__xludf.DUMMYFUNCTION("""COMPUTED_VALUE"""),9.438602542E9)</f>
        <v>9438602542</v>
      </c>
      <c r="R106" s="21" t="str">
        <f>IFERROR(__xludf.DUMMYFUNCTION("""COMPUTED_VALUE"""),"Sarita Patro")</f>
        <v>Sarita Patro</v>
      </c>
      <c r="S106" s="21" t="str">
        <f>IFERROR(__xludf.DUMMYFUNCTION("""COMPUTED_VALUE"""),"Housewife ")</f>
        <v>Housewife </v>
      </c>
      <c r="T106" s="21" t="str">
        <f>IFERROR(__xludf.DUMMYFUNCTION("""COMPUTED_VALUE"""),"Bhubaneswar ")</f>
        <v>Bhubaneswar </v>
      </c>
      <c r="U106" s="21">
        <f>IFERROR(__xludf.DUMMYFUNCTION("""COMPUTED_VALUE"""),9.692630419E9)</f>
        <v>9692630419</v>
      </c>
      <c r="V106" s="21">
        <f>IFERROR(__xludf.DUMMYFUNCTION("""COMPUTED_VALUE"""),2.0)</f>
        <v>2</v>
      </c>
      <c r="W106" s="21" t="str">
        <f>IFERROR(__xludf.DUMMYFUNCTION("""COMPUTED_VALUE"""),"Rabindra Nath Patro ")</f>
        <v>Rabindra Nath Patro </v>
      </c>
      <c r="X106" s="21" t="str">
        <f>IFERROR(__xludf.DUMMYFUNCTION("""COMPUTED_VALUE"""),"Father")</f>
        <v>Father</v>
      </c>
      <c r="Y106" s="21" t="str">
        <f>IFERROR(__xludf.DUMMYFUNCTION("""COMPUTED_VALUE"""),"Sarita Patro ")</f>
        <v>Sarita Patro </v>
      </c>
      <c r="Z106" s="21" t="str">
        <f>IFERROR(__xludf.DUMMYFUNCTION("""COMPUTED_VALUE"""),"Mother ")</f>
        <v>Mother </v>
      </c>
      <c r="AA106" s="21" t="str">
        <f>IFERROR(__xludf.DUMMYFUNCTION("""COMPUTED_VALUE"""),"Non-Veg")</f>
        <v>Non-Veg</v>
      </c>
      <c r="AB106" s="21" t="str">
        <f>IFERROR(__xludf.DUMMYFUNCTION("""COMPUTED_VALUE"""),"Non-Veg")</f>
        <v>Non-Veg</v>
      </c>
      <c r="AC106" s="21" t="str">
        <f>IFERROR(__xludf.DUMMYFUNCTION("""COMPUTED_VALUE"""),"Non-Veg")</f>
        <v>Non-Veg</v>
      </c>
      <c r="AD106" s="21" t="str">
        <f>IFERROR(__xludf.DUMMYFUNCTION("""COMPUTED_VALUE"""),"Drop at Kalyani Railway Station")</f>
        <v>Drop at Kalyani Railway Station</v>
      </c>
      <c r="AE106" s="21">
        <f>IFERROR(__xludf.DUMMYFUNCTION("""COMPUTED_VALUE"""),3.0)</f>
        <v>3</v>
      </c>
    </row>
    <row r="107" ht="22.5" customHeight="1">
      <c r="A107" s="18">
        <f>IFERROR(__xludf.DUMMYFUNCTION("""COMPUTED_VALUE"""),46258.79097945602)</f>
        <v>46258.79098</v>
      </c>
      <c r="B107" s="21" t="str">
        <f>IFERROR(__xludf.DUMMYFUNCTION("""COMPUTED_VALUE"""),"aman2.mbbs-2020@aiimskalyani.edu.in")</f>
        <v>aman2.mbbs-2020@aiimskalyani.edu.in</v>
      </c>
      <c r="C107" s="21" t="str">
        <f>IFERROR(__xludf.DUMMYFUNCTION("""COMPUTED_VALUE"""),"AMAN KUMAR")</f>
        <v>AMAN KUMAR</v>
      </c>
      <c r="D107" s="21">
        <f>IFERROR(__xludf.DUMMYFUNCTION("""COMPUTED_VALUE"""),2.0200161E7)</f>
        <v>20200161</v>
      </c>
      <c r="E107" s="21" t="str">
        <f>IFERROR(__xludf.DUMMYFUNCTION("""COMPUTED_VALUE"""),"MBBS 2020")</f>
        <v>MBBS 2020</v>
      </c>
      <c r="F107" s="21">
        <f>IFERROR(__xludf.DUMMYFUNCTION("""COMPUTED_VALUE"""),8.63735731E9)</f>
        <v>8637357310</v>
      </c>
      <c r="G107" s="21" t="str">
        <f>IFERROR(__xludf.DUMMYFUNCTION("""COMPUTED_VALUE"""),"aman2.mbbs-2020@aiimskalyani.edu.in")</f>
        <v>aman2.mbbs-2020@aiimskalyani.edu.in</v>
      </c>
      <c r="H107" s="21" t="str">
        <f>IFERROR(__xludf.DUMMYFUNCTION("""COMPUTED_VALUE"""),"Yes")</f>
        <v>Yes</v>
      </c>
      <c r="I107" s="21" t="str">
        <f>IFERROR(__xludf.DUMMYFUNCTION("""COMPUTED_VALUE"""),"Making connections with people, making memes, organising events.")</f>
        <v>Making connections with people, making memes, organising events.</v>
      </c>
      <c r="J107" s="21" t="str">
        <f>IFERROR(__xludf.DUMMYFUNCTION("""COMPUTED_VALUE"""),"Worked as Cultural Representative for 1 year.")</f>
        <v>Worked as Cultural Representative for 1 year.</v>
      </c>
      <c r="K107" s="21" t="str">
        <f>IFERROR(__xludf.DUMMYFUNCTION("""COMPUTED_VALUE"""),"Samastipur")</f>
        <v>Samastipur</v>
      </c>
      <c r="L107" s="22" t="str">
        <f>IFERROR(__xludf.DUMMYFUNCTION("""COMPUTED_VALUE"""),"https://drive.google.com/open?id=1suZL-X0BxCLmYfcwzUijOzMezxZEVbSW")</f>
        <v>https://drive.google.com/open?id=1suZL-X0BxCLmYfcwzUijOzMezxZEVbSW</v>
      </c>
      <c r="M107" s="22" t="str">
        <f>IFERROR(__xludf.DUMMYFUNCTION("""COMPUTED_VALUE"""),"https://drive.google.com/open?id=1ReqtzHanLhryyFBG63TCBQgMGflMz5Pd")</f>
        <v>https://drive.google.com/open?id=1ReqtzHanLhryyFBG63TCBQgMGflMz5Pd</v>
      </c>
      <c r="N107" s="21" t="str">
        <f>IFERROR(__xludf.DUMMYFUNCTION("""COMPUTED_VALUE"""),"Ajay Kumar Yadav")</f>
        <v>Ajay Kumar Yadav</v>
      </c>
      <c r="O107" s="21" t="str">
        <f>IFERROR(__xludf.DUMMYFUNCTION("""COMPUTED_VALUE"""),"Lawyer")</f>
        <v>Lawyer</v>
      </c>
      <c r="P107" s="21" t="str">
        <f>IFERROR(__xludf.DUMMYFUNCTION("""COMPUTED_VALUE"""),"Samastipur, Bihar")</f>
        <v>Samastipur, Bihar</v>
      </c>
      <c r="Q107" s="21">
        <f>IFERROR(__xludf.DUMMYFUNCTION("""COMPUTED_VALUE"""),9.852206837E9)</f>
        <v>9852206837</v>
      </c>
      <c r="R107" s="21" t="str">
        <f>IFERROR(__xludf.DUMMYFUNCTION("""COMPUTED_VALUE"""),"Poonam Devi")</f>
        <v>Poonam Devi</v>
      </c>
      <c r="S107" s="21" t="str">
        <f>IFERROR(__xludf.DUMMYFUNCTION("""COMPUTED_VALUE"""),"Homemaker")</f>
        <v>Homemaker</v>
      </c>
      <c r="T107" s="21" t="str">
        <f>IFERROR(__xludf.DUMMYFUNCTION("""COMPUTED_VALUE"""),"Samastipur,Bihar")</f>
        <v>Samastipur,Bihar</v>
      </c>
      <c r="U107" s="21">
        <f>IFERROR(__xludf.DUMMYFUNCTION("""COMPUTED_VALUE"""),9.431815713E9)</f>
        <v>9431815713</v>
      </c>
      <c r="V107" s="21">
        <f>IFERROR(__xludf.DUMMYFUNCTION("""COMPUTED_VALUE"""),2.0)</f>
        <v>2</v>
      </c>
      <c r="W107" s="21" t="str">
        <f>IFERROR(__xludf.DUMMYFUNCTION("""COMPUTED_VALUE"""),"Ajay Kumar Yadav")</f>
        <v>Ajay Kumar Yadav</v>
      </c>
      <c r="X107" s="21" t="str">
        <f>IFERROR(__xludf.DUMMYFUNCTION("""COMPUTED_VALUE"""),"Father")</f>
        <v>Father</v>
      </c>
      <c r="Y107" s="21" t="str">
        <f>IFERROR(__xludf.DUMMYFUNCTION("""COMPUTED_VALUE"""),"Poonam Devi")</f>
        <v>Poonam Devi</v>
      </c>
      <c r="Z107" s="21" t="str">
        <f>IFERROR(__xludf.DUMMYFUNCTION("""COMPUTED_VALUE"""),"Mother")</f>
        <v>Mother</v>
      </c>
      <c r="AA107" s="21" t="str">
        <f>IFERROR(__xludf.DUMMYFUNCTION("""COMPUTED_VALUE"""),"Non-Veg")</f>
        <v>Non-Veg</v>
      </c>
      <c r="AB107" s="21" t="str">
        <f>IFERROR(__xludf.DUMMYFUNCTION("""COMPUTED_VALUE"""),"Non-Veg")</f>
        <v>Non-Veg</v>
      </c>
      <c r="AC107" s="21" t="str">
        <f>IFERROR(__xludf.DUMMYFUNCTION("""COMPUTED_VALUE"""),"Non-Veg")</f>
        <v>Non-Veg</v>
      </c>
      <c r="AD107" s="21" t="str">
        <f>IFERROR(__xludf.DUMMYFUNCTION("""COMPUTED_VALUE"""),"Drop at Kalyani Railway Station")</f>
        <v>Drop at Kalyani Railway Station</v>
      </c>
      <c r="AE107" s="21">
        <f>IFERROR(__xludf.DUMMYFUNCTION("""COMPUTED_VALUE"""),3.0)</f>
        <v>3</v>
      </c>
    </row>
    <row r="108" ht="22.5" customHeight="1">
      <c r="A108" s="18">
        <f>IFERROR(__xludf.DUMMYFUNCTION("""COMPUTED_VALUE"""),46258.78965519676)</f>
        <v>46258.78966</v>
      </c>
      <c r="B108" s="21" t="str">
        <f>IFERROR(__xludf.DUMMYFUNCTION("""COMPUTED_VALUE"""),"shivani.mbbs-2020@aiimskalyani.edu.in")</f>
        <v>shivani.mbbs-2020@aiimskalyani.edu.in</v>
      </c>
      <c r="C108" s="21" t="str">
        <f>IFERROR(__xludf.DUMMYFUNCTION("""COMPUTED_VALUE"""),"SHIVANI KUMARI")</f>
        <v>SHIVANI KUMARI</v>
      </c>
      <c r="D108" s="21">
        <f>IFERROR(__xludf.DUMMYFUNCTION("""COMPUTED_VALUE"""),2.02001142E8)</f>
        <v>202001142</v>
      </c>
      <c r="E108" s="21" t="str">
        <f>IFERROR(__xludf.DUMMYFUNCTION("""COMPUTED_VALUE"""),"MBBS 2020")</f>
        <v>MBBS 2020</v>
      </c>
      <c r="F108" s="21">
        <f>IFERROR(__xludf.DUMMYFUNCTION("""COMPUTED_VALUE"""),9.199180555E9)</f>
        <v>9199180555</v>
      </c>
      <c r="G108" s="21" t="str">
        <f>IFERROR(__xludf.DUMMYFUNCTION("""COMPUTED_VALUE"""),"shivani.mbbs-2020@aiimskalyani.edu.in")</f>
        <v>shivani.mbbs-2020@aiimskalyani.edu.in</v>
      </c>
      <c r="H108" s="21" t="str">
        <f>IFERROR(__xludf.DUMMYFUNCTION("""COMPUTED_VALUE"""),"Yes")</f>
        <v>Yes</v>
      </c>
      <c r="I108" s="21" t="str">
        <f>IFERROR(__xludf.DUMMYFUNCTION("""COMPUTED_VALUE"""),"Listening to music ")</f>
        <v>Listening to music </v>
      </c>
      <c r="J108" s="21"/>
      <c r="K108" s="21" t="str">
        <f>IFERROR(__xludf.DUMMYFUNCTION("""COMPUTED_VALUE"""),"Patna")</f>
        <v>Patna</v>
      </c>
      <c r="L108" s="22" t="str">
        <f>IFERROR(__xludf.DUMMYFUNCTION("""COMPUTED_VALUE"""),"https://drive.google.com/open?id=1RfJBGbLf99R16v5n9J2VAwbNPAdqNGMh")</f>
        <v>https://drive.google.com/open?id=1RfJBGbLf99R16v5n9J2VAwbNPAdqNGMh</v>
      </c>
      <c r="M108" s="22" t="str">
        <f>IFERROR(__xludf.DUMMYFUNCTION("""COMPUTED_VALUE"""),"https://drive.google.com/open?id=1STTeHRjW4WNongEoGig9psCiKAfLb4Xu")</f>
        <v>https://drive.google.com/open?id=1STTeHRjW4WNongEoGig9psCiKAfLb4Xu</v>
      </c>
      <c r="N108" s="21" t="str">
        <f>IFERROR(__xludf.DUMMYFUNCTION("""COMPUTED_VALUE"""),"Santosh Kumar ")</f>
        <v>Santosh Kumar </v>
      </c>
      <c r="O108" s="21" t="str">
        <f>IFERROR(__xludf.DUMMYFUNCTION("""COMPUTED_VALUE"""),"Business man")</f>
        <v>Business man</v>
      </c>
      <c r="P108" s="21" t="str">
        <f>IFERROR(__xludf.DUMMYFUNCTION("""COMPUTED_VALUE"""),"Patna")</f>
        <v>Patna</v>
      </c>
      <c r="Q108" s="21">
        <f>IFERROR(__xludf.DUMMYFUNCTION("""COMPUTED_VALUE"""),9.93480208E9)</f>
        <v>9934802080</v>
      </c>
      <c r="R108" s="21" t="str">
        <f>IFERROR(__xludf.DUMMYFUNCTION("""COMPUTED_VALUE"""),"Ruby Kumari ")</f>
        <v>Ruby Kumari </v>
      </c>
      <c r="S108" s="21" t="str">
        <f>IFERROR(__xludf.DUMMYFUNCTION("""COMPUTED_VALUE"""),"Housemaker")</f>
        <v>Housemaker</v>
      </c>
      <c r="T108" s="21" t="str">
        <f>IFERROR(__xludf.DUMMYFUNCTION("""COMPUTED_VALUE"""),"Patna")</f>
        <v>Patna</v>
      </c>
      <c r="U108" s="21">
        <f>IFERROR(__xludf.DUMMYFUNCTION("""COMPUTED_VALUE"""),7.857869034E9)</f>
        <v>7857869034</v>
      </c>
      <c r="V108" s="21">
        <f>IFERROR(__xludf.DUMMYFUNCTION("""COMPUTED_VALUE"""),2.0)</f>
        <v>2</v>
      </c>
      <c r="W108" s="21" t="str">
        <f>IFERROR(__xludf.DUMMYFUNCTION("""COMPUTED_VALUE"""),"Santosh Kumar ")</f>
        <v>Santosh Kumar </v>
      </c>
      <c r="X108" s="21" t="str">
        <f>IFERROR(__xludf.DUMMYFUNCTION("""COMPUTED_VALUE"""),"Father")</f>
        <v>Father</v>
      </c>
      <c r="Y108" s="21" t="str">
        <f>IFERROR(__xludf.DUMMYFUNCTION("""COMPUTED_VALUE"""),"Ruby kumari")</f>
        <v>Ruby kumari</v>
      </c>
      <c r="Z108" s="21" t="str">
        <f>IFERROR(__xludf.DUMMYFUNCTION("""COMPUTED_VALUE"""),"Mother")</f>
        <v>Mother</v>
      </c>
      <c r="AA108" s="21" t="str">
        <f>IFERROR(__xludf.DUMMYFUNCTION("""COMPUTED_VALUE"""),"Veg")</f>
        <v>Veg</v>
      </c>
      <c r="AB108" s="21" t="str">
        <f>IFERROR(__xludf.DUMMYFUNCTION("""COMPUTED_VALUE"""),"Veg")</f>
        <v>Veg</v>
      </c>
      <c r="AC108" s="21" t="str">
        <f>IFERROR(__xludf.DUMMYFUNCTION("""COMPUTED_VALUE"""),"Veg")</f>
        <v>Veg</v>
      </c>
      <c r="AD108" s="21" t="str">
        <f>IFERROR(__xludf.DUMMYFUNCTION("""COMPUTED_VALUE"""),"Bus Drop Service not needed")</f>
        <v>Bus Drop Service not needed</v>
      </c>
      <c r="AE108" s="21">
        <f>IFERROR(__xludf.DUMMYFUNCTION("""COMPUTED_VALUE"""),0.0)</f>
        <v>0</v>
      </c>
    </row>
    <row r="109" ht="22.5" customHeight="1">
      <c r="A109" s="18"/>
    </row>
    <row r="110" ht="22.5" customHeight="1">
      <c r="A110" s="18"/>
    </row>
    <row r="111" ht="22.5" customHeight="1">
      <c r="A111" s="18"/>
    </row>
    <row r="112" ht="22.5" customHeight="1">
      <c r="A112" s="18"/>
    </row>
    <row r="113" ht="22.5" customHeight="1">
      <c r="A113" s="18"/>
    </row>
    <row r="114" ht="22.5" customHeight="1">
      <c r="A114" s="18"/>
    </row>
    <row r="115" ht="22.5" customHeight="1">
      <c r="A115" s="18"/>
    </row>
    <row r="116" ht="22.5" customHeight="1">
      <c r="A116" s="18"/>
    </row>
    <row r="117" ht="22.5" customHeight="1">
      <c r="A117" s="18"/>
    </row>
    <row r="118" ht="22.5" customHeight="1">
      <c r="A118" s="18"/>
    </row>
    <row r="119" ht="22.5" customHeight="1">
      <c r="A119" s="18"/>
    </row>
    <row r="120" ht="22.5" customHeight="1">
      <c r="A120" s="18"/>
    </row>
    <row r="121" ht="22.5" customHeight="1">
      <c r="A121" s="18"/>
    </row>
    <row r="122" ht="22.5" customHeight="1">
      <c r="A122" s="18"/>
    </row>
    <row r="123" ht="22.5" customHeight="1">
      <c r="A123" s="18"/>
    </row>
    <row r="124" ht="22.5" customHeight="1">
      <c r="A124" s="18"/>
    </row>
    <row r="125" ht="22.5" customHeight="1">
      <c r="A125" s="18"/>
    </row>
    <row r="126" ht="22.5" customHeight="1">
      <c r="A126" s="18"/>
    </row>
    <row r="127" ht="22.5" customHeight="1">
      <c r="A127" s="18"/>
    </row>
    <row r="128" ht="22.5" customHeight="1">
      <c r="A128" s="18"/>
    </row>
    <row r="129" ht="22.5" customHeight="1">
      <c r="A129" s="18"/>
    </row>
    <row r="130" ht="22.5" customHeight="1">
      <c r="A130" s="18"/>
    </row>
    <row r="131" ht="22.5" customHeight="1">
      <c r="A131" s="18"/>
    </row>
    <row r="132" ht="22.5" customHeight="1">
      <c r="A132" s="18"/>
    </row>
    <row r="133" ht="22.5" customHeight="1">
      <c r="A133" s="18"/>
    </row>
    <row r="134" ht="22.5" customHeight="1">
      <c r="A134" s="18"/>
    </row>
    <row r="135" ht="22.5" customHeight="1">
      <c r="A135" s="18"/>
    </row>
    <row r="136" ht="22.5" customHeight="1">
      <c r="A136" s="18"/>
    </row>
    <row r="137" ht="22.5" customHeight="1">
      <c r="A137" s="18"/>
    </row>
    <row r="138" ht="22.5" customHeight="1">
      <c r="A138" s="18"/>
    </row>
    <row r="139" ht="22.5" customHeight="1">
      <c r="A139" s="18"/>
    </row>
    <row r="140" ht="22.5" customHeight="1">
      <c r="A140" s="18"/>
    </row>
    <row r="141" ht="22.5" customHeight="1">
      <c r="A141" s="18"/>
    </row>
    <row r="142" ht="22.5" customHeight="1">
      <c r="A142" s="18"/>
    </row>
    <row r="143" ht="22.5" customHeight="1">
      <c r="A143" s="18"/>
    </row>
    <row r="144" ht="22.5" customHeight="1">
      <c r="A144" s="18"/>
    </row>
    <row r="145" ht="22.5" customHeight="1">
      <c r="A145" s="18"/>
    </row>
    <row r="146" ht="22.5" customHeight="1">
      <c r="A146" s="18"/>
    </row>
    <row r="147" ht="22.5" customHeight="1">
      <c r="A147" s="18"/>
    </row>
    <row r="148" ht="22.5" customHeight="1">
      <c r="A148" s="18"/>
    </row>
    <row r="149" ht="22.5" customHeight="1">
      <c r="A149" s="18"/>
    </row>
    <row r="150" ht="22.5" customHeight="1">
      <c r="A150" s="18"/>
    </row>
    <row r="151" ht="22.5" customHeight="1">
      <c r="A151" s="18"/>
    </row>
    <row r="152" ht="22.5" customHeight="1">
      <c r="A152" s="18"/>
    </row>
    <row r="153" ht="22.5" customHeight="1">
      <c r="A153" s="18"/>
    </row>
    <row r="154" ht="22.5" customHeight="1">
      <c r="A154" s="18"/>
    </row>
    <row r="155" ht="22.5" customHeight="1">
      <c r="A155" s="18"/>
    </row>
    <row r="156" ht="22.5" customHeight="1">
      <c r="A156" s="18"/>
    </row>
    <row r="157" ht="22.5" customHeight="1">
      <c r="A157" s="18"/>
    </row>
    <row r="158" ht="22.5" customHeight="1">
      <c r="A158" s="18"/>
    </row>
    <row r="159" ht="22.5" customHeight="1">
      <c r="A159" s="18"/>
    </row>
    <row r="160" ht="22.5" customHeight="1">
      <c r="A160" s="18"/>
    </row>
    <row r="161" ht="22.5" customHeight="1">
      <c r="A161" s="18"/>
    </row>
    <row r="162" ht="22.5" customHeight="1">
      <c r="A162" s="18"/>
    </row>
    <row r="163" ht="22.5" customHeight="1">
      <c r="A163" s="18"/>
    </row>
    <row r="164" ht="22.5" customHeight="1">
      <c r="A164" s="18"/>
    </row>
    <row r="165" ht="22.5" customHeight="1">
      <c r="A165" s="18"/>
    </row>
    <row r="166" ht="22.5" customHeight="1">
      <c r="A166" s="18"/>
    </row>
    <row r="167" ht="22.5" customHeight="1">
      <c r="A167" s="18"/>
    </row>
    <row r="168" ht="22.5" customHeight="1">
      <c r="A168" s="18"/>
    </row>
    <row r="169" ht="22.5" customHeight="1">
      <c r="A169" s="18"/>
    </row>
    <row r="170" ht="22.5" customHeight="1">
      <c r="A170" s="18"/>
    </row>
    <row r="171" ht="22.5" customHeight="1">
      <c r="A171" s="18"/>
    </row>
    <row r="172" ht="22.5" customHeight="1">
      <c r="A172" s="18"/>
    </row>
    <row r="173" ht="22.5" customHeight="1">
      <c r="A173" s="18"/>
    </row>
    <row r="174" ht="22.5" customHeight="1">
      <c r="A174" s="18"/>
    </row>
    <row r="175" ht="22.5" customHeight="1">
      <c r="A175" s="18"/>
    </row>
    <row r="176" ht="22.5" customHeight="1">
      <c r="A176" s="18"/>
    </row>
    <row r="177" ht="22.5" customHeight="1">
      <c r="A177" s="18"/>
    </row>
    <row r="178" ht="22.5" customHeight="1">
      <c r="A178" s="18"/>
    </row>
    <row r="179" ht="22.5" customHeight="1">
      <c r="A179" s="18"/>
    </row>
    <row r="180" ht="22.5" customHeight="1">
      <c r="A180" s="18"/>
    </row>
    <row r="181" ht="22.5" customHeight="1">
      <c r="A181" s="18"/>
    </row>
    <row r="182" ht="22.5" customHeight="1">
      <c r="A182" s="18"/>
    </row>
    <row r="183" ht="22.5" customHeight="1">
      <c r="A183" s="18"/>
    </row>
    <row r="184" ht="22.5" customHeight="1">
      <c r="A184" s="18"/>
    </row>
    <row r="185" ht="22.5" customHeight="1">
      <c r="A185" s="18"/>
    </row>
    <row r="186" ht="22.5" customHeight="1">
      <c r="A186" s="18"/>
    </row>
    <row r="187" ht="22.5" customHeight="1">
      <c r="A187" s="18"/>
    </row>
    <row r="188" ht="22.5" customHeight="1">
      <c r="A188" s="18"/>
    </row>
    <row r="189" ht="22.5" customHeight="1">
      <c r="A189" s="18"/>
    </row>
    <row r="190" ht="22.5" customHeight="1">
      <c r="A190" s="18"/>
    </row>
    <row r="191" ht="22.5" customHeight="1">
      <c r="A191" s="18"/>
    </row>
    <row r="192" ht="22.5" customHeight="1">
      <c r="A192" s="18"/>
    </row>
    <row r="193" ht="22.5" customHeight="1">
      <c r="A193" s="18"/>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 r:id="rId75" ref="L39"/>
    <hyperlink r:id="rId76" ref="M39"/>
    <hyperlink r:id="rId77" ref="L40"/>
    <hyperlink r:id="rId78" ref="M40"/>
    <hyperlink r:id="rId79" ref="L41"/>
    <hyperlink r:id="rId80" ref="M41"/>
    <hyperlink r:id="rId81" ref="L42"/>
    <hyperlink r:id="rId82" ref="M42"/>
    <hyperlink r:id="rId83" ref="L43"/>
    <hyperlink r:id="rId84" ref="M43"/>
    <hyperlink r:id="rId85" ref="L44"/>
    <hyperlink r:id="rId86" ref="M44"/>
    <hyperlink r:id="rId87" ref="L45"/>
    <hyperlink r:id="rId88" ref="M45"/>
    <hyperlink r:id="rId89" ref="L46"/>
    <hyperlink r:id="rId90" ref="M46"/>
    <hyperlink r:id="rId91" ref="L47"/>
    <hyperlink r:id="rId92" ref="M47"/>
    <hyperlink r:id="rId93" ref="L48"/>
    <hyperlink r:id="rId94" ref="M48"/>
    <hyperlink r:id="rId95" ref="L49"/>
    <hyperlink r:id="rId96" ref="M49"/>
    <hyperlink r:id="rId97" ref="L50"/>
    <hyperlink r:id="rId98" ref="M50"/>
    <hyperlink r:id="rId99" ref="L51"/>
    <hyperlink r:id="rId100" ref="M51"/>
    <hyperlink r:id="rId101" ref="L52"/>
    <hyperlink r:id="rId102" ref="M52"/>
    <hyperlink r:id="rId103" ref="L53"/>
    <hyperlink r:id="rId104" ref="M53"/>
    <hyperlink r:id="rId105" ref="L54"/>
    <hyperlink r:id="rId106" ref="M54"/>
    <hyperlink r:id="rId107" ref="L55"/>
    <hyperlink r:id="rId108" ref="M55"/>
    <hyperlink r:id="rId109" ref="L56"/>
    <hyperlink r:id="rId110" ref="M56"/>
    <hyperlink r:id="rId111" ref="L57"/>
    <hyperlink r:id="rId112" ref="M57"/>
    <hyperlink r:id="rId113" ref="L58"/>
    <hyperlink r:id="rId114" ref="M58"/>
    <hyperlink r:id="rId115" ref="L59"/>
    <hyperlink r:id="rId116" ref="M59"/>
    <hyperlink r:id="rId117" ref="L60"/>
    <hyperlink r:id="rId118" ref="M60"/>
    <hyperlink r:id="rId119" ref="L61"/>
    <hyperlink r:id="rId120" ref="M61"/>
    <hyperlink r:id="rId121" ref="L62"/>
    <hyperlink r:id="rId122" ref="M62"/>
    <hyperlink r:id="rId123" ref="L63"/>
    <hyperlink r:id="rId124" ref="M63"/>
    <hyperlink r:id="rId125" ref="L64"/>
    <hyperlink r:id="rId126" ref="M64"/>
    <hyperlink r:id="rId127" ref="L65"/>
    <hyperlink r:id="rId128" ref="M65"/>
    <hyperlink r:id="rId129" ref="L66"/>
    <hyperlink r:id="rId130" ref="M66"/>
    <hyperlink r:id="rId131" ref="L67"/>
    <hyperlink r:id="rId132" ref="M67"/>
    <hyperlink r:id="rId133" ref="L68"/>
    <hyperlink r:id="rId134" ref="M68"/>
    <hyperlink r:id="rId135" ref="L69"/>
    <hyperlink r:id="rId136" ref="M69"/>
    <hyperlink r:id="rId137" ref="L70"/>
    <hyperlink r:id="rId138" ref="M70"/>
    <hyperlink r:id="rId139" ref="L71"/>
    <hyperlink r:id="rId140" ref="M71"/>
    <hyperlink r:id="rId141" ref="L72"/>
    <hyperlink r:id="rId142" ref="M72"/>
    <hyperlink r:id="rId143" ref="L73"/>
    <hyperlink r:id="rId144" ref="M73"/>
    <hyperlink r:id="rId145" ref="L74"/>
    <hyperlink r:id="rId146" ref="M74"/>
    <hyperlink r:id="rId147" ref="L75"/>
    <hyperlink r:id="rId148" ref="M75"/>
    <hyperlink r:id="rId149" ref="L76"/>
    <hyperlink r:id="rId150" ref="M76"/>
    <hyperlink r:id="rId151" ref="L77"/>
    <hyperlink r:id="rId152" ref="M77"/>
    <hyperlink r:id="rId153" ref="L78"/>
    <hyperlink r:id="rId154" ref="M78"/>
    <hyperlink r:id="rId155" ref="L79"/>
    <hyperlink r:id="rId156" ref="M79"/>
    <hyperlink r:id="rId157" ref="L80"/>
    <hyperlink r:id="rId158" ref="M80"/>
    <hyperlink r:id="rId159" ref="L81"/>
    <hyperlink r:id="rId160" ref="M81"/>
    <hyperlink r:id="rId161" ref="L82"/>
    <hyperlink r:id="rId162" ref="M82"/>
    <hyperlink r:id="rId163" ref="L83"/>
    <hyperlink r:id="rId164" ref="M83"/>
    <hyperlink r:id="rId165" ref="L84"/>
    <hyperlink r:id="rId166" ref="M84"/>
    <hyperlink r:id="rId167" ref="L85"/>
    <hyperlink r:id="rId168" ref="M85"/>
    <hyperlink r:id="rId169" ref="L86"/>
    <hyperlink r:id="rId170" ref="M86"/>
    <hyperlink r:id="rId171" ref="L87"/>
    <hyperlink r:id="rId172" ref="M87"/>
    <hyperlink r:id="rId173" ref="L88"/>
    <hyperlink r:id="rId174" ref="M88"/>
    <hyperlink r:id="rId175" ref="L89"/>
    <hyperlink r:id="rId176" ref="M89"/>
    <hyperlink r:id="rId177" ref="L90"/>
    <hyperlink r:id="rId178" ref="M90"/>
    <hyperlink r:id="rId179" ref="L91"/>
    <hyperlink r:id="rId180" ref="M91"/>
    <hyperlink r:id="rId181" ref="L92"/>
    <hyperlink r:id="rId182" ref="M92"/>
    <hyperlink r:id="rId183" ref="L93"/>
    <hyperlink r:id="rId184" ref="M93"/>
    <hyperlink r:id="rId185" ref="L94"/>
    <hyperlink r:id="rId186" ref="M94"/>
    <hyperlink r:id="rId187" ref="L95"/>
    <hyperlink r:id="rId188" ref="M95"/>
    <hyperlink r:id="rId189" ref="L96"/>
    <hyperlink r:id="rId190" ref="M96"/>
    <hyperlink r:id="rId191" ref="L97"/>
    <hyperlink r:id="rId192" ref="M97"/>
    <hyperlink r:id="rId193" ref="L98"/>
    <hyperlink r:id="rId194" ref="M98"/>
    <hyperlink r:id="rId195" ref="L99"/>
    <hyperlink r:id="rId196" ref="M99"/>
    <hyperlink r:id="rId197" ref="L100"/>
    <hyperlink r:id="rId198" ref="M100"/>
    <hyperlink r:id="rId199" ref="L101"/>
    <hyperlink r:id="rId200" ref="M101"/>
    <hyperlink r:id="rId201" ref="L102"/>
    <hyperlink r:id="rId202" ref="M102"/>
    <hyperlink r:id="rId203" ref="L103"/>
    <hyperlink r:id="rId204" ref="M103"/>
    <hyperlink r:id="rId205" ref="L104"/>
    <hyperlink r:id="rId206" ref="M104"/>
    <hyperlink r:id="rId207" ref="L105"/>
    <hyperlink r:id="rId208" ref="M105"/>
    <hyperlink r:id="rId209" ref="L106"/>
    <hyperlink r:id="rId210" ref="M106"/>
    <hyperlink r:id="rId211" ref="L107"/>
    <hyperlink r:id="rId212" ref="M107"/>
    <hyperlink r:id="rId213" ref="L108"/>
    <hyperlink r:id="rId214" ref="M108"/>
  </hyperlinks>
  <drawing r:id="rId215"/>
  <tableParts count="1">
    <tablePart r:id="rId2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12" t="s">
        <v>12</v>
      </c>
      <c r="B1" s="12" t="s">
        <v>13</v>
      </c>
      <c r="C1" s="13" t="s">
        <v>14</v>
      </c>
      <c r="D1" s="13" t="s">
        <v>15</v>
      </c>
      <c r="E1" s="12" t="s">
        <v>16</v>
      </c>
      <c r="F1" s="13" t="s">
        <v>17</v>
      </c>
      <c r="G1" s="13" t="s">
        <v>18</v>
      </c>
      <c r="H1" s="13" t="s">
        <v>19</v>
      </c>
      <c r="I1" s="13" t="s">
        <v>20</v>
      </c>
      <c r="J1" s="13" t="s">
        <v>21</v>
      </c>
      <c r="K1" s="13" t="s">
        <v>22</v>
      </c>
      <c r="L1" s="13" t="s">
        <v>23</v>
      </c>
      <c r="M1" s="13" t="s">
        <v>24</v>
      </c>
      <c r="N1" s="13" t="s">
        <v>25</v>
      </c>
      <c r="O1" s="13" t="s">
        <v>26</v>
      </c>
      <c r="P1" s="13" t="s">
        <v>27</v>
      </c>
      <c r="Q1" s="13" t="s">
        <v>28</v>
      </c>
      <c r="R1" s="13" t="s">
        <v>29</v>
      </c>
      <c r="S1" s="12" t="s">
        <v>173</v>
      </c>
      <c r="T1" s="12" t="s">
        <v>175</v>
      </c>
      <c r="U1" s="12" t="s">
        <v>178</v>
      </c>
      <c r="V1" s="13" t="s">
        <v>35</v>
      </c>
      <c r="W1" s="13" t="s">
        <v>37</v>
      </c>
      <c r="X1" s="13" t="s">
        <v>39</v>
      </c>
      <c r="Y1" s="13" t="s">
        <v>41</v>
      </c>
      <c r="Z1" s="13" t="s">
        <v>42</v>
      </c>
      <c r="AA1" s="13" t="s">
        <v>44</v>
      </c>
      <c r="AB1" s="13" t="s">
        <v>45</v>
      </c>
      <c r="AC1" s="13" t="s">
        <v>46</v>
      </c>
      <c r="AD1" s="12" t="s">
        <v>47</v>
      </c>
      <c r="AE1" s="12" t="s">
        <v>48</v>
      </c>
    </row>
    <row r="2" ht="22.5" customHeight="1">
      <c r="A2" s="14">
        <f>IFERROR(__xludf.DUMMYFUNCTION("FILTER(Responses!A2:AE293, (Responses!E2:E293=""MD/MS/MDS 2023""))"),46265.75187501157)</f>
        <v>46265.75188</v>
      </c>
      <c r="B2" s="15" t="str">
        <f>IFERROR(__xludf.DUMMYFUNCTION("""COMPUTED_VALUE"""),"sanith.patho_pgt23@aiimskalyani.edu.in")</f>
        <v>sanith.patho_pgt23@aiimskalyani.edu.in</v>
      </c>
      <c r="C2" s="15" t="str">
        <f>IFERROR(__xludf.DUMMYFUNCTION("""COMPUTED_VALUE"""),"Dr. Sanith Mani")</f>
        <v>Dr. Sanith Mani</v>
      </c>
      <c r="D2" s="15">
        <f>IFERROR(__xludf.DUMMYFUNCTION("""COMPUTED_VALUE"""),2.0230312E7)</f>
        <v>20230312</v>
      </c>
      <c r="E2" s="15" t="str">
        <f>IFERROR(__xludf.DUMMYFUNCTION("""COMPUTED_VALUE"""),"MD/MS/MDS 2023")</f>
        <v>MD/MS/MDS 2023</v>
      </c>
      <c r="F2" s="15">
        <f>IFERROR(__xludf.DUMMYFUNCTION("""COMPUTED_VALUE"""),9.496900091E9)</f>
        <v>9496900091</v>
      </c>
      <c r="G2" s="15" t="str">
        <f>IFERROR(__xludf.DUMMYFUNCTION("""COMPUTED_VALUE"""),"sanithmani@gmail.com")</f>
        <v>sanithmani@gmail.com</v>
      </c>
      <c r="H2" s="15" t="str">
        <f>IFERROR(__xludf.DUMMYFUNCTION("""COMPUTED_VALUE"""),"Yes")</f>
        <v>Yes</v>
      </c>
      <c r="I2" s="16" t="str">
        <f>IFERROR(__xludf.DUMMYFUNCTION("""COMPUTED_VALUE"""),"Reading, watching movies, travelling")</f>
        <v>Reading, watching movies, travelling</v>
      </c>
      <c r="J2" s="16" t="str">
        <f>IFERROR(__xludf.DUMMYFUNCTION("""COMPUTED_VALUE"""),"Football")</f>
        <v>Football</v>
      </c>
      <c r="K2" s="15" t="str">
        <f>IFERROR(__xludf.DUMMYFUNCTION("""COMPUTED_VALUE"""),"Kottayam, kerala")</f>
        <v>Kottayam, kerala</v>
      </c>
      <c r="L2" s="17" t="str">
        <f>IFERROR(__xludf.DUMMYFUNCTION("""COMPUTED_VALUE"""),"https://drive.google.com/open?id=1mwdUPbPaO99_i4UyRy4U0ctnJjbfI1wx")</f>
        <v>https://drive.google.com/open?id=1mwdUPbPaO99_i4UyRy4U0ctnJjbfI1wx</v>
      </c>
      <c r="M2" s="17" t="str">
        <f>IFERROR(__xludf.DUMMYFUNCTION("""COMPUTED_VALUE"""),"https://drive.google.com/open?id=1aEn6zynYMtTqU82pZLlLnFjsJXaMolgi")</f>
        <v>https://drive.google.com/open?id=1aEn6zynYMtTqU82pZLlLnFjsJXaMolgi</v>
      </c>
      <c r="N2" s="15" t="str">
        <f>IFERROR(__xludf.DUMMYFUNCTION("""COMPUTED_VALUE"""),"Lt. Mani Cyriac")</f>
        <v>Lt. Mani Cyriac</v>
      </c>
      <c r="O2" s="15" t="str">
        <f>IFERROR(__xludf.DUMMYFUNCTION("""COMPUTED_VALUE"""),"Business man")</f>
        <v>Business man</v>
      </c>
      <c r="P2" s="15" t="str">
        <f>IFERROR(__xludf.DUMMYFUNCTION("""COMPUTED_VALUE"""),"Kottayam")</f>
        <v>Kottayam</v>
      </c>
      <c r="Q2" s="15">
        <f>IFERROR(__xludf.DUMMYFUNCTION("""COMPUTED_VALUE"""),8.921105271E9)</f>
        <v>8921105271</v>
      </c>
      <c r="R2" s="15" t="str">
        <f>IFERROR(__xludf.DUMMYFUNCTION("""COMPUTED_VALUE"""),"Ancy Mani")</f>
        <v>Ancy Mani</v>
      </c>
      <c r="S2" s="15" t="str">
        <f>IFERROR(__xludf.DUMMYFUNCTION("""COMPUTED_VALUE"""),"House wife")</f>
        <v>House wife</v>
      </c>
      <c r="T2" s="15" t="str">
        <f>IFERROR(__xludf.DUMMYFUNCTION("""COMPUTED_VALUE"""),"Kottayam")</f>
        <v>Kottayam</v>
      </c>
      <c r="U2" s="15">
        <f>IFERROR(__xludf.DUMMYFUNCTION("""COMPUTED_VALUE"""),9.4963153E9)</f>
        <v>9496315300</v>
      </c>
      <c r="V2" s="15">
        <f>IFERROR(__xludf.DUMMYFUNCTION("""COMPUTED_VALUE"""),1.0)</f>
        <v>1</v>
      </c>
      <c r="W2" s="15" t="str">
        <f>IFERROR(__xludf.DUMMYFUNCTION("""COMPUTED_VALUE"""),"MERLIN SABU")</f>
        <v>MERLIN SABU</v>
      </c>
      <c r="X2" s="15" t="str">
        <f>IFERROR(__xludf.DUMMYFUNCTION("""COMPUTED_VALUE"""),"SPOUSE")</f>
        <v>SPOUSE</v>
      </c>
      <c r="Y2" s="15"/>
      <c r="Z2" s="15"/>
      <c r="AA2" s="15" t="str">
        <f>IFERROR(__xludf.DUMMYFUNCTION("""COMPUTED_VALUE"""),"Non-Veg")</f>
        <v>Non-Veg</v>
      </c>
      <c r="AB2" s="15" t="str">
        <f>IFERROR(__xludf.DUMMYFUNCTION("""COMPUTED_VALUE"""),"Non-Veg")</f>
        <v>Non-Veg</v>
      </c>
      <c r="AC2" s="15"/>
      <c r="AD2" s="15"/>
      <c r="AE2" s="15">
        <f>IFERROR(__xludf.DUMMYFUNCTION("""COMPUTED_VALUE"""),0.0)</f>
        <v>0</v>
      </c>
    </row>
    <row r="3" ht="22.5" customHeight="1">
      <c r="A3" s="18">
        <f>IFERROR(__xludf.DUMMYFUNCTION("""COMPUTED_VALUE"""),46265.72530863426)</f>
        <v>46265.72531</v>
      </c>
      <c r="B3" s="21" t="str">
        <f>IFERROR(__xludf.DUMMYFUNCTION("""COMPUTED_VALUE"""),"jayashree.psych_pgt23@aiimskalyani.edu.in")</f>
        <v>jayashree.psych_pgt23@aiimskalyani.edu.in</v>
      </c>
      <c r="C3" s="21" t="str">
        <f>IFERROR(__xludf.DUMMYFUNCTION("""COMPUTED_VALUE"""),"JAYASHREE KALITA")</f>
        <v>JAYASHREE KALITA</v>
      </c>
      <c r="D3" s="21">
        <f>IFERROR(__xludf.DUMMYFUNCTION("""COMPUTED_VALUE"""),2023035.0)</f>
        <v>2023035</v>
      </c>
      <c r="E3" s="21" t="str">
        <f>IFERROR(__xludf.DUMMYFUNCTION("""COMPUTED_VALUE"""),"MD/MS/MDS 2023")</f>
        <v>MD/MS/MDS 2023</v>
      </c>
      <c r="F3" s="21">
        <f>IFERROR(__xludf.DUMMYFUNCTION("""COMPUTED_VALUE"""),8.723959725E9)</f>
        <v>8723959725</v>
      </c>
      <c r="G3" s="21" t="str">
        <f>IFERROR(__xludf.DUMMYFUNCTION("""COMPUTED_VALUE"""),"jayashreeas5697@gmail.com")</f>
        <v>jayashreeas5697@gmail.com</v>
      </c>
      <c r="H3" s="21" t="str">
        <f>IFERROR(__xludf.DUMMYFUNCTION("""COMPUTED_VALUE"""),"Yes")</f>
        <v>Yes</v>
      </c>
      <c r="I3" s="21" t="str">
        <f>IFERROR(__xludf.DUMMYFUNCTION("""COMPUTED_VALUE"""),"Singing, travelling ")</f>
        <v>Singing, travelling </v>
      </c>
      <c r="J3" s="21"/>
      <c r="K3" s="21" t="str">
        <f>IFERROR(__xludf.DUMMYFUNCTION("""COMPUTED_VALUE"""),"guwahati")</f>
        <v>guwahati</v>
      </c>
      <c r="L3" s="22" t="str">
        <f>IFERROR(__xludf.DUMMYFUNCTION("""COMPUTED_VALUE"""),"https://drive.google.com/open?id=1NPmdqGptti8bxHVklA2TrXv8hZmjuwem")</f>
        <v>https://drive.google.com/open?id=1NPmdqGptti8bxHVklA2TrXv8hZmjuwem</v>
      </c>
      <c r="M3" s="22" t="str">
        <f>IFERROR(__xludf.DUMMYFUNCTION("""COMPUTED_VALUE"""),"https://drive.google.com/open?id=1o9mG8dwKI62kuFvg2MOMlrGDdbpdXVJF")</f>
        <v>https://drive.google.com/open?id=1o9mG8dwKI62kuFvg2MOMlrGDdbpdXVJF</v>
      </c>
      <c r="N3" s="21" t="str">
        <f>IFERROR(__xludf.DUMMYFUNCTION("""COMPUTED_VALUE"""),"Ananda Kalita")</f>
        <v>Ananda Kalita</v>
      </c>
      <c r="O3" s="21" t="str">
        <f>IFERROR(__xludf.DUMMYFUNCTION("""COMPUTED_VALUE"""),"administrative officer")</f>
        <v>administrative officer</v>
      </c>
      <c r="P3" s="21" t="str">
        <f>IFERROR(__xludf.DUMMYFUNCTION("""COMPUTED_VALUE"""),"assam")</f>
        <v>assam</v>
      </c>
      <c r="Q3" s="21">
        <f>IFERROR(__xludf.DUMMYFUNCTION("""COMPUTED_VALUE"""),9.706221193E9)</f>
        <v>9706221193</v>
      </c>
      <c r="R3" s="21" t="str">
        <f>IFERROR(__xludf.DUMMYFUNCTION("""COMPUTED_VALUE"""),"Tulumoni Kalita")</f>
        <v>Tulumoni Kalita</v>
      </c>
      <c r="S3" s="21" t="str">
        <f>IFERROR(__xludf.DUMMYFUNCTION("""COMPUTED_VALUE"""),"teacher")</f>
        <v>teacher</v>
      </c>
      <c r="T3" s="21" t="str">
        <f>IFERROR(__xludf.DUMMYFUNCTION("""COMPUTED_VALUE"""),"assam")</f>
        <v>assam</v>
      </c>
      <c r="U3" s="21">
        <f>IFERROR(__xludf.DUMMYFUNCTION("""COMPUTED_VALUE"""),8.822107243E9)</f>
        <v>8822107243</v>
      </c>
      <c r="V3" s="21">
        <f>IFERROR(__xludf.DUMMYFUNCTION("""COMPUTED_VALUE"""),0.0)</f>
        <v>0</v>
      </c>
      <c r="W3" s="21"/>
      <c r="X3" s="21"/>
      <c r="Y3" s="21"/>
      <c r="Z3" s="21"/>
      <c r="AA3" s="21" t="str">
        <f>IFERROR(__xludf.DUMMYFUNCTION("""COMPUTED_VALUE"""),"Non-Veg")</f>
        <v>Non-Veg</v>
      </c>
      <c r="AB3" s="21"/>
      <c r="AC3" s="21"/>
      <c r="AD3" s="21" t="str">
        <f>IFERROR(__xludf.DUMMYFUNCTION("""COMPUTED_VALUE"""),"Drop at Kolkata Airport")</f>
        <v>Drop at Kolkata Airport</v>
      </c>
      <c r="AE3" s="21">
        <f>IFERROR(__xludf.DUMMYFUNCTION("""COMPUTED_VALUE"""),1.0)</f>
        <v>1</v>
      </c>
    </row>
    <row r="4" ht="22.5" customHeight="1">
      <c r="A4" s="18">
        <f>IFERROR(__xludf.DUMMYFUNCTION("""COMPUTED_VALUE"""),46265.00995335648)</f>
        <v>46265.00995</v>
      </c>
      <c r="B4" s="21" t="str">
        <f>IFERROR(__xludf.DUMMYFUNCTION("""COMPUTED_VALUE"""),"peeyush.derma_pgt23@aiimskalyani.edu.in")</f>
        <v>peeyush.derma_pgt23@aiimskalyani.edu.in</v>
      </c>
      <c r="C4" s="21" t="str">
        <f>IFERROR(__xludf.DUMMYFUNCTION("""COMPUTED_VALUE"""),"PEEYUSH KIRAN TRIPATHY")</f>
        <v>PEEYUSH KIRAN TRIPATHY</v>
      </c>
      <c r="D4" s="21">
        <f>IFERROR(__xludf.DUMMYFUNCTION("""COMPUTED_VALUE"""),2023038.0)</f>
        <v>2023038</v>
      </c>
      <c r="E4" s="21" t="str">
        <f>IFERROR(__xludf.DUMMYFUNCTION("""COMPUTED_VALUE"""),"MD/MS/MDS 2023")</f>
        <v>MD/MS/MDS 2023</v>
      </c>
      <c r="F4" s="21">
        <f>IFERROR(__xludf.DUMMYFUNCTION("""COMPUTED_VALUE"""),7.978924859E9)</f>
        <v>7978924859</v>
      </c>
      <c r="G4" s="21" t="str">
        <f>IFERROR(__xludf.DUMMYFUNCTION("""COMPUTED_VALUE"""),"peeyushkirantripathy@gmail.com")</f>
        <v>peeyushkirantripathy@gmail.com</v>
      </c>
      <c r="H4" s="21" t="str">
        <f>IFERROR(__xludf.DUMMYFUNCTION("""COMPUTED_VALUE"""),"Yes")</f>
        <v>Yes</v>
      </c>
      <c r="I4" s="21" t="str">
        <f>IFERROR(__xludf.DUMMYFUNCTION("""COMPUTED_VALUE"""),"Follows cricket ")</f>
        <v>Follows cricket </v>
      </c>
      <c r="J4" s="21" t="str">
        <f>IFERROR(__xludf.DUMMYFUNCTION("""COMPUTED_VALUE"""),"Not any")</f>
        <v>Not any</v>
      </c>
      <c r="K4" s="21" t="str">
        <f>IFERROR(__xludf.DUMMYFUNCTION("""COMPUTED_VALUE"""),"Bargarh, odisha ")</f>
        <v>Bargarh, odisha </v>
      </c>
      <c r="L4" s="22" t="str">
        <f>IFERROR(__xludf.DUMMYFUNCTION("""COMPUTED_VALUE"""),"https://drive.google.com/open?id=1Pu9p4Keekv2HudOzSUaOo-jsQzRrwfRE")</f>
        <v>https://drive.google.com/open?id=1Pu9p4Keekv2HudOzSUaOo-jsQzRrwfRE</v>
      </c>
      <c r="M4" s="22" t="str">
        <f>IFERROR(__xludf.DUMMYFUNCTION("""COMPUTED_VALUE"""),"https://drive.google.com/open?id=1kd5m7bXT60uYqiOWzNXqLonEbtiAAHTf")</f>
        <v>https://drive.google.com/open?id=1kd5m7bXT60uYqiOWzNXqLonEbtiAAHTf</v>
      </c>
      <c r="N4" s="21" t="str">
        <f>IFERROR(__xludf.DUMMYFUNCTION("""COMPUTED_VALUE"""),"SHANKAR TRIPATHY ")</f>
        <v>SHANKAR TRIPATHY </v>
      </c>
      <c r="O4" s="21" t="str">
        <f>IFERROR(__xludf.DUMMYFUNCTION("""COMPUTED_VALUE"""),"Retiree from BSNL as Sub Divisional Engineer(SDE)")</f>
        <v>Retiree from BSNL as Sub Divisional Engineer(SDE)</v>
      </c>
      <c r="P4" s="21" t="str">
        <f>IFERROR(__xludf.DUMMYFUNCTION("""COMPUTED_VALUE"""),"Bargarh, Odisha ")</f>
        <v>Bargarh, Odisha </v>
      </c>
      <c r="Q4" s="21">
        <f>IFERROR(__xludf.DUMMYFUNCTION("""COMPUTED_VALUE"""),8.763955099E9)</f>
        <v>8763955099</v>
      </c>
      <c r="R4" s="21" t="str">
        <f>IFERROR(__xludf.DUMMYFUNCTION("""COMPUTED_VALUE"""),"NAMITA TRIPATHY")</f>
        <v>NAMITA TRIPATHY</v>
      </c>
      <c r="S4" s="21" t="str">
        <f>IFERROR(__xludf.DUMMYFUNCTION("""COMPUTED_VALUE"""),"Home maker")</f>
        <v>Home maker</v>
      </c>
      <c r="T4" s="21" t="str">
        <f>IFERROR(__xludf.DUMMYFUNCTION("""COMPUTED_VALUE"""),"Bargarh, Odisha ")</f>
        <v>Bargarh, Odisha </v>
      </c>
      <c r="U4" s="21">
        <f>IFERROR(__xludf.DUMMYFUNCTION("""COMPUTED_VALUE"""),8.763955099E9)</f>
        <v>8763955099</v>
      </c>
      <c r="V4" s="21">
        <f>IFERROR(__xludf.DUMMYFUNCTION("""COMPUTED_VALUE"""),2.0)</f>
        <v>2</v>
      </c>
      <c r="W4" s="21" t="str">
        <f>IFERROR(__xludf.DUMMYFUNCTION("""COMPUTED_VALUE"""),"Shankar Tripathy")</f>
        <v>Shankar Tripathy</v>
      </c>
      <c r="X4" s="21" t="str">
        <f>IFERROR(__xludf.DUMMYFUNCTION("""COMPUTED_VALUE"""),"Father ")</f>
        <v>Father </v>
      </c>
      <c r="Y4" s="21" t="str">
        <f>IFERROR(__xludf.DUMMYFUNCTION("""COMPUTED_VALUE"""),"Namita Tripathy ")</f>
        <v>Namita Tripathy </v>
      </c>
      <c r="Z4" s="21" t="str">
        <f>IFERROR(__xludf.DUMMYFUNCTION("""COMPUTED_VALUE"""),"Mother ")</f>
        <v>Mother </v>
      </c>
      <c r="AA4" s="21" t="str">
        <f>IFERROR(__xludf.DUMMYFUNCTION("""COMPUTED_VALUE"""),"Non-Veg")</f>
        <v>Non-Veg</v>
      </c>
      <c r="AB4" s="21" t="str">
        <f>IFERROR(__xludf.DUMMYFUNCTION("""COMPUTED_VALUE"""),"Non-Veg")</f>
        <v>Non-Veg</v>
      </c>
      <c r="AC4" s="21" t="str">
        <f>IFERROR(__xludf.DUMMYFUNCTION("""COMPUTED_VALUE"""),"Non-Veg")</f>
        <v>Non-Veg</v>
      </c>
      <c r="AD4" s="21" t="str">
        <f>IFERROR(__xludf.DUMMYFUNCTION("""COMPUTED_VALUE"""),"Bus Drop Service not needed")</f>
        <v>Bus Drop Service not needed</v>
      </c>
      <c r="AE4" s="21">
        <f>IFERROR(__xludf.DUMMYFUNCTION("""COMPUTED_VALUE"""),0.0)</f>
        <v>0</v>
      </c>
    </row>
    <row r="5" ht="22.5" customHeight="1">
      <c r="A5" s="18">
        <f>IFERROR(__xludf.DUMMYFUNCTION("""COMPUTED_VALUE"""),46264.924275405094)</f>
        <v>46264.92428</v>
      </c>
      <c r="B5" s="21" t="str">
        <f>IFERROR(__xludf.DUMMYFUNCTION("""COMPUTED_VALUE"""),"ramyakp1209@gmail.com")</f>
        <v>ramyakp1209@gmail.com</v>
      </c>
      <c r="C5" s="21" t="str">
        <f>IFERROR(__xludf.DUMMYFUNCTION("""COMPUTED_VALUE"""),"Dr. Ramya KP")</f>
        <v>Dr. Ramya KP</v>
      </c>
      <c r="D5" s="21">
        <f>IFERROR(__xludf.DUMMYFUNCTION("""COMPUTED_VALUE"""),2.023031E7)</f>
        <v>20230310</v>
      </c>
      <c r="E5" s="21" t="str">
        <f>IFERROR(__xludf.DUMMYFUNCTION("""COMPUTED_VALUE"""),"MD/MS/MDS 2023")</f>
        <v>MD/MS/MDS 2023</v>
      </c>
      <c r="F5" s="21">
        <f>IFERROR(__xludf.DUMMYFUNCTION("""COMPUTED_VALUE"""),7.019124752E9)</f>
        <v>7019124752</v>
      </c>
      <c r="G5" s="21" t="str">
        <f>IFERROR(__xludf.DUMMYFUNCTION("""COMPUTED_VALUE"""),"ramyakp1209@gmail.com")</f>
        <v>ramyakp1209@gmail.com</v>
      </c>
      <c r="H5" s="21" t="str">
        <f>IFERROR(__xludf.DUMMYFUNCTION("""COMPUTED_VALUE"""),"Yes")</f>
        <v>Yes</v>
      </c>
      <c r="I5" s="21" t="str">
        <f>IFERROR(__xludf.DUMMYFUNCTION("""COMPUTED_VALUE"""),"My interests include exploring new places and cultures, drawing, reading, photography, and spending quality time with family and friends.")</f>
        <v>My interests include exploring new places and cultures, drawing, reading, photography, and spending quality time with family and friends.</v>
      </c>
      <c r="J5" s="21" t="str">
        <f>IFERROR(__xludf.DUMMYFUNCTION("""COMPUTED_VALUE"""),"I am a throwball player. I was awarded an ICMR Travel Grant to attend an international conference. I secured All India Rank 11 in INI-CET and University Rank 6 at Rajiv Gandhi University of Health Sciences (RGUHS).")</f>
        <v>I am a throwball player. I was awarded an ICMR Travel Grant to attend an international conference. I secured All India Rank 11 in INI-CET and University Rank 6 at Rajiv Gandhi University of Health Sciences (RGUHS).</v>
      </c>
      <c r="K5" s="21" t="str">
        <f>IFERROR(__xludf.DUMMYFUNCTION("""COMPUTED_VALUE"""),"Chikamgalur Karnataka ")</f>
        <v>Chikamgalur Karnataka </v>
      </c>
      <c r="L5" s="22" t="str">
        <f>IFERROR(__xludf.DUMMYFUNCTION("""COMPUTED_VALUE"""),"https://drive.google.com/open?id=16L9yiJ70gs6N6A6HBB9lxEFI3bmzseJn")</f>
        <v>https://drive.google.com/open?id=16L9yiJ70gs6N6A6HBB9lxEFI3bmzseJn</v>
      </c>
      <c r="M5" s="22" t="str">
        <f>IFERROR(__xludf.DUMMYFUNCTION("""COMPUTED_VALUE"""),"https://drive.google.com/open?id=1QCLWW_VGKxo-Zs6n7Q2hz-awebqEcIGe")</f>
        <v>https://drive.google.com/open?id=1QCLWW_VGKxo-Zs6n7Q2hz-awebqEcIGe</v>
      </c>
      <c r="N5" s="21" t="str">
        <f>IFERROR(__xludf.DUMMYFUNCTION("""COMPUTED_VALUE"""),"KM Parameshwara")</f>
        <v>KM Parameshwara</v>
      </c>
      <c r="O5" s="21" t="str">
        <f>IFERROR(__xludf.DUMMYFUNCTION("""COMPUTED_VALUE"""),"Superintendent, women’s first grade college chikamagalur Karnataka ")</f>
        <v>Superintendent, women’s first grade college chikamagalur Karnataka </v>
      </c>
      <c r="P5" s="21" t="str">
        <f>IFERROR(__xludf.DUMMYFUNCTION("""COMPUTED_VALUE"""),"Chikamagalur Karnataka ")</f>
        <v>Chikamagalur Karnataka </v>
      </c>
      <c r="Q5" s="21">
        <f>IFERROR(__xludf.DUMMYFUNCTION("""COMPUTED_VALUE"""),9.741745139E9)</f>
        <v>9741745139</v>
      </c>
      <c r="R5" s="21" t="str">
        <f>IFERROR(__xludf.DUMMYFUNCTION("""COMPUTED_VALUE"""),"Gnanapurna BS")</f>
        <v>Gnanapurna BS</v>
      </c>
      <c r="S5" s="21" t="str">
        <f>IFERROR(__xludf.DUMMYFUNCTION("""COMPUTED_VALUE"""),"Superintendent, Zillapanchayat, ckm, Karnataka ")</f>
        <v>Superintendent, Zillapanchayat, ckm, Karnataka </v>
      </c>
      <c r="T5" s="21" t="str">
        <f>IFERROR(__xludf.DUMMYFUNCTION("""COMPUTED_VALUE"""),"Chikamagalur, Karnataka.")</f>
        <v>Chikamagalur, Karnataka.</v>
      </c>
      <c r="U5" s="21">
        <f>IFERROR(__xludf.DUMMYFUNCTION("""COMPUTED_VALUE"""),8.660537404E9)</f>
        <v>8660537404</v>
      </c>
      <c r="V5" s="21">
        <f>IFERROR(__xludf.DUMMYFUNCTION("""COMPUTED_VALUE"""),1.0)</f>
        <v>1</v>
      </c>
      <c r="W5" s="21" t="str">
        <f>IFERROR(__xludf.DUMMYFUNCTION("""COMPUTED_VALUE"""),"Dr. Dayanand Sagar P")</f>
        <v>Dr. Dayanand Sagar P</v>
      </c>
      <c r="X5" s="21" t="str">
        <f>IFERROR(__xludf.DUMMYFUNCTION("""COMPUTED_VALUE"""),"Husband")</f>
        <v>Husband</v>
      </c>
      <c r="Y5" s="21"/>
      <c r="Z5" s="21"/>
      <c r="AA5" s="21" t="str">
        <f>IFERROR(__xludf.DUMMYFUNCTION("""COMPUTED_VALUE"""),"Non-Veg")</f>
        <v>Non-Veg</v>
      </c>
      <c r="AB5" s="21" t="str">
        <f>IFERROR(__xludf.DUMMYFUNCTION("""COMPUTED_VALUE"""),"Non-Veg")</f>
        <v>Non-Veg</v>
      </c>
      <c r="AC5" s="21"/>
      <c r="AD5" s="21" t="str">
        <f>IFERROR(__xludf.DUMMYFUNCTION("""COMPUTED_VALUE"""),"Bus Drop Service not needed")</f>
        <v>Bus Drop Service not needed</v>
      </c>
      <c r="AE5" s="21">
        <f>IFERROR(__xludf.DUMMYFUNCTION("""COMPUTED_VALUE"""),0.0)</f>
        <v>0</v>
      </c>
    </row>
    <row r="6" ht="22.5" customHeight="1">
      <c r="A6" s="18">
        <f>IFERROR(__xludf.DUMMYFUNCTION("""COMPUTED_VALUE"""),46264.54728483796)</f>
        <v>46264.54728</v>
      </c>
      <c r="B6" s="21" t="str">
        <f>IFERROR(__xludf.DUMMYFUNCTION("""COMPUTED_VALUE"""),"samyamitra120598@gmail.com")</f>
        <v>samyamitra120598@gmail.com</v>
      </c>
      <c r="C6" s="21" t="str">
        <f>IFERROR(__xludf.DUMMYFUNCTION("""COMPUTED_VALUE"""),"SAMYA MITRA ")</f>
        <v>SAMYA MITRA </v>
      </c>
      <c r="D6" s="21">
        <f>IFERROR(__xludf.DUMMYFUNCTION("""COMPUTED_VALUE"""),2.0230311E7)</f>
        <v>20230311</v>
      </c>
      <c r="E6" s="21" t="str">
        <f>IFERROR(__xludf.DUMMYFUNCTION("""COMPUTED_VALUE"""),"MD/MS/MDS 2023")</f>
        <v>MD/MS/MDS 2023</v>
      </c>
      <c r="F6" s="21">
        <f>IFERROR(__xludf.DUMMYFUNCTION("""COMPUTED_VALUE"""),8.967968556E9)</f>
        <v>8967968556</v>
      </c>
      <c r="G6" s="21" t="str">
        <f>IFERROR(__xludf.DUMMYFUNCTION("""COMPUTED_VALUE"""),"samyamitra120598@gmail.com")</f>
        <v>samyamitra120598@gmail.com</v>
      </c>
      <c r="H6" s="21" t="str">
        <f>IFERROR(__xludf.DUMMYFUNCTION("""COMPUTED_VALUE"""),"Yes")</f>
        <v>Yes</v>
      </c>
      <c r="I6" s="21"/>
      <c r="J6" s="21"/>
      <c r="K6" s="21" t="str">
        <f>IFERROR(__xludf.DUMMYFUNCTION("""COMPUTED_VALUE"""),"RAIGANJ ")</f>
        <v>RAIGANJ </v>
      </c>
      <c r="L6" s="22" t="str">
        <f>IFERROR(__xludf.DUMMYFUNCTION("""COMPUTED_VALUE"""),"https://drive.google.com/open?id=1oTU0HnOhbkuJ3RhdmOb9qEbpezYQDMQw")</f>
        <v>https://drive.google.com/open?id=1oTU0HnOhbkuJ3RhdmOb9qEbpezYQDMQw</v>
      </c>
      <c r="M6" s="22" t="str">
        <f>IFERROR(__xludf.DUMMYFUNCTION("""COMPUTED_VALUE"""),"https://drive.google.com/open?id=1X4JWLItu9ghafqaLSkURBJcu5eETQID-")</f>
        <v>https://drive.google.com/open?id=1X4JWLItu9ghafqaLSkURBJcu5eETQID-</v>
      </c>
      <c r="N6" s="21" t="str">
        <f>IFERROR(__xludf.DUMMYFUNCTION("""COMPUTED_VALUE"""),"DEBASISH MITRA")</f>
        <v>DEBASISH MITRA</v>
      </c>
      <c r="O6" s="21" t="str">
        <f>IFERROR(__xludf.DUMMYFUNCTION("""COMPUTED_VALUE"""),"SCHOOL TEACHER ")</f>
        <v>SCHOOL TEACHER </v>
      </c>
      <c r="P6" s="21" t="str">
        <f>IFERROR(__xludf.DUMMYFUNCTION("""COMPUTED_VALUE"""),"RAIGANJ ")</f>
        <v>RAIGANJ </v>
      </c>
      <c r="Q6" s="21">
        <f>IFERROR(__xludf.DUMMYFUNCTION("""COMPUTED_VALUE"""),8.101805849E9)</f>
        <v>8101805849</v>
      </c>
      <c r="R6" s="21" t="str">
        <f>IFERROR(__xludf.DUMMYFUNCTION("""COMPUTED_VALUE"""),"PARAMITA MITRA")</f>
        <v>PARAMITA MITRA</v>
      </c>
      <c r="S6" s="21" t="str">
        <f>IFERROR(__xludf.DUMMYFUNCTION("""COMPUTED_VALUE"""),"HOUSE WIFE")</f>
        <v>HOUSE WIFE</v>
      </c>
      <c r="T6" s="21" t="str">
        <f>IFERROR(__xludf.DUMMYFUNCTION("""COMPUTED_VALUE"""),"RAIGANJ ")</f>
        <v>RAIGANJ </v>
      </c>
      <c r="U6" s="21">
        <f>IFERROR(__xludf.DUMMYFUNCTION("""COMPUTED_VALUE"""),8.597421076E9)</f>
        <v>8597421076</v>
      </c>
      <c r="V6" s="21">
        <f>IFERROR(__xludf.DUMMYFUNCTION("""COMPUTED_VALUE"""),1.0)</f>
        <v>1</v>
      </c>
      <c r="W6" s="21" t="str">
        <f>IFERROR(__xludf.DUMMYFUNCTION("""COMPUTED_VALUE"""),"MADHUMITA GUHA")</f>
        <v>MADHUMITA GUHA</v>
      </c>
      <c r="X6" s="21" t="str">
        <f>IFERROR(__xludf.DUMMYFUNCTION("""COMPUTED_VALUE"""),"AUNT")</f>
        <v>AUNT</v>
      </c>
      <c r="Y6" s="21" t="str">
        <f>IFERROR(__xludf.DUMMYFUNCTION("""COMPUTED_VALUE"""),"ANWESHA MITRA")</f>
        <v>ANWESHA MITRA</v>
      </c>
      <c r="Z6" s="21" t="str">
        <f>IFERROR(__xludf.DUMMYFUNCTION("""COMPUTED_VALUE"""),"SISTER ")</f>
        <v>SISTER </v>
      </c>
      <c r="AA6" s="21" t="str">
        <f>IFERROR(__xludf.DUMMYFUNCTION("""COMPUTED_VALUE"""),"Non-Veg")</f>
        <v>Non-Veg</v>
      </c>
      <c r="AB6" s="21" t="str">
        <f>IFERROR(__xludf.DUMMYFUNCTION("""COMPUTED_VALUE"""),"Non-Veg")</f>
        <v>Non-Veg</v>
      </c>
      <c r="AC6" s="21" t="str">
        <f>IFERROR(__xludf.DUMMYFUNCTION("""COMPUTED_VALUE"""),"Non-Veg")</f>
        <v>Non-Veg</v>
      </c>
      <c r="AD6" s="21"/>
      <c r="AE6" s="21"/>
    </row>
    <row r="7" ht="22.5" customHeight="1">
      <c r="A7" s="18">
        <f>IFERROR(__xludf.DUMMYFUNCTION("""COMPUTED_VALUE"""),46263.42375847222)</f>
        <v>46263.42376</v>
      </c>
      <c r="B7" s="21" t="str">
        <f>IFERROR(__xludf.DUMMYFUNCTION("""COMPUTED_VALUE"""),"grace.ophthal_pgt23@aiimskalyani.edu.in")</f>
        <v>grace.ophthal_pgt23@aiimskalyani.edu.in</v>
      </c>
      <c r="C7" s="21" t="str">
        <f>IFERROR(__xludf.DUMMYFUNCTION("""COMPUTED_VALUE"""),"GRACE LHINGHOITHEM HAOKIP ")</f>
        <v>GRACE LHINGHOITHEM HAOKIP </v>
      </c>
      <c r="D7" s="21">
        <f>IFERROR(__xludf.DUMMYFUNCTION("""COMPUTED_VALUE"""),2023033.0)</f>
        <v>2023033</v>
      </c>
      <c r="E7" s="21" t="str">
        <f>IFERROR(__xludf.DUMMYFUNCTION("""COMPUTED_VALUE"""),"MD/MS/MDS 2023")</f>
        <v>MD/MS/MDS 2023</v>
      </c>
      <c r="F7" s="21">
        <f>IFERROR(__xludf.DUMMYFUNCTION("""COMPUTED_VALUE"""),9.831529419E9)</f>
        <v>9831529419</v>
      </c>
      <c r="G7" s="21" t="str">
        <f>IFERROR(__xludf.DUMMYFUNCTION("""COMPUTED_VALUE"""),"gracehaokip8@gmail.com")</f>
        <v>gracehaokip8@gmail.com</v>
      </c>
      <c r="H7" s="21" t="str">
        <f>IFERROR(__xludf.DUMMYFUNCTION("""COMPUTED_VALUE"""),"Yes")</f>
        <v>Yes</v>
      </c>
      <c r="I7" s="21"/>
      <c r="J7" s="21"/>
      <c r="K7" s="21" t="str">
        <f>IFERROR(__xludf.DUMMYFUNCTION("""COMPUTED_VALUE"""),"CHURACHANDPUR , MANIPUR ")</f>
        <v>CHURACHANDPUR , MANIPUR </v>
      </c>
      <c r="L7" s="22" t="str">
        <f>IFERROR(__xludf.DUMMYFUNCTION("""COMPUTED_VALUE"""),"https://drive.google.com/open?id=1tJzycF8wTukxcHtvCxx2YjnVGm2tWdib")</f>
        <v>https://drive.google.com/open?id=1tJzycF8wTukxcHtvCxx2YjnVGm2tWdib</v>
      </c>
      <c r="M7" s="22" t="str">
        <f>IFERROR(__xludf.DUMMYFUNCTION("""COMPUTED_VALUE"""),"https://drive.google.com/open?id=1s9Ebe8xltDlsotZ3crK3wUEUpXtRXJoA")</f>
        <v>https://drive.google.com/open?id=1s9Ebe8xltDlsotZ3crK3wUEUpXtRXJoA</v>
      </c>
      <c r="N7" s="21" t="str">
        <f>IFERROR(__xludf.DUMMYFUNCTION("""COMPUTED_VALUE"""),"(L) T ALUN HAOKIP")</f>
        <v>(L) T ALUN HAOKIP</v>
      </c>
      <c r="O7" s="21" t="str">
        <f>IFERROR(__xludf.DUMMYFUNCTION("""COMPUTED_VALUE"""),"None")</f>
        <v>None</v>
      </c>
      <c r="P7" s="21" t="str">
        <f>IFERROR(__xludf.DUMMYFUNCTION("""COMPUTED_VALUE"""),"None")</f>
        <v>None</v>
      </c>
      <c r="Q7" s="21">
        <f>IFERROR(__xludf.DUMMYFUNCTION("""COMPUTED_VALUE"""),8.014502465E9)</f>
        <v>8014502465</v>
      </c>
      <c r="R7" s="21" t="str">
        <f>IFERROR(__xludf.DUMMYFUNCTION("""COMPUTED_VALUE"""),"LALAM HAOKIP")</f>
        <v>LALAM HAOKIP</v>
      </c>
      <c r="S7" s="21" t="str">
        <f>IFERROR(__xludf.DUMMYFUNCTION("""COMPUTED_VALUE"""),"HOMEMAKER ")</f>
        <v>HOMEMAKER </v>
      </c>
      <c r="T7" s="21" t="str">
        <f>IFERROR(__xludf.DUMMYFUNCTION("""COMPUTED_VALUE"""),"CHURACHANDPUR,MANIPUR")</f>
        <v>CHURACHANDPUR,MANIPUR</v>
      </c>
      <c r="U7" s="21">
        <f>IFERROR(__xludf.DUMMYFUNCTION("""COMPUTED_VALUE"""),8.014502465E9)</f>
        <v>8014502465</v>
      </c>
      <c r="V7" s="21">
        <f>IFERROR(__xludf.DUMMYFUNCTION("""COMPUTED_VALUE"""),2.0)</f>
        <v>2</v>
      </c>
      <c r="W7" s="21" t="str">
        <f>IFERROR(__xludf.DUMMYFUNCTION("""COMPUTED_VALUE"""),"LALAM HAOKIP")</f>
        <v>LALAM HAOKIP</v>
      </c>
      <c r="X7" s="21" t="str">
        <f>IFERROR(__xludf.DUMMYFUNCTION("""COMPUTED_VALUE"""),"MOTHER")</f>
        <v>MOTHER</v>
      </c>
      <c r="Y7" s="21" t="str">
        <f>IFERROR(__xludf.DUMMYFUNCTION("""COMPUTED_VALUE"""),"NENGZALAM ")</f>
        <v>NENGZALAM </v>
      </c>
      <c r="Z7" s="21" t="str">
        <f>IFERROR(__xludf.DUMMYFUNCTION("""COMPUTED_VALUE"""),"GRANDMOTHER")</f>
        <v>GRANDMOTHER</v>
      </c>
      <c r="AA7" s="21" t="str">
        <f>IFERROR(__xludf.DUMMYFUNCTION("""COMPUTED_VALUE"""),"Non-Veg")</f>
        <v>Non-Veg</v>
      </c>
      <c r="AB7" s="21" t="str">
        <f>IFERROR(__xludf.DUMMYFUNCTION("""COMPUTED_VALUE"""),"Non-Veg")</f>
        <v>Non-Veg</v>
      </c>
      <c r="AC7" s="21" t="str">
        <f>IFERROR(__xludf.DUMMYFUNCTION("""COMPUTED_VALUE"""),"Non-Veg")</f>
        <v>Non-Veg</v>
      </c>
      <c r="AD7" s="21" t="str">
        <f>IFERROR(__xludf.DUMMYFUNCTION("""COMPUTED_VALUE"""),"Bus Drop Service not needed")</f>
        <v>Bus Drop Service not needed</v>
      </c>
      <c r="AE7" s="21">
        <f>IFERROR(__xludf.DUMMYFUNCTION("""COMPUTED_VALUE"""),0.0)</f>
        <v>0</v>
      </c>
    </row>
    <row r="8" ht="22.5" customHeight="1">
      <c r="A8" s="18">
        <f>IFERROR(__xludf.DUMMYFUNCTION("""COMPUTED_VALUE"""),46262.8362059375)</f>
        <v>46262.83621</v>
      </c>
      <c r="B8" s="21" t="str">
        <f>IFERROR(__xludf.DUMMYFUNCTION("""COMPUTED_VALUE"""),"mansi.singh2021@gmail.com")</f>
        <v>mansi.singh2021@gmail.com</v>
      </c>
      <c r="C8" s="21" t="str">
        <f>IFERROR(__xludf.DUMMYFUNCTION("""COMPUTED_VALUE"""),"DR MANSHI KUMARI")</f>
        <v>DR MANSHI KUMARI</v>
      </c>
      <c r="D8" s="21">
        <f>IFERROR(__xludf.DUMMYFUNCTION("""COMPUTED_VALUE"""),2023037.0)</f>
        <v>2023037</v>
      </c>
      <c r="E8" s="21" t="str">
        <f>IFERROR(__xludf.DUMMYFUNCTION("""COMPUTED_VALUE"""),"MD/MS/MDS 2023")</f>
        <v>MD/MS/MDS 2023</v>
      </c>
      <c r="F8" s="21">
        <f>IFERROR(__xludf.DUMMYFUNCTION("""COMPUTED_VALUE"""),8.20720767E9)</f>
        <v>8207207670</v>
      </c>
      <c r="G8" s="21" t="str">
        <f>IFERROR(__xludf.DUMMYFUNCTION("""COMPUTED_VALUE"""),"mansi.singh2021@gmail.com")</f>
        <v>mansi.singh2021@gmail.com</v>
      </c>
      <c r="H8" s="21" t="str">
        <f>IFERROR(__xludf.DUMMYFUNCTION("""COMPUTED_VALUE"""),"Yes")</f>
        <v>Yes</v>
      </c>
      <c r="I8" s="21"/>
      <c r="J8" s="21"/>
      <c r="K8" s="21" t="str">
        <f>IFERROR(__xludf.DUMMYFUNCTION("""COMPUTED_VALUE"""),"VARANASI,UTTAR PRADESH ")</f>
        <v>VARANASI,UTTAR PRADESH </v>
      </c>
      <c r="L8" s="22" t="str">
        <f>IFERROR(__xludf.DUMMYFUNCTION("""COMPUTED_VALUE"""),"https://drive.google.com/open?id=1nKfebNHsjLdXOG-kfFUb6nUXdGBLIZ90")</f>
        <v>https://drive.google.com/open?id=1nKfebNHsjLdXOG-kfFUb6nUXdGBLIZ90</v>
      </c>
      <c r="M8" s="22" t="str">
        <f>IFERROR(__xludf.DUMMYFUNCTION("""COMPUTED_VALUE"""),"https://drive.google.com/open?id=18sG2dhPmRPBY_1avWO-Ok0VgU7YGhMMr")</f>
        <v>https://drive.google.com/open?id=18sG2dhPmRPBY_1avWO-Ok0VgU7YGhMMr</v>
      </c>
      <c r="N8" s="21" t="str">
        <f>IFERROR(__xludf.DUMMYFUNCTION("""COMPUTED_VALUE"""),"MR. RAJ KUMAR SINGH")</f>
        <v>MR. RAJ KUMAR SINGH</v>
      </c>
      <c r="O8" s="21" t="str">
        <f>IFERROR(__xludf.DUMMYFUNCTION("""COMPUTED_VALUE"""),"CIVIL ENGINEER")</f>
        <v>CIVIL ENGINEER</v>
      </c>
      <c r="P8" s="21" t="str">
        <f>IFERROR(__xludf.DUMMYFUNCTION("""COMPUTED_VALUE"""),"AURANGABAD,BIHAR")</f>
        <v>AURANGABAD,BIHAR</v>
      </c>
      <c r="Q8" s="21">
        <f>IFERROR(__xludf.DUMMYFUNCTION("""COMPUTED_VALUE"""),9.801120313E9)</f>
        <v>9801120313</v>
      </c>
      <c r="R8" s="21" t="str">
        <f>IFERROR(__xludf.DUMMYFUNCTION("""COMPUTED_VALUE"""),"GEETA SINGH")</f>
        <v>GEETA SINGH</v>
      </c>
      <c r="S8" s="21" t="str">
        <f>IFERROR(__xludf.DUMMYFUNCTION("""COMPUTED_VALUE"""),"HOUSE WIFE")</f>
        <v>HOUSE WIFE</v>
      </c>
      <c r="T8" s="21" t="str">
        <f>IFERROR(__xludf.DUMMYFUNCTION("""COMPUTED_VALUE"""),"AURANGABAD,BIHAR")</f>
        <v>AURANGABAD,BIHAR</v>
      </c>
      <c r="U8" s="21">
        <f>IFERROR(__xludf.DUMMYFUNCTION("""COMPUTED_VALUE"""),9.199013095E9)</f>
        <v>9199013095</v>
      </c>
      <c r="V8" s="21">
        <f>IFERROR(__xludf.DUMMYFUNCTION("""COMPUTED_VALUE"""),2.0)</f>
        <v>2</v>
      </c>
      <c r="W8" s="21" t="str">
        <f>IFERROR(__xludf.DUMMYFUNCTION("""COMPUTED_VALUE"""),"MR.RAJ KUMAR SINGH ")</f>
        <v>MR.RAJ KUMAR SINGH </v>
      </c>
      <c r="X8" s="21" t="str">
        <f>IFERROR(__xludf.DUMMYFUNCTION("""COMPUTED_VALUE"""),"FATHER ")</f>
        <v>FATHER </v>
      </c>
      <c r="Y8" s="21" t="str">
        <f>IFERROR(__xludf.DUMMYFUNCTION("""COMPUTED_VALUE"""),"DR RISHI SINGH ")</f>
        <v>DR RISHI SINGH </v>
      </c>
      <c r="Z8" s="21" t="str">
        <f>IFERROR(__xludf.DUMMYFUNCTION("""COMPUTED_VALUE"""),"HUSBAND ")</f>
        <v>HUSBAND </v>
      </c>
      <c r="AA8" s="21" t="str">
        <f>IFERROR(__xludf.DUMMYFUNCTION("""COMPUTED_VALUE"""),"Veg")</f>
        <v>Veg</v>
      </c>
      <c r="AB8" s="21" t="str">
        <f>IFERROR(__xludf.DUMMYFUNCTION("""COMPUTED_VALUE"""),"Veg")</f>
        <v>Veg</v>
      </c>
      <c r="AC8" s="21" t="str">
        <f>IFERROR(__xludf.DUMMYFUNCTION("""COMPUTED_VALUE"""),"Non-Veg")</f>
        <v>Non-Veg</v>
      </c>
      <c r="AD8" s="21" t="str">
        <f>IFERROR(__xludf.DUMMYFUNCTION("""COMPUTED_VALUE"""),"Bus Drop Service not needed")</f>
        <v>Bus Drop Service not needed</v>
      </c>
      <c r="AE8" s="21">
        <f>IFERROR(__xludf.DUMMYFUNCTION("""COMPUTED_VALUE"""),0.0)</f>
        <v>0</v>
      </c>
    </row>
    <row r="9" ht="22.5" customHeight="1">
      <c r="A9" s="18">
        <f>IFERROR(__xludf.DUMMYFUNCTION("""COMPUTED_VALUE"""),46261.73178465277)</f>
        <v>46261.73178</v>
      </c>
      <c r="B9" s="21" t="str">
        <f>IFERROR(__xludf.DUMMYFUNCTION("""COMPUTED_VALUE"""),"kshetrimayum.micro_pgt23@aiimskalyani.edu.in")</f>
        <v>kshetrimayum.micro_pgt23@aiimskalyani.edu.in</v>
      </c>
      <c r="C9" s="21" t="str">
        <f>IFERROR(__xludf.DUMMYFUNCTION("""COMPUTED_VALUE"""),"KSHETRIMAYUM AMMY")</f>
        <v>KSHETRIMAYUM AMMY</v>
      </c>
      <c r="D9" s="21">
        <f>IFERROR(__xludf.DUMMYFUNCTION("""COMPUTED_VALUE"""),2023036.0)</f>
        <v>2023036</v>
      </c>
      <c r="E9" s="21" t="str">
        <f>IFERROR(__xludf.DUMMYFUNCTION("""COMPUTED_VALUE"""),"MD/MS/MDS 2023")</f>
        <v>MD/MS/MDS 2023</v>
      </c>
      <c r="F9" s="21">
        <f>IFERROR(__xludf.DUMMYFUNCTION("""COMPUTED_VALUE"""),8.979219518E9)</f>
        <v>8979219518</v>
      </c>
      <c r="G9" s="21" t="str">
        <f>IFERROR(__xludf.DUMMYFUNCTION("""COMPUTED_VALUE"""),"kshetrimayum.micro_pgt23@aiimskalyani.edu.in")</f>
        <v>kshetrimayum.micro_pgt23@aiimskalyani.edu.in</v>
      </c>
      <c r="H9" s="21" t="str">
        <f>IFERROR(__xludf.DUMMYFUNCTION("""COMPUTED_VALUE"""),"Yes")</f>
        <v>Yes</v>
      </c>
      <c r="I9" s="21"/>
      <c r="J9" s="21"/>
      <c r="K9" s="21" t="str">
        <f>IFERROR(__xludf.DUMMYFUNCTION("""COMPUTED_VALUE"""),"Manipur")</f>
        <v>Manipur</v>
      </c>
      <c r="L9" s="22" t="str">
        <f>IFERROR(__xludf.DUMMYFUNCTION("""COMPUTED_VALUE"""),"https://drive.google.com/open?id=1oTJeS8X8zWGi3Pgc67CPklkSSF98dFZT")</f>
        <v>https://drive.google.com/open?id=1oTJeS8X8zWGi3Pgc67CPklkSSF98dFZT</v>
      </c>
      <c r="M9" s="22" t="str">
        <f>IFERROR(__xludf.DUMMYFUNCTION("""COMPUTED_VALUE"""),"https://drive.google.com/open?id=1l5rZmmtfg3Bm95Nn38SAfiFNS5hhXCD7")</f>
        <v>https://drive.google.com/open?id=1l5rZmmtfg3Bm95Nn38SAfiFNS5hhXCD7</v>
      </c>
      <c r="N9" s="21" t="str">
        <f>IFERROR(__xludf.DUMMYFUNCTION("""COMPUTED_VALUE"""),"Kshetrimayum Topeswor Singh")</f>
        <v>Kshetrimayum Topeswor Singh</v>
      </c>
      <c r="O9" s="21" t="str">
        <f>IFERROR(__xludf.DUMMYFUNCTION("""COMPUTED_VALUE"""),"Business")</f>
        <v>Business</v>
      </c>
      <c r="P9" s="21" t="str">
        <f>IFERROR(__xludf.DUMMYFUNCTION("""COMPUTED_VALUE"""),"Imphal")</f>
        <v>Imphal</v>
      </c>
      <c r="Q9" s="21">
        <f>IFERROR(__xludf.DUMMYFUNCTION("""COMPUTED_VALUE"""),9.436026654E9)</f>
        <v>9436026654</v>
      </c>
      <c r="R9" s="21" t="str">
        <f>IFERROR(__xludf.DUMMYFUNCTION("""COMPUTED_VALUE"""),"Kshetrimayum (O) Meiteileima Devi")</f>
        <v>Kshetrimayum (O) Meiteileima Devi</v>
      </c>
      <c r="S9" s="21" t="str">
        <f>IFERROR(__xludf.DUMMYFUNCTION("""COMPUTED_VALUE"""),"Senior accountant")</f>
        <v>Senior accountant</v>
      </c>
      <c r="T9" s="21" t="str">
        <f>IFERROR(__xludf.DUMMYFUNCTION("""COMPUTED_VALUE"""),"Imphal ")</f>
        <v>Imphal </v>
      </c>
      <c r="U9" s="21">
        <f>IFERROR(__xludf.DUMMYFUNCTION("""COMPUTED_VALUE"""),9.436026559E9)</f>
        <v>9436026559</v>
      </c>
      <c r="V9" s="21">
        <f>IFERROR(__xludf.DUMMYFUNCTION("""COMPUTED_VALUE"""),0.0)</f>
        <v>0</v>
      </c>
      <c r="W9" s="21"/>
      <c r="X9" s="21"/>
      <c r="Y9" s="21"/>
      <c r="Z9" s="21"/>
      <c r="AA9" s="21" t="str">
        <f>IFERROR(__xludf.DUMMYFUNCTION("""COMPUTED_VALUE"""),"Non-Veg")</f>
        <v>Non-Veg</v>
      </c>
      <c r="AB9" s="21"/>
      <c r="AC9" s="21"/>
      <c r="AD9" s="21" t="str">
        <f>IFERROR(__xludf.DUMMYFUNCTION("""COMPUTED_VALUE"""),"Bus Drop Service not needed")</f>
        <v>Bus Drop Service not needed</v>
      </c>
      <c r="AE9" s="21">
        <f>IFERROR(__xludf.DUMMYFUNCTION("""COMPUTED_VALUE"""),0.0)</f>
        <v>0</v>
      </c>
    </row>
    <row r="10" ht="22.5" customHeight="1">
      <c r="A10" s="18">
        <f>IFERROR(__xludf.DUMMYFUNCTION("""COMPUTED_VALUE"""),46261.72505703704)</f>
        <v>46261.72506</v>
      </c>
      <c r="B10" s="21" t="str">
        <f>IFERROR(__xludf.DUMMYFUNCTION("""COMPUTED_VALUE"""),"abhishek.comjnmh@gmail.com")</f>
        <v>abhishek.comjnmh@gmail.com</v>
      </c>
      <c r="C10" s="21" t="str">
        <f>IFERROR(__xludf.DUMMYFUNCTION("""COMPUTED_VALUE"""),"Abhishek Kumar Giri")</f>
        <v>Abhishek Kumar Giri</v>
      </c>
      <c r="D10" s="21">
        <f>IFERROR(__xludf.DUMMYFUNCTION("""COMPUTED_VALUE"""),2.0230316E7)</f>
        <v>20230316</v>
      </c>
      <c r="E10" s="21" t="str">
        <f>IFERROR(__xludf.DUMMYFUNCTION("""COMPUTED_VALUE"""),"MD/MS/MDS 2023")</f>
        <v>MD/MS/MDS 2023</v>
      </c>
      <c r="F10" s="21">
        <f>IFERROR(__xludf.DUMMYFUNCTION("""COMPUTED_VALUE"""),7.686943337E9)</f>
        <v>7686943337</v>
      </c>
      <c r="G10" s="21" t="str">
        <f>IFERROR(__xludf.DUMMYFUNCTION("""COMPUTED_VALUE"""),"ABHISHEK.COMJNMH@GMAIL.COM")</f>
        <v>ABHISHEK.COMJNMH@GMAIL.COM</v>
      </c>
      <c r="H10" s="21" t="str">
        <f>IFERROR(__xludf.DUMMYFUNCTION("""COMPUTED_VALUE"""),"Yes")</f>
        <v>Yes</v>
      </c>
      <c r="I10" s="21"/>
      <c r="J10" s="21"/>
      <c r="K10" s="21" t="str">
        <f>IFERROR(__xludf.DUMMYFUNCTION("""COMPUTED_VALUE"""),"Kolkata")</f>
        <v>Kolkata</v>
      </c>
      <c r="L10" s="22" t="str">
        <f>IFERROR(__xludf.DUMMYFUNCTION("""COMPUTED_VALUE"""),"https://drive.google.com/open?id=1CQbRk21X5nqkp45p_2xoY_EvlMSNqf-n")</f>
        <v>https://drive.google.com/open?id=1CQbRk21X5nqkp45p_2xoY_EvlMSNqf-n</v>
      </c>
      <c r="M10" s="22" t="str">
        <f>IFERROR(__xludf.DUMMYFUNCTION("""COMPUTED_VALUE"""),"https://drive.google.com/open?id=1f5C8dZdGLRKVJM6yCk1O-96zo49IXahL")</f>
        <v>https://drive.google.com/open?id=1f5C8dZdGLRKVJM6yCk1O-96zo49IXahL</v>
      </c>
      <c r="N10" s="21" t="str">
        <f>IFERROR(__xludf.DUMMYFUNCTION("""COMPUTED_VALUE"""),"HRIDYA SHANKER GIRI")</f>
        <v>HRIDYA SHANKER GIRI</v>
      </c>
      <c r="O10" s="21" t="str">
        <f>IFERROR(__xludf.DUMMYFUNCTION("""COMPUTED_VALUE"""),"Advocate")</f>
        <v>Advocate</v>
      </c>
      <c r="P10" s="21" t="str">
        <f>IFERROR(__xludf.DUMMYFUNCTION("""COMPUTED_VALUE"""),"Kolkata")</f>
        <v>Kolkata</v>
      </c>
      <c r="Q10" s="21">
        <f>IFERROR(__xludf.DUMMYFUNCTION("""COMPUTED_VALUE"""),9.430010033E9)</f>
        <v>9430010033</v>
      </c>
      <c r="R10" s="21" t="str">
        <f>IFERROR(__xludf.DUMMYFUNCTION("""COMPUTED_VALUE"""),"Rani Giri")</f>
        <v>Rani Giri</v>
      </c>
      <c r="S10" s="21" t="str">
        <f>IFERROR(__xludf.DUMMYFUNCTION("""COMPUTED_VALUE"""),"House wife")</f>
        <v>House wife</v>
      </c>
      <c r="T10" s="21" t="str">
        <f>IFERROR(__xludf.DUMMYFUNCTION("""COMPUTED_VALUE"""),"Kalyani")</f>
        <v>Kalyani</v>
      </c>
      <c r="U10" s="21">
        <f>IFERROR(__xludf.DUMMYFUNCTION("""COMPUTED_VALUE"""),7.258843968E9)</f>
        <v>7258843968</v>
      </c>
      <c r="V10" s="21">
        <f>IFERROR(__xludf.DUMMYFUNCTION("""COMPUTED_VALUE"""),2.0)</f>
        <v>2</v>
      </c>
      <c r="W10" s="21" t="str">
        <f>IFERROR(__xludf.DUMMYFUNCTION("""COMPUTED_VALUE"""),"HRIDYA SHANKER GIRI")</f>
        <v>HRIDYA SHANKER GIRI</v>
      </c>
      <c r="X10" s="21" t="str">
        <f>IFERROR(__xludf.DUMMYFUNCTION("""COMPUTED_VALUE"""),"Father")</f>
        <v>Father</v>
      </c>
      <c r="Y10" s="21" t="str">
        <f>IFERROR(__xludf.DUMMYFUNCTION("""COMPUTED_VALUE"""),"Rani Giri")</f>
        <v>Rani Giri</v>
      </c>
      <c r="Z10" s="21" t="str">
        <f>IFERROR(__xludf.DUMMYFUNCTION("""COMPUTED_VALUE"""),"Mother")</f>
        <v>Mother</v>
      </c>
      <c r="AA10" s="21" t="str">
        <f>IFERROR(__xludf.DUMMYFUNCTION("""COMPUTED_VALUE"""),"Non-Veg")</f>
        <v>Non-Veg</v>
      </c>
      <c r="AB10" s="21" t="str">
        <f>IFERROR(__xludf.DUMMYFUNCTION("""COMPUTED_VALUE"""),"Non-Veg")</f>
        <v>Non-Veg</v>
      </c>
      <c r="AC10" s="21" t="str">
        <f>IFERROR(__xludf.DUMMYFUNCTION("""COMPUTED_VALUE"""),"Non-Veg")</f>
        <v>Non-Veg</v>
      </c>
      <c r="AD10" s="21" t="str">
        <f>IFERROR(__xludf.DUMMYFUNCTION("""COMPUTED_VALUE"""),"Bus Drop Service not needed")</f>
        <v>Bus Drop Service not needed</v>
      </c>
      <c r="AE10" s="21">
        <f>IFERROR(__xludf.DUMMYFUNCTION("""COMPUTED_VALUE"""),0.0)</f>
        <v>0</v>
      </c>
    </row>
    <row r="11" ht="22.5" customHeight="1">
      <c r="A11" s="18">
        <f>IFERROR(__xludf.DUMMYFUNCTION("""COMPUTED_VALUE"""),46260.61750736111)</f>
        <v>46260.61751</v>
      </c>
      <c r="B11" s="21" t="str">
        <f>IFERROR(__xludf.DUMMYFUNCTION("""COMPUTED_VALUE"""),"saravana.dentistry_pgt23@aiimskalyani.edu.in")</f>
        <v>saravana.dentistry_pgt23@aiimskalyani.edu.in</v>
      </c>
      <c r="C11" s="21" t="str">
        <f>IFERROR(__xludf.DUMMYFUNCTION("""COMPUTED_VALUE"""),"B.SARAVANA PRATHAP")</f>
        <v>B.SARAVANA PRATHAP</v>
      </c>
      <c r="D11" s="21">
        <f>IFERROR(__xludf.DUMMYFUNCTION("""COMPUTED_VALUE"""),2.0230313E7)</f>
        <v>20230313</v>
      </c>
      <c r="E11" s="21" t="str">
        <f>IFERROR(__xludf.DUMMYFUNCTION("""COMPUTED_VALUE"""),"MD/MS/MDS 2023")</f>
        <v>MD/MS/MDS 2023</v>
      </c>
      <c r="F11" s="21">
        <f>IFERROR(__xludf.DUMMYFUNCTION("""COMPUTED_VALUE"""),9.789409492E9)</f>
        <v>9789409492</v>
      </c>
      <c r="G11" s="21" t="str">
        <f>IFERROR(__xludf.DUMMYFUNCTION("""COMPUTED_VALUE"""),"saravana.dentistry_pgt23@aiimskalyani.edu.in")</f>
        <v>saravana.dentistry_pgt23@aiimskalyani.edu.in</v>
      </c>
      <c r="H11" s="21" t="str">
        <f>IFERROR(__xludf.DUMMYFUNCTION("""COMPUTED_VALUE"""),"Yes")</f>
        <v>Yes</v>
      </c>
      <c r="I11" s="21"/>
      <c r="J11" s="21"/>
      <c r="K11" s="21" t="str">
        <f>IFERROR(__xludf.DUMMYFUNCTION("""COMPUTED_VALUE"""),"Coimbatore")</f>
        <v>Coimbatore</v>
      </c>
      <c r="L11" s="22" t="str">
        <f>IFERROR(__xludf.DUMMYFUNCTION("""COMPUTED_VALUE"""),"https://drive.google.com/open?id=1thgAXDqCeAa3Di76_D8nIFLshDuiWyFK")</f>
        <v>https://drive.google.com/open?id=1thgAXDqCeAa3Di76_D8nIFLshDuiWyFK</v>
      </c>
      <c r="M11" s="22" t="str">
        <f>IFERROR(__xludf.DUMMYFUNCTION("""COMPUTED_VALUE"""),"https://drive.google.com/open?id=1y7cM_212CUes9lf3DFTsE1oQt_gVIrf-")</f>
        <v>https://drive.google.com/open?id=1y7cM_212CUes9lf3DFTsE1oQt_gVIrf-</v>
      </c>
      <c r="N11" s="21" t="str">
        <f>IFERROR(__xludf.DUMMYFUNCTION("""COMPUTED_VALUE"""),"C.Balachandran")</f>
        <v>C.Balachandran</v>
      </c>
      <c r="O11" s="21" t="str">
        <f>IFERROR(__xludf.DUMMYFUNCTION("""COMPUTED_VALUE"""),"-")</f>
        <v>-</v>
      </c>
      <c r="P11" s="21" t="str">
        <f>IFERROR(__xludf.DUMMYFUNCTION("""COMPUTED_VALUE"""),"-")</f>
        <v>-</v>
      </c>
      <c r="Q11" s="21">
        <f>IFERROR(__xludf.DUMMYFUNCTION("""COMPUTED_VALUE"""),9.566607472E9)</f>
        <v>9566607472</v>
      </c>
      <c r="R11" s="21" t="str">
        <f>IFERROR(__xludf.DUMMYFUNCTION("""COMPUTED_VALUE"""),"B.Parvathi")</f>
        <v>B.Parvathi</v>
      </c>
      <c r="S11" s="21" t="str">
        <f>IFERROR(__xludf.DUMMYFUNCTION("""COMPUTED_VALUE"""),"House wife")</f>
        <v>House wife</v>
      </c>
      <c r="T11" s="21" t="str">
        <f>IFERROR(__xludf.DUMMYFUNCTION("""COMPUTED_VALUE"""),"Coimbatore")</f>
        <v>Coimbatore</v>
      </c>
      <c r="U11" s="21">
        <f>IFERROR(__xludf.DUMMYFUNCTION("""COMPUTED_VALUE"""),9.566607472E9)</f>
        <v>9566607472</v>
      </c>
      <c r="V11" s="21">
        <f>IFERROR(__xludf.DUMMYFUNCTION("""COMPUTED_VALUE"""),0.0)</f>
        <v>0</v>
      </c>
      <c r="W11" s="21"/>
      <c r="X11" s="21"/>
      <c r="Y11" s="21"/>
      <c r="Z11" s="21"/>
      <c r="AA11" s="21" t="str">
        <f>IFERROR(__xludf.DUMMYFUNCTION("""COMPUTED_VALUE"""),"Veg")</f>
        <v>Veg</v>
      </c>
      <c r="AB11" s="21"/>
      <c r="AC11" s="21"/>
      <c r="AD11" s="21" t="str">
        <f>IFERROR(__xludf.DUMMYFUNCTION("""COMPUTED_VALUE"""),"Bus Drop Service not needed")</f>
        <v>Bus Drop Service not needed</v>
      </c>
      <c r="AE11" s="21">
        <f>IFERROR(__xludf.DUMMYFUNCTION("""COMPUTED_VALUE"""),0.0)</f>
        <v>0</v>
      </c>
    </row>
    <row r="12" ht="22.5" customHeight="1">
      <c r="A12" s="18">
        <f>IFERROR(__xludf.DUMMYFUNCTION("""COMPUTED_VALUE"""),46260.35893052083)</f>
        <v>46260.35893</v>
      </c>
      <c r="B12" s="21" t="str">
        <f>IFERROR(__xludf.DUMMYFUNCTION("""COMPUTED_VALUE"""),"monalisa.biochem_pgt23@aiimskalyani.edu.in")</f>
        <v>monalisa.biochem_pgt23@aiimskalyani.edu.in</v>
      </c>
      <c r="C12" s="21" t="str">
        <f>IFERROR(__xludf.DUMMYFUNCTION("""COMPUTED_VALUE"""),"DR. MONALISA MAHAJAN")</f>
        <v>DR. MONALISA MAHAJAN</v>
      </c>
      <c r="D12" s="21">
        <f>IFERROR(__xludf.DUMMYFUNCTION("""COMPUTED_VALUE"""),2.0230319E7)</f>
        <v>20230319</v>
      </c>
      <c r="E12" s="21" t="str">
        <f>IFERROR(__xludf.DUMMYFUNCTION("""COMPUTED_VALUE"""),"MD/MS/MDS 2023")</f>
        <v>MD/MS/MDS 2023</v>
      </c>
      <c r="F12" s="21">
        <f>IFERROR(__xludf.DUMMYFUNCTION("""COMPUTED_VALUE"""),9.531754461E9)</f>
        <v>9531754461</v>
      </c>
      <c r="G12" s="21" t="str">
        <f>IFERROR(__xludf.DUMMYFUNCTION("""COMPUTED_VALUE"""),"monalisa.biochem_pgt23@aiimskalyani.edu.in")</f>
        <v>monalisa.biochem_pgt23@aiimskalyani.edu.in</v>
      </c>
      <c r="H12" s="21" t="str">
        <f>IFERROR(__xludf.DUMMYFUNCTION("""COMPUTED_VALUE"""),"Yes")</f>
        <v>Yes</v>
      </c>
      <c r="I12" s="21" t="str">
        <f>IFERROR(__xludf.DUMMYFUNCTION("""COMPUTED_VALUE"""),"Art and craft")</f>
        <v>Art and craft</v>
      </c>
      <c r="J12" s="21"/>
      <c r="K12" s="21" t="str">
        <f>IFERROR(__xludf.DUMMYFUNCTION("""COMPUTED_VALUE"""),"Bankura")</f>
        <v>Bankura</v>
      </c>
      <c r="L12" s="22" t="str">
        <f>IFERROR(__xludf.DUMMYFUNCTION("""COMPUTED_VALUE"""),"https://drive.google.com/open?id=1Bjvem_I_ilRINZh5ay3Gh2MmbqyI_ZM5")</f>
        <v>https://drive.google.com/open?id=1Bjvem_I_ilRINZh5ay3Gh2MmbqyI_ZM5</v>
      </c>
      <c r="M12" s="22" t="str">
        <f>IFERROR(__xludf.DUMMYFUNCTION("""COMPUTED_VALUE"""),"https://drive.google.com/open?id=1w5oxEG3Y_3QnTCazzcYgvScpQnlHlUCB")</f>
        <v>https://drive.google.com/open?id=1w5oxEG3Y_3QnTCazzcYgvScpQnlHlUCB</v>
      </c>
      <c r="N12" s="21" t="str">
        <f>IFERROR(__xludf.DUMMYFUNCTION("""COMPUTED_VALUE"""),"MADHAB KUMAR MAHAJAN")</f>
        <v>MADHAB KUMAR MAHAJAN</v>
      </c>
      <c r="O12" s="21" t="str">
        <f>IFERROR(__xludf.DUMMYFUNCTION("""COMPUTED_VALUE"""),"BANK MANAGER (RETIRED)")</f>
        <v>BANK MANAGER (RETIRED)</v>
      </c>
      <c r="P12" s="21" t="str">
        <f>IFERROR(__xludf.DUMMYFUNCTION("""COMPUTED_VALUE"""),"BANKURA")</f>
        <v>BANKURA</v>
      </c>
      <c r="Q12" s="21">
        <f>IFERROR(__xludf.DUMMYFUNCTION("""COMPUTED_VALUE"""),9.474185735E9)</f>
        <v>9474185735</v>
      </c>
      <c r="R12" s="21" t="str">
        <f>IFERROR(__xludf.DUMMYFUNCTION("""COMPUTED_VALUE"""),"SOMA MAHAJAN")</f>
        <v>SOMA MAHAJAN</v>
      </c>
      <c r="S12" s="21" t="str">
        <f>IFERROR(__xludf.DUMMYFUNCTION("""COMPUTED_VALUE"""),"HOME MAKER")</f>
        <v>HOME MAKER</v>
      </c>
      <c r="T12" s="21" t="str">
        <f>IFERROR(__xludf.DUMMYFUNCTION("""COMPUTED_VALUE"""),"BANKURA")</f>
        <v>BANKURA</v>
      </c>
      <c r="U12" s="21">
        <f>IFERROR(__xludf.DUMMYFUNCTION("""COMPUTED_VALUE"""),9.475346936E9)</f>
        <v>9475346936</v>
      </c>
      <c r="V12" s="21">
        <f>IFERROR(__xludf.DUMMYFUNCTION("""COMPUTED_VALUE"""),2.0)</f>
        <v>2</v>
      </c>
      <c r="W12" s="21" t="str">
        <f>IFERROR(__xludf.DUMMYFUNCTION("""COMPUTED_VALUE"""),"MADHAB KUMAR MAHAJAN")</f>
        <v>MADHAB KUMAR MAHAJAN</v>
      </c>
      <c r="X12" s="21" t="str">
        <f>IFERROR(__xludf.DUMMYFUNCTION("""COMPUTED_VALUE"""),"FATHER")</f>
        <v>FATHER</v>
      </c>
      <c r="Y12" s="21" t="str">
        <f>IFERROR(__xludf.DUMMYFUNCTION("""COMPUTED_VALUE"""),"SOMA MAHAJAN")</f>
        <v>SOMA MAHAJAN</v>
      </c>
      <c r="Z12" s="21" t="str">
        <f>IFERROR(__xludf.DUMMYFUNCTION("""COMPUTED_VALUE"""),"MOTHER")</f>
        <v>MOTHER</v>
      </c>
      <c r="AA12" s="21" t="str">
        <f>IFERROR(__xludf.DUMMYFUNCTION("""COMPUTED_VALUE"""),"Non-Veg")</f>
        <v>Non-Veg</v>
      </c>
      <c r="AB12" s="21" t="str">
        <f>IFERROR(__xludf.DUMMYFUNCTION("""COMPUTED_VALUE"""),"Non-Veg")</f>
        <v>Non-Veg</v>
      </c>
      <c r="AC12" s="21" t="str">
        <f>IFERROR(__xludf.DUMMYFUNCTION("""COMPUTED_VALUE"""),"Non-Veg")</f>
        <v>Non-Veg</v>
      </c>
      <c r="AD12" s="21" t="str">
        <f>IFERROR(__xludf.DUMMYFUNCTION("""COMPUTED_VALUE"""),"Bus Drop Service not needed")</f>
        <v>Bus Drop Service not needed</v>
      </c>
      <c r="AE12" s="21"/>
    </row>
    <row r="13" ht="22.5" customHeight="1">
      <c r="A13" s="18">
        <f>IFERROR(__xludf.DUMMYFUNCTION("""COMPUTED_VALUE"""),46258.97708182871)</f>
        <v>46258.97708</v>
      </c>
      <c r="B13" s="21" t="str">
        <f>IFERROR(__xludf.DUMMYFUNCTION("""COMPUTED_VALUE"""),"prasu1999cmc@gmail.com")</f>
        <v>prasu1999cmc@gmail.com</v>
      </c>
      <c r="C13" s="21" t="str">
        <f>IFERROR(__xludf.DUMMYFUNCTION("""COMPUTED_VALUE"""),"PRASANJIT DAS")</f>
        <v>PRASANJIT DAS</v>
      </c>
      <c r="D13" s="21">
        <f>IFERROR(__xludf.DUMMYFUNCTION("""COMPUTED_VALUE"""),2.023032E7)</f>
        <v>20230320</v>
      </c>
      <c r="E13" s="21" t="str">
        <f>IFERROR(__xludf.DUMMYFUNCTION("""COMPUTED_VALUE"""),"MD/MS/MDS 2023")</f>
        <v>MD/MS/MDS 2023</v>
      </c>
      <c r="F13" s="21">
        <f>IFERROR(__xludf.DUMMYFUNCTION("""COMPUTED_VALUE"""),9.476084509E9)</f>
        <v>9476084509</v>
      </c>
      <c r="G13" s="21" t="str">
        <f>IFERROR(__xludf.DUMMYFUNCTION("""COMPUTED_VALUE"""),"docprasanjitdas@gmail.com")</f>
        <v>docprasanjitdas@gmail.com</v>
      </c>
      <c r="H13" s="21" t="str">
        <f>IFERROR(__xludf.DUMMYFUNCTION("""COMPUTED_VALUE"""),"Yes")</f>
        <v>Yes</v>
      </c>
      <c r="I13" s="21" t="str">
        <f>IFERROR(__xludf.DUMMYFUNCTION("""COMPUTED_VALUE"""),"Online educator, Researcher, Poet and Quiz master ")</f>
        <v>Online educator, Researcher, Poet and Quiz master </v>
      </c>
      <c r="J13" s="21" t="str">
        <f>IFERROR(__xludf.DUMMYFUNCTION("""COMPUTED_VALUE"""),"ICTD QUIZ COORDINATOR FOR AIIMS UG STUDENTS FOR TWO CONSECUTIVE YEARS, AUTHOR OF COLLECTION OF POEMS NAMED WINGS OF IMAGINATION PART 1,2 and 3, T-SHIRT BRAND OWNER, CREATOR")</f>
        <v>ICTD QUIZ COORDINATOR FOR AIIMS UG STUDENTS FOR TWO CONSECUTIVE YEARS, AUTHOR OF COLLECTION OF POEMS NAMED WINGS OF IMAGINATION PART 1,2 and 3, T-SHIRT BRAND OWNER, CREATOR</v>
      </c>
      <c r="K13" s="21" t="str">
        <f>IFERROR(__xludf.DUMMYFUNCTION("""COMPUTED_VALUE"""),"PORT BLAIR")</f>
        <v>PORT BLAIR</v>
      </c>
      <c r="L13" s="22" t="str">
        <f>IFERROR(__xludf.DUMMYFUNCTION("""COMPUTED_VALUE"""),"https://drive.google.com/open?id=1SWuwHRxyno1L65hUqbVUCARa8kB9WwfS")</f>
        <v>https://drive.google.com/open?id=1SWuwHRxyno1L65hUqbVUCARa8kB9WwfS</v>
      </c>
      <c r="M13" s="22" t="str">
        <f>IFERROR(__xludf.DUMMYFUNCTION("""COMPUTED_VALUE"""),"https://drive.google.com/open?id=1eN3XM3FDAfnjuzltq2F02E95vygNgK8o")</f>
        <v>https://drive.google.com/open?id=1eN3XM3FDAfnjuzltq2F02E95vygNgK8o</v>
      </c>
      <c r="N13" s="21" t="str">
        <f>IFERROR(__xludf.DUMMYFUNCTION("""COMPUTED_VALUE"""),"PRASANTA KUMAR DAS")</f>
        <v>PRASANTA KUMAR DAS</v>
      </c>
      <c r="O13" s="21" t="str">
        <f>IFERROR(__xludf.DUMMYFUNCTION("""COMPUTED_VALUE"""),"GOVERNMENT SERVANT ASSISTANT INCHARGE")</f>
        <v>GOVERNMENT SERVANT ASSISTANT INCHARGE</v>
      </c>
      <c r="P13" s="21" t="str">
        <f>IFERROR(__xludf.DUMMYFUNCTION("""COMPUTED_VALUE"""),"PORT BLAIR")</f>
        <v>PORT BLAIR</v>
      </c>
      <c r="Q13" s="21">
        <f>IFERROR(__xludf.DUMMYFUNCTION("""COMPUTED_VALUE"""),9.434264702E9)</f>
        <v>9434264702</v>
      </c>
      <c r="R13" s="21" t="str">
        <f>IFERROR(__xludf.DUMMYFUNCTION("""COMPUTED_VALUE"""),"TAPASI RANI DAS")</f>
        <v>TAPASI RANI DAS</v>
      </c>
      <c r="S13" s="21" t="str">
        <f>IFERROR(__xludf.DUMMYFUNCTION("""COMPUTED_VALUE"""),"RETIRED GOVERNMENT SERVANT")</f>
        <v>RETIRED GOVERNMENT SERVANT</v>
      </c>
      <c r="T13" s="21" t="str">
        <f>IFERROR(__xludf.DUMMYFUNCTION("""COMPUTED_VALUE"""),"PORT BLAIR")</f>
        <v>PORT BLAIR</v>
      </c>
      <c r="U13" s="21">
        <f>IFERROR(__xludf.DUMMYFUNCTION("""COMPUTED_VALUE"""),9.474231697E9)</f>
        <v>9474231697</v>
      </c>
      <c r="V13" s="21">
        <f>IFERROR(__xludf.DUMMYFUNCTION("""COMPUTED_VALUE"""),2.0)</f>
        <v>2</v>
      </c>
      <c r="W13" s="21" t="str">
        <f>IFERROR(__xludf.DUMMYFUNCTION("""COMPUTED_VALUE"""),"PRASANTA KUMAR DAS")</f>
        <v>PRASANTA KUMAR DAS</v>
      </c>
      <c r="X13" s="21" t="str">
        <f>IFERROR(__xludf.DUMMYFUNCTION("""COMPUTED_VALUE"""),"FATHER")</f>
        <v>FATHER</v>
      </c>
      <c r="Y13" s="21" t="str">
        <f>IFERROR(__xludf.DUMMYFUNCTION("""COMPUTED_VALUE"""),"TAPASI RANI DAS")</f>
        <v>TAPASI RANI DAS</v>
      </c>
      <c r="Z13" s="21" t="str">
        <f>IFERROR(__xludf.DUMMYFUNCTION("""COMPUTED_VALUE"""),"MOTHER")</f>
        <v>MOTHER</v>
      </c>
      <c r="AA13" s="21" t="str">
        <f>IFERROR(__xludf.DUMMYFUNCTION("""COMPUTED_VALUE"""),"Non-Veg")</f>
        <v>Non-Veg</v>
      </c>
      <c r="AB13" s="21" t="str">
        <f>IFERROR(__xludf.DUMMYFUNCTION("""COMPUTED_VALUE"""),"Non-Veg")</f>
        <v>Non-Veg</v>
      </c>
      <c r="AC13" s="21" t="str">
        <f>IFERROR(__xludf.DUMMYFUNCTION("""COMPUTED_VALUE"""),"Non-Veg")</f>
        <v>Non-Veg</v>
      </c>
      <c r="AD13" s="21" t="str">
        <f>IFERROR(__xludf.DUMMYFUNCTION("""COMPUTED_VALUE"""),"Bus Drop Service not needed")</f>
        <v>Bus Drop Service not needed</v>
      </c>
      <c r="AE13" s="21">
        <f>IFERROR(__xludf.DUMMYFUNCTION("""COMPUTED_VALUE"""),0.0)</f>
        <v>0</v>
      </c>
    </row>
    <row r="14" ht="22.5" customHeight="1">
      <c r="A14" s="18">
        <f>IFERROR(__xludf.DUMMYFUNCTION("""COMPUTED_VALUE"""),46258.8841737037)</f>
        <v>46258.88417</v>
      </c>
      <c r="B14" s="21" t="str">
        <f>IFERROR(__xludf.DUMMYFUNCTION("""COMPUTED_VALUE"""),"souvik.patho_pgt23@aiimskalyani.edu.in")</f>
        <v>souvik.patho_pgt23@aiimskalyani.edu.in</v>
      </c>
      <c r="C14" s="21" t="str">
        <f>IFERROR(__xludf.DUMMYFUNCTION("""COMPUTED_VALUE"""),"SOUVIK BHATTACHARYA")</f>
        <v>SOUVIK BHATTACHARYA</v>
      </c>
      <c r="D14" s="21">
        <f>IFERROR(__xludf.DUMMYFUNCTION("""COMPUTED_VALUE"""),2.0230315E7)</f>
        <v>20230315</v>
      </c>
      <c r="E14" s="21" t="str">
        <f>IFERROR(__xludf.DUMMYFUNCTION("""COMPUTED_VALUE"""),"MD/MS/MDS 2023")</f>
        <v>MD/MS/MDS 2023</v>
      </c>
      <c r="F14" s="21">
        <f>IFERROR(__xludf.DUMMYFUNCTION("""COMPUTED_VALUE"""),8.017164337E9)</f>
        <v>8017164337</v>
      </c>
      <c r="G14" s="21" t="str">
        <f>IFERROR(__xludf.DUMMYFUNCTION("""COMPUTED_VALUE"""),"svkbhttchr@live.in")</f>
        <v>svkbhttchr@live.in</v>
      </c>
      <c r="H14" s="21" t="str">
        <f>IFERROR(__xludf.DUMMYFUNCTION("""COMPUTED_VALUE"""),"Yes")</f>
        <v>Yes</v>
      </c>
      <c r="I14" s="21" t="str">
        <f>IFERROR(__xludf.DUMMYFUNCTION("""COMPUTED_VALUE"""),"Gardening")</f>
        <v>Gardening</v>
      </c>
      <c r="J14" s="21" t="str">
        <f>IFERROR(__xludf.DUMMYFUNCTION("""COMPUTED_VALUE"""),"NA")</f>
        <v>NA</v>
      </c>
      <c r="K14" s="21" t="str">
        <f>IFERROR(__xludf.DUMMYFUNCTION("""COMPUTED_VALUE"""),"Kolkata")</f>
        <v>Kolkata</v>
      </c>
      <c r="L14" s="22" t="str">
        <f>IFERROR(__xludf.DUMMYFUNCTION("""COMPUTED_VALUE"""),"https://drive.google.com/open?id=1hExh2JwuT6TMN4Mg4IBFwmLaqAZa85G0")</f>
        <v>https://drive.google.com/open?id=1hExh2JwuT6TMN4Mg4IBFwmLaqAZa85G0</v>
      </c>
      <c r="M14" s="22" t="str">
        <f>IFERROR(__xludf.DUMMYFUNCTION("""COMPUTED_VALUE"""),"https://drive.google.com/open?id=1u_rmdsZQkqSLw89Wr3hh4895kQxU6rCH")</f>
        <v>https://drive.google.com/open?id=1u_rmdsZQkqSLw89Wr3hh4895kQxU6rCH</v>
      </c>
      <c r="N14" s="21" t="str">
        <f>IFERROR(__xludf.DUMMYFUNCTION("""COMPUTED_VALUE"""),"Saswata Bhattacharyya")</f>
        <v>Saswata Bhattacharyya</v>
      </c>
      <c r="O14" s="21" t="str">
        <f>IFERROR(__xludf.DUMMYFUNCTION("""COMPUTED_VALUE"""),"Doctor")</f>
        <v>Doctor</v>
      </c>
      <c r="P14" s="21" t="str">
        <f>IFERROR(__xludf.DUMMYFUNCTION("""COMPUTED_VALUE"""),"Kolkata")</f>
        <v>Kolkata</v>
      </c>
      <c r="Q14" s="21">
        <f>IFERROR(__xludf.DUMMYFUNCTION("""COMPUTED_VALUE"""),9.433879722E9)</f>
        <v>9433879722</v>
      </c>
      <c r="R14" s="21" t="str">
        <f>IFERROR(__xludf.DUMMYFUNCTION("""COMPUTED_VALUE"""),"Sanghamitra Bhattacharya")</f>
        <v>Sanghamitra Bhattacharya</v>
      </c>
      <c r="S14" s="21" t="str">
        <f>IFERROR(__xludf.DUMMYFUNCTION("""COMPUTED_VALUE"""),"Teacher")</f>
        <v>Teacher</v>
      </c>
      <c r="T14" s="21" t="str">
        <f>IFERROR(__xludf.DUMMYFUNCTION("""COMPUTED_VALUE"""),"Kolkata")</f>
        <v>Kolkata</v>
      </c>
      <c r="U14" s="21">
        <f>IFERROR(__xludf.DUMMYFUNCTION("""COMPUTED_VALUE"""),9.433336318E9)</f>
        <v>9433336318</v>
      </c>
      <c r="V14" s="21">
        <f>IFERROR(__xludf.DUMMYFUNCTION("""COMPUTED_VALUE"""),2.0)</f>
        <v>2</v>
      </c>
      <c r="W14" s="21" t="str">
        <f>IFERROR(__xludf.DUMMYFUNCTION("""COMPUTED_VALUE"""),"Saswata Bhattacharyya ")</f>
        <v>Saswata Bhattacharyya </v>
      </c>
      <c r="X14" s="21" t="str">
        <f>IFERROR(__xludf.DUMMYFUNCTION("""COMPUTED_VALUE"""),"Father")</f>
        <v>Father</v>
      </c>
      <c r="Y14" s="21" t="str">
        <f>IFERROR(__xludf.DUMMYFUNCTION("""COMPUTED_VALUE"""),"Sanghamitra Bhattacharya ")</f>
        <v>Sanghamitra Bhattacharya </v>
      </c>
      <c r="Z14" s="21" t="str">
        <f>IFERROR(__xludf.DUMMYFUNCTION("""COMPUTED_VALUE"""),"Mother ")</f>
        <v>Mother </v>
      </c>
      <c r="AA14" s="21" t="str">
        <f>IFERROR(__xludf.DUMMYFUNCTION("""COMPUTED_VALUE"""),"Non-Veg")</f>
        <v>Non-Veg</v>
      </c>
      <c r="AB14" s="21" t="str">
        <f>IFERROR(__xludf.DUMMYFUNCTION("""COMPUTED_VALUE"""),"Veg")</f>
        <v>Veg</v>
      </c>
      <c r="AC14" s="21" t="str">
        <f>IFERROR(__xludf.DUMMYFUNCTION("""COMPUTED_VALUE"""),"Non-Veg")</f>
        <v>Non-Veg</v>
      </c>
      <c r="AD14" s="21" t="str">
        <f>IFERROR(__xludf.DUMMYFUNCTION("""COMPUTED_VALUE"""),"Drop at Kolkata Airport")</f>
        <v>Drop at Kolkata Airport</v>
      </c>
      <c r="AE14" s="21">
        <f>IFERROR(__xludf.DUMMYFUNCTION("""COMPUTED_VALUE"""),3.0)</f>
        <v>3</v>
      </c>
    </row>
    <row r="15" ht="22.5" customHeight="1">
      <c r="A15" s="18">
        <f>IFERROR(__xludf.DUMMYFUNCTION("""COMPUTED_VALUE"""),46258.78752990741)</f>
        <v>46258.78753</v>
      </c>
      <c r="B15" s="21" t="str">
        <f>IFERROR(__xludf.DUMMYFUNCTION("""COMPUTED_VALUE"""),"tutul.9711@gmail.com")</f>
        <v>tutul.9711@gmail.com</v>
      </c>
      <c r="C15" s="21" t="str">
        <f>IFERROR(__xludf.DUMMYFUNCTION("""COMPUTED_VALUE"""),"ARUNDHATI MUKHERJEE")</f>
        <v>ARUNDHATI MUKHERJEE</v>
      </c>
      <c r="D15" s="21">
        <f>IFERROR(__xludf.DUMMYFUNCTION("""COMPUTED_VALUE"""),2023032.0)</f>
        <v>2023032</v>
      </c>
      <c r="E15" s="21" t="str">
        <f>IFERROR(__xludf.DUMMYFUNCTION("""COMPUTED_VALUE"""),"MD/MS/MDS 2023")</f>
        <v>MD/MS/MDS 2023</v>
      </c>
      <c r="F15" s="21">
        <f>IFERROR(__xludf.DUMMYFUNCTION("""COMPUTED_VALUE"""),9.051909471E9)</f>
        <v>9051909471</v>
      </c>
      <c r="G15" s="21" t="str">
        <f>IFERROR(__xludf.DUMMYFUNCTION("""COMPUTED_VALUE"""),"tutul.9711@gmail.com")</f>
        <v>tutul.9711@gmail.com</v>
      </c>
      <c r="H15" s="21" t="str">
        <f>IFERROR(__xludf.DUMMYFUNCTION("""COMPUTED_VALUE"""),"Yes")</f>
        <v>Yes</v>
      </c>
      <c r="I15" s="21" t="str">
        <f>IFERROR(__xludf.DUMMYFUNCTION("""COMPUTED_VALUE"""),"Drawing/Painting, Singing, Writing and Reading")</f>
        <v>Drawing/Painting, Singing, Writing and Reading</v>
      </c>
      <c r="J15" s="21" t="str">
        <f>IFERROR(__xludf.DUMMYFUNCTION("""COMPUTED_VALUE"""),"ACHIEVEMENTS -
·   PAPERS PRESENTED
o   Presented at Late Brig. Prof. G.S. Gopal Award for Best Post-Graduate Research Paper at SEOCON 2025.
o   Presented at the Resident Paper Award at NESCON 2025.
o   Presented at the Dr. Sandra Nisha D’Souza PG Awa"&amp;"rd paper and the Dr. Anoop Raj and Dr. S.L. Chopra E-poster competitions at the 76th AOICON 2025 held at Kochi, Kerala.
o   Presented at Major KK Ghosh PGT paper presentation and E-poster presentation competitions at 52nd AOIWB 2025 held at Haldia, West "&amp;"Bengal.
o   Presented at Major KK Ghosh PGT paper presentation at 51st AOIWB, 2024 held at Kolkata.
·    AWARDS AND ACCOLADES
o   Participated at the 18th Dr. SM Sen and Dr. Tarun Palit Temporal Bone Dissection Competition by AOIWB, in March 2026 held"&amp;" at Kolkata.
o   Winner of RHINOAESTHETICON 2025, Quiz held at AIIMS Kalyani in November, 2025.
o   Winner of Late Brig. Prof. G.S. Gopal Award for Best Post-Graduate Research Paper at SEOCON 2025, held at Pune, Maharashtra.
o   Winner of SEOCON 2025 E"&amp;"NT quiz, held at Pune, Maharashtra.
o   Winner of NESCON 2025 Quiz competition.
o   2nd runner up in Resident Paper Award at NESCON 2025.
o   Winner of the Prof SN Choudhury and Dr. P Chatterjee, 52nd AOIWB ENT quiz 2025 held at Haldia, West Bengal.
o"&amp;"   Participated at the Rhinology quiz and the Dr. Prem Kakkar ENT quiz held at the 76th AOICON 2025 held at Kochi, Kerala.
o   Participated at the 17th Dr. SM Sen and Dr. Tarun Palit Temporal Bone Dissection Competition by AOIWB, in April 2025 held at Ko"&amp;"lkata.
o   Participated at the Prof SN Choudhury and Dr. P Chatterjee, 51st AOIWBCON ENT quiz 2024 at Kolkata, West Bengal
.    COMPETITIVE EXAMS: Achieved AML Rank 11 in INI-SS July, 2026 exams. Currently pursuing MCh Plastic Surgery and Reconstructive"&amp;" Surgery at AIIMS Raipur.
·  ACADEMIC ACHIEVEMENTS AND AWARDS
o   Honors in MBBS in the subjects of Biochemistry, Pathology, Pharmacology, Forensic Medicine and Technology, Otorhinolaryngology, Ophthalmology, Community and Family Medicine, General Medic"&amp;"ine, General Surgery and Paediatric Medicine and Neonatology.
o   Obtained highest marks and gold medals in MBBS in the subjects of Forensic Medicine and Technology, Otorhinolaryngology, Ophthalmology, Community and Family Medicine, General Medicine, Gen"&amp;"eral Surgery and Paediatric Medicine and Neonatology.
o   University topper in Paediatric medicine and Neonatology in MBBS.
o  Scored 75% in post-graduate exit exam for MS Otorhinolaryngology from AIIMS Kalyani
")</f>
        <v>ACHIEVEMENTS -
·   PAPERS PRESENTED
o   Presented at Late Brig. Prof. G.S. Gopal Award for Best Post-Graduate Research Paper at SEOCON 2025.
o   Presented at the Resident Paper Award at NESCON 2025.
o   Presented at the Dr. Sandra Nisha D’Souza PG Award paper and the Dr. Anoop Raj and Dr. S.L. Chopra E-poster competitions at the 76th AOICON 2025 held at Kochi, Kerala.
o   Presented at Major KK Ghosh PGT paper presentation and E-poster presentation competitions at 52nd AOIWB 2025 held at Haldia, West Bengal.
o   Presented at Major KK Ghosh PGT paper presentation at 51st AOIWB, 2024 held at Kolkata.
·    AWARDS AND ACCOLADES
o   Participated at the 18th Dr. SM Sen and Dr. Tarun Palit Temporal Bone Dissection Competition by AOIWB, in March 2026 held at Kolkata.
o   Winner of RHINOAESTHETICON 2025, Quiz held at AIIMS Kalyani in November, 2025.
o   Winner of Late Brig. Prof. G.S. Gopal Award for Best Post-Graduate Research Paper at SEOCON 2025, held at Pune, Maharashtra.
o   Winner of SEOCON 2025 ENT quiz, held at Pune, Maharashtra.
o   Winner of NESCON 2025 Quiz competition.
o   2nd runner up in Resident Paper Award at NESCON 2025.
o   Winner of the Prof SN Choudhury and Dr. P Chatterjee, 52nd AOIWB ENT quiz 2025 held at Haldia, West Bengal.
o   Participated at the Rhinology quiz and the Dr. Prem Kakkar ENT quiz held at the 76th AOICON 2025 held at Kochi, Kerala.
o   Participated at the 17th Dr. SM Sen and Dr. Tarun Palit Temporal Bone Dissection Competition by AOIWB, in April 2025 held at Kolkata.
o   Participated at the Prof SN Choudhury and Dr. P Chatterjee, 51st AOIWBCON ENT quiz 2024 at Kolkata, West Bengal
.    COMPETITIVE EXAMS: Achieved AML Rank 11 in INI-SS July, 2026 exams. Currently pursuing MCh Plastic Surgery and Reconstructive Surgery at AIIMS Raipur.
·  ACADEMIC ACHIEVEMENTS AND AWARDS
o   Honors in MBBS in the subjects of Biochemistry, Pathology, Pharmacology, Forensic Medicine and Technology, Otorhinolaryngology, Ophthalmology, Community and Family Medicine, General Medicine, General Surgery and Paediatric Medicine and Neonatology.
o   Obtained highest marks and gold medals in MBBS in the subjects of Forensic Medicine and Technology, Otorhinolaryngology, Ophthalmology, Community and Family Medicine, General Medicine, General Surgery and Paediatric Medicine and Neonatology.
o   University topper in Paediatric medicine and Neonatology in MBBS.
o  Scored 75% in post-graduate exit exam for MS Otorhinolaryngology from AIIMS Kalyani
</v>
      </c>
      <c r="K15" s="21" t="str">
        <f>IFERROR(__xludf.DUMMYFUNCTION("""COMPUTED_VALUE"""),"Kolkata")</f>
        <v>Kolkata</v>
      </c>
      <c r="L15" s="22" t="str">
        <f>IFERROR(__xludf.DUMMYFUNCTION("""COMPUTED_VALUE"""),"https://drive.google.com/open?id=1_j5e_JX1--W1J-lrq1oLNLFeWOWMawCh")</f>
        <v>https://drive.google.com/open?id=1_j5e_JX1--W1J-lrq1oLNLFeWOWMawCh</v>
      </c>
      <c r="M15" s="22" t="str">
        <f>IFERROR(__xludf.DUMMYFUNCTION("""COMPUTED_VALUE"""),"https://drive.google.com/open?id=1uY7TeX8m5oAoS51y5th6r-EeTDoPFDvM")</f>
        <v>https://drive.google.com/open?id=1uY7TeX8m5oAoS51y5th6r-EeTDoPFDvM</v>
      </c>
      <c r="N15" s="21" t="str">
        <f>IFERROR(__xludf.DUMMYFUNCTION("""COMPUTED_VALUE"""),"SAUBHIK MUKHERJEE")</f>
        <v>SAUBHIK MUKHERJEE</v>
      </c>
      <c r="O15" s="21" t="str">
        <f>IFERROR(__xludf.DUMMYFUNCTION("""COMPUTED_VALUE"""),"RETIRED")</f>
        <v>RETIRED</v>
      </c>
      <c r="P15" s="21" t="str">
        <f>IFERROR(__xludf.DUMMYFUNCTION("""COMPUTED_VALUE"""),"KOLKATA, WEST BENGAL")</f>
        <v>KOLKATA, WEST BENGAL</v>
      </c>
      <c r="Q15" s="21">
        <f>IFERROR(__xludf.DUMMYFUNCTION("""COMPUTED_VALUE"""),9.830298198E9)</f>
        <v>9830298198</v>
      </c>
      <c r="R15" s="21" t="str">
        <f>IFERROR(__xludf.DUMMYFUNCTION("""COMPUTED_VALUE"""),"BAISHAKHI MUKHERJEE")</f>
        <v>BAISHAKHI MUKHERJEE</v>
      </c>
      <c r="S15" s="21" t="str">
        <f>IFERROR(__xludf.DUMMYFUNCTION("""COMPUTED_VALUE"""),"HOMEMAKER")</f>
        <v>HOMEMAKER</v>
      </c>
      <c r="T15" s="21" t="str">
        <f>IFERROR(__xludf.DUMMYFUNCTION("""COMPUTED_VALUE"""),"KOLKATA, WEST BENGAL")</f>
        <v>KOLKATA, WEST BENGAL</v>
      </c>
      <c r="U15" s="21">
        <f>IFERROR(__xludf.DUMMYFUNCTION("""COMPUTED_VALUE"""),9.830108655E9)</f>
        <v>9830108655</v>
      </c>
      <c r="V15" s="21">
        <f>IFERROR(__xludf.DUMMYFUNCTION("""COMPUTED_VALUE"""),2.0)</f>
        <v>2</v>
      </c>
      <c r="W15" s="21" t="str">
        <f>IFERROR(__xludf.DUMMYFUNCTION("""COMPUTED_VALUE"""),"SAUBHIK MUKHERJEE")</f>
        <v>SAUBHIK MUKHERJEE</v>
      </c>
      <c r="X15" s="21" t="str">
        <f>IFERROR(__xludf.DUMMYFUNCTION("""COMPUTED_VALUE"""),"FATHER")</f>
        <v>FATHER</v>
      </c>
      <c r="Y15" s="21" t="str">
        <f>IFERROR(__xludf.DUMMYFUNCTION("""COMPUTED_VALUE"""),"BAISHAKHI MUKHERJEE")</f>
        <v>BAISHAKHI MUKHERJEE</v>
      </c>
      <c r="Z15" s="21" t="str">
        <f>IFERROR(__xludf.DUMMYFUNCTION("""COMPUTED_VALUE"""),"MOTHER")</f>
        <v>MOTHER</v>
      </c>
      <c r="AA15" s="21" t="str">
        <f>IFERROR(__xludf.DUMMYFUNCTION("""COMPUTED_VALUE"""),"Non-Veg")</f>
        <v>Non-Veg</v>
      </c>
      <c r="AB15" s="21" t="str">
        <f>IFERROR(__xludf.DUMMYFUNCTION("""COMPUTED_VALUE"""),"Non-Veg")</f>
        <v>Non-Veg</v>
      </c>
      <c r="AC15" s="21" t="str">
        <f>IFERROR(__xludf.DUMMYFUNCTION("""COMPUTED_VALUE"""),"Non-Veg")</f>
        <v>Non-Veg</v>
      </c>
      <c r="AD15" s="21" t="str">
        <f>IFERROR(__xludf.DUMMYFUNCTION("""COMPUTED_VALUE"""),"Bus Drop Service not needed")</f>
        <v>Bus Drop Service not needed</v>
      </c>
      <c r="AE15" s="21">
        <f>IFERROR(__xludf.DUMMYFUNCTION("""COMPUTED_VALUE"""),0.0)</f>
        <v>0</v>
      </c>
    </row>
    <row r="16" ht="22.5" customHeight="1">
      <c r="A16" s="18">
        <f>IFERROR(__xludf.DUMMYFUNCTION("""COMPUTED_VALUE"""),46258.7576296412)</f>
        <v>46258.75763</v>
      </c>
      <c r="B16" s="21" t="str">
        <f>IFERROR(__xludf.DUMMYFUNCTION("""COMPUTED_VALUE"""),"aryalekshmi.micro_pgt23@aiimskalyani.edu.in")</f>
        <v>aryalekshmi.micro_pgt23@aiimskalyani.edu.in</v>
      </c>
      <c r="C16" s="21" t="str">
        <f>IFERROR(__xludf.DUMMYFUNCTION("""COMPUTED_VALUE"""),"Dr. ARYALEKSHMI.  P")</f>
        <v>Dr. ARYALEKSHMI.  P</v>
      </c>
      <c r="D16" s="21">
        <f>IFERROR(__xludf.DUMMYFUNCTION("""COMPUTED_VALUE"""),2.0230317E7)</f>
        <v>20230317</v>
      </c>
      <c r="E16" s="21" t="str">
        <f>IFERROR(__xludf.DUMMYFUNCTION("""COMPUTED_VALUE"""),"MD/MS/MDS 2023")</f>
        <v>MD/MS/MDS 2023</v>
      </c>
      <c r="F16" s="21">
        <f>IFERROR(__xludf.DUMMYFUNCTION("""COMPUTED_VALUE"""),8.547621028E9)</f>
        <v>8547621028</v>
      </c>
      <c r="G16" s="21" t="str">
        <f>IFERROR(__xludf.DUMMYFUNCTION("""COMPUTED_VALUE"""),"draryalekshmi.p2020@gmail.com")</f>
        <v>draryalekshmi.p2020@gmail.com</v>
      </c>
      <c r="H16" s="21" t="str">
        <f>IFERROR(__xludf.DUMMYFUNCTION("""COMPUTED_VALUE"""),"Yes")</f>
        <v>Yes</v>
      </c>
      <c r="I16" s="21"/>
      <c r="J16" s="21"/>
      <c r="K16" s="21" t="str">
        <f>IFERROR(__xludf.DUMMYFUNCTION("""COMPUTED_VALUE"""),"Thiruvananthapuram")</f>
        <v>Thiruvananthapuram</v>
      </c>
      <c r="L16" s="22" t="str">
        <f>IFERROR(__xludf.DUMMYFUNCTION("""COMPUTED_VALUE"""),"https://drive.google.com/open?id=1Ve3rgelDyUKPtFnAdnGfSgKUXegGOroA")</f>
        <v>https://drive.google.com/open?id=1Ve3rgelDyUKPtFnAdnGfSgKUXegGOroA</v>
      </c>
      <c r="M16" s="22" t="str">
        <f>IFERROR(__xludf.DUMMYFUNCTION("""COMPUTED_VALUE"""),"https://drive.google.com/open?id=1hs75SNotCZp_qyhtSsg4KkQ1TyUXiwzD")</f>
        <v>https://drive.google.com/open?id=1hs75SNotCZp_qyhtSsg4KkQ1TyUXiwzD</v>
      </c>
      <c r="N16" s="21" t="str">
        <f>IFERROR(__xludf.DUMMYFUNCTION("""COMPUTED_VALUE"""),"K.R. Praveen Kumar ")</f>
        <v>K.R. Praveen Kumar </v>
      </c>
      <c r="O16" s="21" t="str">
        <f>IFERROR(__xludf.DUMMYFUNCTION("""COMPUTED_VALUE""")," Business")</f>
        <v> Business</v>
      </c>
      <c r="P16" s="21" t="str">
        <f>IFERROR(__xludf.DUMMYFUNCTION("""COMPUTED_VALUE"""),"Thiruvananthapuram ")</f>
        <v>Thiruvananthapuram </v>
      </c>
      <c r="Q16" s="21">
        <f>IFERROR(__xludf.DUMMYFUNCTION("""COMPUTED_VALUE"""),8.078178289E9)</f>
        <v>8078178289</v>
      </c>
      <c r="R16" s="21" t="str">
        <f>IFERROR(__xludf.DUMMYFUNCTION("""COMPUTED_VALUE"""),"S. Padmakumari Amma")</f>
        <v>S. Padmakumari Amma</v>
      </c>
      <c r="S16" s="21" t="str">
        <f>IFERROR(__xludf.DUMMYFUNCTION("""COMPUTED_VALUE"""),"Business ")</f>
        <v>Business </v>
      </c>
      <c r="T16" s="21" t="str">
        <f>IFERROR(__xludf.DUMMYFUNCTION("""COMPUTED_VALUE"""),"Thiruvananthapuram ")</f>
        <v>Thiruvananthapuram </v>
      </c>
      <c r="U16" s="21">
        <f>IFERROR(__xludf.DUMMYFUNCTION("""COMPUTED_VALUE"""),9.497639529E9)</f>
        <v>9497639529</v>
      </c>
      <c r="V16" s="21">
        <f>IFERROR(__xludf.DUMMYFUNCTION("""COMPUTED_VALUE"""),2.0)</f>
        <v>2</v>
      </c>
      <c r="W16" s="21" t="str">
        <f>IFERROR(__xludf.DUMMYFUNCTION("""COMPUTED_VALUE"""),"Dr. Kannan. V. B ")</f>
        <v>Dr. Kannan. V. B </v>
      </c>
      <c r="X16" s="21" t="str">
        <f>IFERROR(__xludf.DUMMYFUNCTION("""COMPUTED_VALUE"""),"Husband ")</f>
        <v>Husband </v>
      </c>
      <c r="Y16" s="21" t="str">
        <f>IFERROR(__xludf.DUMMYFUNCTION("""COMPUTED_VALUE"""),"Arjun. V. B")</f>
        <v>Arjun. V. B</v>
      </c>
      <c r="Z16" s="21" t="str">
        <f>IFERROR(__xludf.DUMMYFUNCTION("""COMPUTED_VALUE"""),"Brother ")</f>
        <v>Brother </v>
      </c>
      <c r="AA16" s="21" t="str">
        <f>IFERROR(__xludf.DUMMYFUNCTION("""COMPUTED_VALUE"""),"Non-Veg")</f>
        <v>Non-Veg</v>
      </c>
      <c r="AB16" s="21" t="str">
        <f>IFERROR(__xludf.DUMMYFUNCTION("""COMPUTED_VALUE"""),"Non-Veg")</f>
        <v>Non-Veg</v>
      </c>
      <c r="AC16" s="21" t="str">
        <f>IFERROR(__xludf.DUMMYFUNCTION("""COMPUTED_VALUE"""),"Non-Veg")</f>
        <v>Non-Veg</v>
      </c>
      <c r="AD16" s="21" t="str">
        <f>IFERROR(__xludf.DUMMYFUNCTION("""COMPUTED_VALUE"""),"Bus Drop Service not needed")</f>
        <v>Bus Drop Service not needed</v>
      </c>
      <c r="AE16" s="21">
        <f>IFERROR(__xludf.DUMMYFUNCTION("""COMPUTED_VALUE"""),0.0)</f>
        <v>0</v>
      </c>
    </row>
    <row r="17" ht="22.5" customHeight="1">
      <c r="A17" s="18"/>
    </row>
    <row r="18" ht="22.5" customHeight="1">
      <c r="A18" s="18"/>
    </row>
    <row r="19" ht="22.5" customHeight="1">
      <c r="A19" s="18"/>
    </row>
    <row r="20" ht="22.5" customHeight="1">
      <c r="A20" s="18"/>
    </row>
    <row r="21" ht="22.5" customHeight="1">
      <c r="A21" s="18"/>
    </row>
    <row r="22" ht="22.5" customHeight="1">
      <c r="A22" s="18"/>
    </row>
    <row r="23" ht="22.5" customHeight="1">
      <c r="A23" s="18"/>
    </row>
    <row r="24" ht="22.5" customHeight="1">
      <c r="A24" s="18"/>
    </row>
    <row r="25" ht="22.5" customHeight="1">
      <c r="A25" s="18"/>
    </row>
    <row r="26" ht="22.5" customHeight="1">
      <c r="A26" s="18"/>
    </row>
    <row r="27" ht="22.5" customHeight="1">
      <c r="A27" s="18"/>
    </row>
    <row r="28" ht="22.5" customHeight="1">
      <c r="A28" s="18"/>
    </row>
    <row r="29" ht="22.5" customHeight="1">
      <c r="A29" s="18"/>
    </row>
    <row r="30" ht="22.5" customHeight="1">
      <c r="A30" s="18"/>
    </row>
    <row r="31" ht="22.5" customHeight="1">
      <c r="A31" s="18"/>
    </row>
    <row r="32" ht="22.5" customHeight="1">
      <c r="A32" s="18"/>
    </row>
    <row r="33" ht="22.5" customHeight="1">
      <c r="A33" s="18"/>
    </row>
    <row r="34" ht="22.5" customHeight="1">
      <c r="A34" s="18"/>
    </row>
    <row r="35" ht="22.5" customHeight="1">
      <c r="A35" s="18"/>
    </row>
    <row r="36" ht="22.5" customHeight="1">
      <c r="A36" s="18"/>
    </row>
    <row r="37" ht="22.5" customHeight="1">
      <c r="A37" s="18"/>
    </row>
    <row r="38" ht="22.5" customHeight="1">
      <c r="A38" s="18"/>
    </row>
    <row r="39" ht="22.5" customHeight="1">
      <c r="A39" s="18"/>
    </row>
    <row r="40" ht="22.5" customHeight="1">
      <c r="A40" s="18"/>
    </row>
    <row r="41" ht="22.5" customHeight="1">
      <c r="A41" s="18"/>
    </row>
    <row r="42" ht="22.5" customHeight="1">
      <c r="A42" s="18"/>
    </row>
    <row r="43" ht="22.5" customHeight="1">
      <c r="A43" s="18"/>
    </row>
    <row r="44" ht="22.5" customHeight="1">
      <c r="A44" s="18"/>
    </row>
    <row r="45" ht="22.5" customHeight="1">
      <c r="A45" s="18"/>
    </row>
    <row r="46" ht="22.5" customHeight="1">
      <c r="A46" s="18"/>
    </row>
    <row r="47" ht="22.5" customHeight="1">
      <c r="A47" s="18"/>
    </row>
    <row r="48" ht="22.5" customHeight="1">
      <c r="A48" s="18"/>
    </row>
    <row r="49" ht="22.5" customHeight="1">
      <c r="A49" s="18"/>
    </row>
    <row r="50" ht="22.5" customHeight="1">
      <c r="A50" s="18"/>
    </row>
    <row r="51" ht="22.5" customHeight="1">
      <c r="A51" s="18"/>
    </row>
    <row r="52" ht="22.5" customHeight="1">
      <c r="A52" s="18"/>
    </row>
    <row r="53" ht="22.5" customHeight="1">
      <c r="A53" s="18"/>
    </row>
    <row r="54" ht="22.5" customHeight="1">
      <c r="A54" s="18"/>
    </row>
    <row r="55" ht="22.5" customHeight="1">
      <c r="A55" s="18"/>
    </row>
    <row r="56" ht="22.5" customHeight="1">
      <c r="A56" s="18"/>
    </row>
    <row r="57" ht="22.5" customHeight="1">
      <c r="A57" s="18"/>
    </row>
    <row r="58" ht="22.5" customHeight="1">
      <c r="A58" s="18"/>
    </row>
    <row r="59" ht="22.5" customHeight="1">
      <c r="A59" s="18"/>
    </row>
    <row r="60" ht="22.5" customHeight="1">
      <c r="A60" s="18"/>
    </row>
    <row r="61" ht="22.5" customHeight="1">
      <c r="A61" s="18"/>
    </row>
    <row r="62" ht="22.5" customHeight="1">
      <c r="A62" s="18"/>
    </row>
    <row r="63" ht="22.5" customHeight="1">
      <c r="A63" s="18"/>
    </row>
    <row r="64" ht="22.5" customHeight="1">
      <c r="A64" s="18"/>
    </row>
    <row r="65" ht="22.5" customHeight="1">
      <c r="A65" s="18"/>
    </row>
    <row r="66" ht="22.5" customHeight="1">
      <c r="A66" s="18"/>
    </row>
    <row r="67" ht="22.5" customHeight="1">
      <c r="A67" s="18"/>
    </row>
    <row r="68" ht="22.5" customHeight="1">
      <c r="A68" s="18"/>
    </row>
    <row r="69" ht="22.5" customHeight="1">
      <c r="A69" s="18"/>
    </row>
    <row r="70" ht="22.5" customHeight="1">
      <c r="A70" s="18"/>
    </row>
    <row r="71" ht="22.5" customHeight="1">
      <c r="A71" s="18"/>
    </row>
    <row r="72" ht="22.5" customHeight="1">
      <c r="A72" s="18"/>
    </row>
    <row r="73" ht="22.5" customHeight="1">
      <c r="A73" s="18"/>
    </row>
    <row r="74" ht="22.5" customHeight="1">
      <c r="A74" s="18"/>
    </row>
    <row r="75" ht="22.5" customHeight="1">
      <c r="A75" s="18"/>
    </row>
    <row r="76" ht="22.5" customHeight="1">
      <c r="A76" s="18"/>
    </row>
    <row r="77" ht="22.5" customHeight="1">
      <c r="A77" s="18"/>
    </row>
    <row r="78" ht="22.5" customHeight="1">
      <c r="A78" s="18"/>
    </row>
    <row r="79" ht="22.5" customHeight="1">
      <c r="A79" s="18"/>
    </row>
    <row r="80" ht="22.5" customHeight="1">
      <c r="A80" s="18"/>
    </row>
    <row r="81" ht="22.5" customHeight="1">
      <c r="A81" s="18"/>
    </row>
    <row r="82" ht="22.5" customHeight="1">
      <c r="A82" s="18"/>
    </row>
    <row r="83" ht="22.5" customHeight="1">
      <c r="A83" s="18"/>
    </row>
    <row r="84" ht="22.5" customHeight="1">
      <c r="A84" s="18"/>
    </row>
    <row r="85" ht="22.5" customHeight="1">
      <c r="A85" s="18"/>
    </row>
    <row r="86" ht="22.5" customHeight="1">
      <c r="A86" s="18"/>
    </row>
    <row r="87" ht="22.5" customHeight="1">
      <c r="A87" s="18"/>
    </row>
    <row r="88" ht="22.5" customHeight="1">
      <c r="A88" s="18"/>
    </row>
    <row r="89" ht="22.5" customHeight="1">
      <c r="A89" s="18"/>
    </row>
    <row r="90" ht="22.5" customHeight="1">
      <c r="A90" s="18"/>
    </row>
    <row r="91" ht="22.5" customHeight="1">
      <c r="A91" s="18"/>
    </row>
    <row r="92" ht="22.5" customHeight="1">
      <c r="A92" s="18"/>
    </row>
    <row r="93" ht="22.5" customHeight="1">
      <c r="A93" s="18"/>
    </row>
    <row r="94" ht="22.5" customHeight="1">
      <c r="A94" s="18"/>
    </row>
    <row r="95" ht="22.5" customHeight="1">
      <c r="A95" s="18"/>
    </row>
    <row r="96" ht="22.5" customHeight="1">
      <c r="A96" s="18"/>
    </row>
    <row r="97" ht="22.5" customHeight="1">
      <c r="A97" s="18"/>
    </row>
    <row r="98" ht="22.5" customHeight="1">
      <c r="A98" s="18"/>
    </row>
    <row r="99" ht="22.5" customHeight="1">
      <c r="A99" s="18"/>
    </row>
    <row r="100" ht="22.5" customHeight="1">
      <c r="A100" s="18"/>
    </row>
    <row r="101" ht="22.5" customHeight="1">
      <c r="A101" s="18"/>
    </row>
    <row r="102" ht="22.5" customHeight="1">
      <c r="A102" s="18"/>
    </row>
    <row r="103" ht="22.5" customHeight="1">
      <c r="A103" s="18"/>
    </row>
    <row r="104" ht="22.5" customHeight="1">
      <c r="A104" s="18"/>
    </row>
    <row r="105" ht="22.5" customHeight="1">
      <c r="A105" s="18"/>
    </row>
    <row r="106" ht="22.5" customHeight="1">
      <c r="A106" s="18"/>
    </row>
    <row r="107" ht="22.5" customHeight="1">
      <c r="A107" s="18"/>
    </row>
    <row r="108" ht="22.5" customHeight="1">
      <c r="A108" s="18"/>
    </row>
    <row r="109" ht="22.5" customHeight="1">
      <c r="A109" s="18"/>
    </row>
    <row r="110" ht="22.5" customHeight="1">
      <c r="A110" s="18"/>
    </row>
    <row r="111" ht="22.5" customHeight="1">
      <c r="A111" s="18"/>
    </row>
    <row r="112" ht="22.5" customHeight="1">
      <c r="A112" s="18"/>
    </row>
    <row r="113" ht="22.5" customHeight="1">
      <c r="A113" s="18"/>
    </row>
    <row r="114" ht="22.5" customHeight="1">
      <c r="A114" s="18"/>
    </row>
    <row r="115" ht="22.5" customHeight="1">
      <c r="A115" s="18"/>
    </row>
    <row r="116" ht="22.5" customHeight="1">
      <c r="A116" s="18"/>
    </row>
    <row r="117" ht="22.5" customHeight="1">
      <c r="A117" s="18"/>
    </row>
    <row r="118" ht="22.5" customHeight="1">
      <c r="A118" s="18"/>
    </row>
    <row r="119" ht="22.5" customHeight="1">
      <c r="A119" s="18"/>
    </row>
    <row r="120" ht="22.5" customHeight="1">
      <c r="A120" s="18"/>
    </row>
    <row r="121" ht="22.5" customHeight="1">
      <c r="A121" s="18"/>
    </row>
    <row r="122" ht="22.5" customHeight="1">
      <c r="A122" s="18"/>
    </row>
    <row r="123" ht="22.5" customHeight="1">
      <c r="A123" s="18"/>
    </row>
    <row r="124" ht="22.5" customHeight="1">
      <c r="A124" s="18"/>
    </row>
    <row r="125" ht="22.5" customHeight="1">
      <c r="A125" s="18"/>
    </row>
    <row r="126" ht="22.5" customHeight="1">
      <c r="A126" s="18"/>
    </row>
    <row r="127" ht="22.5" customHeight="1">
      <c r="A127" s="18"/>
    </row>
    <row r="128" ht="22.5" customHeight="1">
      <c r="A128" s="18"/>
    </row>
    <row r="129" ht="22.5" customHeight="1">
      <c r="A129" s="18"/>
    </row>
    <row r="130" ht="22.5" customHeight="1">
      <c r="A130" s="18"/>
    </row>
    <row r="131" ht="22.5" customHeight="1">
      <c r="A131" s="18"/>
    </row>
    <row r="132" ht="22.5" customHeight="1">
      <c r="A132" s="18"/>
    </row>
    <row r="133" ht="22.5" customHeight="1">
      <c r="A133" s="18"/>
    </row>
    <row r="134" ht="22.5" customHeight="1">
      <c r="A134" s="18"/>
    </row>
    <row r="135" ht="22.5" customHeight="1">
      <c r="A135" s="18"/>
    </row>
    <row r="136" ht="22.5" customHeight="1">
      <c r="A136" s="18"/>
    </row>
    <row r="137" ht="22.5" customHeight="1">
      <c r="A137" s="18"/>
    </row>
    <row r="138" ht="22.5" customHeight="1">
      <c r="A138" s="18"/>
    </row>
    <row r="139" ht="22.5" customHeight="1">
      <c r="A139" s="18"/>
    </row>
    <row r="140" ht="22.5" customHeight="1">
      <c r="A140" s="18"/>
    </row>
    <row r="141" ht="22.5" customHeight="1">
      <c r="A141" s="18"/>
    </row>
    <row r="142" ht="22.5" customHeight="1">
      <c r="A142" s="18"/>
    </row>
    <row r="143" ht="22.5" customHeight="1">
      <c r="A143" s="18"/>
    </row>
    <row r="144" ht="22.5" customHeight="1">
      <c r="A144" s="18"/>
    </row>
    <row r="145" ht="22.5" customHeight="1">
      <c r="A145" s="18"/>
    </row>
    <row r="146" ht="22.5" customHeight="1">
      <c r="A146" s="18"/>
    </row>
    <row r="147" ht="22.5" customHeight="1">
      <c r="A147" s="18"/>
    </row>
    <row r="148" ht="22.5" customHeight="1">
      <c r="A148" s="18"/>
    </row>
    <row r="149" ht="22.5" customHeight="1">
      <c r="A149" s="18"/>
    </row>
    <row r="150" ht="22.5" customHeight="1">
      <c r="A150" s="18"/>
    </row>
    <row r="151" ht="22.5" customHeight="1">
      <c r="A151" s="18"/>
    </row>
    <row r="152" ht="22.5" customHeight="1">
      <c r="A152" s="18"/>
    </row>
    <row r="153" ht="22.5" customHeight="1">
      <c r="A153" s="18"/>
    </row>
    <row r="154" ht="22.5" customHeight="1">
      <c r="A154" s="18"/>
    </row>
    <row r="155" ht="22.5" customHeight="1">
      <c r="A155" s="18"/>
    </row>
    <row r="156" ht="22.5" customHeight="1">
      <c r="A156" s="18"/>
    </row>
    <row r="157" ht="22.5" customHeight="1">
      <c r="A157" s="18"/>
    </row>
    <row r="158" ht="22.5" customHeight="1">
      <c r="A158" s="18"/>
    </row>
    <row r="159" ht="22.5" customHeight="1">
      <c r="A159" s="18"/>
    </row>
    <row r="160" ht="22.5" customHeight="1">
      <c r="A160" s="18"/>
    </row>
    <row r="161" ht="22.5" customHeight="1">
      <c r="A161" s="18"/>
    </row>
    <row r="162" ht="22.5" customHeight="1">
      <c r="A162" s="18"/>
    </row>
    <row r="163" ht="22.5" customHeight="1">
      <c r="A163" s="18"/>
    </row>
    <row r="164" ht="22.5" customHeight="1">
      <c r="A164" s="18"/>
    </row>
    <row r="165" ht="22.5" customHeight="1">
      <c r="A165" s="18"/>
    </row>
    <row r="166" ht="22.5" customHeight="1">
      <c r="A166" s="18"/>
    </row>
    <row r="167" ht="22.5" customHeight="1">
      <c r="A167" s="18"/>
    </row>
    <row r="168" ht="22.5" customHeight="1">
      <c r="A168" s="18"/>
    </row>
    <row r="169" ht="22.5" customHeight="1">
      <c r="A169" s="18"/>
    </row>
    <row r="170" ht="22.5" customHeight="1">
      <c r="A170" s="18"/>
    </row>
    <row r="171" ht="22.5" customHeight="1">
      <c r="A171" s="18"/>
    </row>
    <row r="172" ht="22.5" customHeight="1">
      <c r="A172" s="18"/>
    </row>
    <row r="173" ht="22.5" customHeight="1">
      <c r="A173" s="18"/>
    </row>
    <row r="174" ht="22.5" customHeight="1">
      <c r="A174" s="18"/>
    </row>
    <row r="175" ht="22.5" customHeight="1">
      <c r="A175" s="18"/>
    </row>
    <row r="176" ht="22.5" customHeight="1">
      <c r="A176" s="18"/>
    </row>
    <row r="177" ht="22.5" customHeight="1">
      <c r="A177" s="18"/>
    </row>
    <row r="178" ht="22.5" customHeight="1">
      <c r="A178" s="18"/>
    </row>
    <row r="179" ht="22.5" customHeight="1">
      <c r="A179" s="18"/>
    </row>
    <row r="180" ht="22.5" customHeight="1">
      <c r="A180" s="18"/>
    </row>
    <row r="181" ht="22.5" customHeight="1">
      <c r="A181" s="18"/>
    </row>
    <row r="182" ht="22.5" customHeight="1">
      <c r="A182" s="18"/>
    </row>
    <row r="183" ht="22.5" customHeight="1">
      <c r="A183" s="18"/>
    </row>
    <row r="184" ht="22.5" customHeight="1">
      <c r="A184" s="18"/>
    </row>
    <row r="185" ht="22.5" customHeight="1">
      <c r="A185" s="18"/>
    </row>
    <row r="186" ht="22.5" customHeight="1">
      <c r="A186" s="18"/>
    </row>
    <row r="187" ht="22.5" customHeight="1">
      <c r="A187" s="18"/>
    </row>
    <row r="188" ht="22.5" customHeight="1">
      <c r="A188" s="18"/>
    </row>
    <row r="189" ht="22.5" customHeight="1">
      <c r="A189" s="18"/>
    </row>
    <row r="190" ht="22.5" customHeight="1">
      <c r="A190" s="18"/>
    </row>
    <row r="191" ht="22.5" customHeight="1">
      <c r="A191" s="18"/>
    </row>
    <row r="192" ht="22.5" customHeight="1">
      <c r="A192" s="18"/>
    </row>
    <row r="193" ht="22.5" customHeight="1">
      <c r="A193" s="18"/>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s>
  <drawing r:id="rId31"/>
  <tableParts count="1">
    <tablePart r:id="rId3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12" t="s">
        <v>12</v>
      </c>
      <c r="B1" s="12" t="s">
        <v>13</v>
      </c>
      <c r="C1" s="13" t="s">
        <v>14</v>
      </c>
      <c r="D1" s="13" t="s">
        <v>15</v>
      </c>
      <c r="E1" s="12" t="s">
        <v>16</v>
      </c>
      <c r="F1" s="13" t="s">
        <v>17</v>
      </c>
      <c r="G1" s="13" t="s">
        <v>18</v>
      </c>
      <c r="H1" s="13" t="s">
        <v>19</v>
      </c>
      <c r="I1" s="13" t="s">
        <v>20</v>
      </c>
      <c r="J1" s="13" t="s">
        <v>21</v>
      </c>
      <c r="K1" s="13" t="s">
        <v>22</v>
      </c>
      <c r="L1" s="13" t="s">
        <v>23</v>
      </c>
      <c r="M1" s="13" t="s">
        <v>24</v>
      </c>
      <c r="N1" s="13" t="s">
        <v>25</v>
      </c>
      <c r="O1" s="13" t="s">
        <v>26</v>
      </c>
      <c r="P1" s="13" t="s">
        <v>27</v>
      </c>
      <c r="Q1" s="13" t="s">
        <v>28</v>
      </c>
      <c r="R1" s="13" t="s">
        <v>29</v>
      </c>
      <c r="S1" s="12" t="s">
        <v>569</v>
      </c>
      <c r="T1" s="12" t="s">
        <v>571</v>
      </c>
      <c r="U1" s="12" t="s">
        <v>573</v>
      </c>
      <c r="V1" s="13" t="s">
        <v>35</v>
      </c>
      <c r="W1" s="13" t="s">
        <v>37</v>
      </c>
      <c r="X1" s="13" t="s">
        <v>39</v>
      </c>
      <c r="Y1" s="13" t="s">
        <v>41</v>
      </c>
      <c r="Z1" s="13" t="s">
        <v>42</v>
      </c>
      <c r="AA1" s="13" t="s">
        <v>44</v>
      </c>
      <c r="AB1" s="13" t="s">
        <v>45</v>
      </c>
      <c r="AC1" s="13" t="s">
        <v>46</v>
      </c>
      <c r="AD1" s="12" t="s">
        <v>47</v>
      </c>
      <c r="AE1" s="12" t="s">
        <v>48</v>
      </c>
    </row>
    <row r="2" ht="22.5" customHeight="1">
      <c r="A2" s="14">
        <f>IFERROR(__xludf.DUMMYFUNCTION("FILTER(Responses!A2:AE293, (Responses!E2:E293=""B.Sc (Hons) Nursing 2021""))"),46269.758121631945)</f>
        <v>46269.75812</v>
      </c>
      <c r="B2" s="15" t="str">
        <f>IFERROR(__xludf.DUMMYFUNCTION("""COMPUTED_VALUE"""),"soni.bscnursing-2021@aiimskalyani.edu.in")</f>
        <v>soni.bscnursing-2021@aiimskalyani.edu.in</v>
      </c>
      <c r="C2" s="15" t="str">
        <f>IFERROR(__xludf.DUMMYFUNCTION("""COMPUTED_VALUE"""),"SONI KUMARI ")</f>
        <v>SONI KUMARI </v>
      </c>
      <c r="D2" s="15">
        <f>IFERROR(__xludf.DUMMYFUNCTION("""COMPUTED_VALUE"""),2.0210261E7)</f>
        <v>20210261</v>
      </c>
      <c r="E2" s="15" t="str">
        <f>IFERROR(__xludf.DUMMYFUNCTION("""COMPUTED_VALUE"""),"B.Sc (Hons) Nursing 2021")</f>
        <v>B.Sc (Hons) Nursing 2021</v>
      </c>
      <c r="F2" s="15">
        <f>IFERROR(__xludf.DUMMYFUNCTION("""COMPUTED_VALUE"""),9.660339459E9)</f>
        <v>9660339459</v>
      </c>
      <c r="G2" s="15" t="str">
        <f>IFERROR(__xludf.DUMMYFUNCTION("""COMPUTED_VALUE"""),"sahnisoni05@gmail.com")</f>
        <v>sahnisoni05@gmail.com</v>
      </c>
      <c r="H2" s="15" t="str">
        <f>IFERROR(__xludf.DUMMYFUNCTION("""COMPUTED_VALUE"""),"Yes")</f>
        <v>Yes</v>
      </c>
      <c r="I2" s="16" t="str">
        <f>IFERROR(__xludf.DUMMYFUNCTION("""COMPUTED_VALUE"""),"Playing various sports and exploring new places. ")</f>
        <v>Playing various sports and exploring new places. </v>
      </c>
      <c r="J2" s="16" t="str">
        <f>IFERROR(__xludf.DUMMYFUNCTION("""COMPUTED_VALUE"""),"Represented the Bihar Table Tennis Association in competitive events, achieving multiple championship titles across district and inter-school tournaments.
Additionally, secured 1st place in both the Singles and Doubles TT at the College Annual Sports Meet"&amp;".")</f>
        <v>Represented the Bihar Table Tennis Association in competitive events, achieving multiple championship titles across district and inter-school tournaments.
Additionally, secured 1st place in both the Singles and Doubles TT at the College Annual Sports Meet.</v>
      </c>
      <c r="K2" s="15" t="str">
        <f>IFERROR(__xludf.DUMMYFUNCTION("""COMPUTED_VALUE"""),"Patna, Bihar ")</f>
        <v>Patna, Bihar </v>
      </c>
      <c r="L2" s="17" t="str">
        <f>IFERROR(__xludf.DUMMYFUNCTION("""COMPUTED_VALUE"""),"https://drive.google.com/open?id=14Mpb3mx408Fe669jtBDA3eVsM3JQv8Ei")</f>
        <v>https://drive.google.com/open?id=14Mpb3mx408Fe669jtBDA3eVsM3JQv8Ei</v>
      </c>
      <c r="M2" s="17" t="str">
        <f>IFERROR(__xludf.DUMMYFUNCTION("""COMPUTED_VALUE"""),"https://drive.google.com/open?id=1ZXw5JDk3nfR9UiFRHkn90J-K9uCKlxRP")</f>
        <v>https://drive.google.com/open?id=1ZXw5JDk3nfR9UiFRHkn90J-K9uCKlxRP</v>
      </c>
      <c r="N2" s="15" t="str">
        <f>IFERROR(__xludf.DUMMYFUNCTION("""COMPUTED_VALUE"""),"Ramdeo Prasad")</f>
        <v>Ramdeo Prasad</v>
      </c>
      <c r="O2" s="15" t="str">
        <f>IFERROR(__xludf.DUMMYFUNCTION("""COMPUTED_VALUE"""),"Businessman")</f>
        <v>Businessman</v>
      </c>
      <c r="P2" s="15" t="str">
        <f>IFERROR(__xludf.DUMMYFUNCTION("""COMPUTED_VALUE"""),"Patna,Bihar")</f>
        <v>Patna,Bihar</v>
      </c>
      <c r="Q2" s="15">
        <f>IFERROR(__xludf.DUMMYFUNCTION("""COMPUTED_VALUE"""),7.488140191E9)</f>
        <v>7488140191</v>
      </c>
      <c r="R2" s="15" t="str">
        <f>IFERROR(__xludf.DUMMYFUNCTION("""COMPUTED_VALUE"""),"Mira Devi")</f>
        <v>Mira Devi</v>
      </c>
      <c r="S2" s="15" t="str">
        <f>IFERROR(__xludf.DUMMYFUNCTION("""COMPUTED_VALUE"""),"Homemaker ")</f>
        <v>Homemaker </v>
      </c>
      <c r="T2" s="15" t="str">
        <f>IFERROR(__xludf.DUMMYFUNCTION("""COMPUTED_VALUE"""),"Patna, Bihar")</f>
        <v>Patna, Bihar</v>
      </c>
      <c r="U2" s="15">
        <f>IFERROR(__xludf.DUMMYFUNCTION("""COMPUTED_VALUE"""),7.439357998E9)</f>
        <v>7439357998</v>
      </c>
      <c r="V2" s="15">
        <f>IFERROR(__xludf.DUMMYFUNCTION("""COMPUTED_VALUE"""),1.0)</f>
        <v>1</v>
      </c>
      <c r="W2" s="15" t="str">
        <f>IFERROR(__xludf.DUMMYFUNCTION("""COMPUTED_VALUE"""),"ABHAY KUMAR")</f>
        <v>ABHAY KUMAR</v>
      </c>
      <c r="X2" s="15" t="str">
        <f>IFERROR(__xludf.DUMMYFUNCTION("""COMPUTED_VALUE"""),"Brother")</f>
        <v>Brother</v>
      </c>
      <c r="Y2" s="15"/>
      <c r="Z2" s="15"/>
      <c r="AA2" s="15" t="str">
        <f>IFERROR(__xludf.DUMMYFUNCTION("""COMPUTED_VALUE"""),"Non-Veg")</f>
        <v>Non-Veg</v>
      </c>
      <c r="AB2" s="15" t="str">
        <f>IFERROR(__xludf.DUMMYFUNCTION("""COMPUTED_VALUE"""),"Non-Veg")</f>
        <v>Non-Veg</v>
      </c>
      <c r="AC2" s="15"/>
      <c r="AD2" s="15" t="str">
        <f>IFERROR(__xludf.DUMMYFUNCTION("""COMPUTED_VALUE"""),"Bus Drop Service not needed")</f>
        <v>Bus Drop Service not needed</v>
      </c>
      <c r="AE2" s="15"/>
    </row>
    <row r="3" ht="22.5" customHeight="1">
      <c r="A3" s="18">
        <f>IFERROR(__xludf.DUMMYFUNCTION("""COMPUTED_VALUE"""),46269.63215892361)</f>
        <v>46269.63216</v>
      </c>
      <c r="B3" s="21" t="str">
        <f>IFERROR(__xludf.DUMMYFUNCTION("""COMPUTED_VALUE"""),"sonam.bscnursing-2021@aiimskalyani.edu.in")</f>
        <v>sonam.bscnursing-2021@aiimskalyani.edu.in</v>
      </c>
      <c r="C3" s="21" t="str">
        <f>IFERROR(__xludf.DUMMYFUNCTION("""COMPUTED_VALUE"""),"SONAM KUMARI ")</f>
        <v>SONAM KUMARI </v>
      </c>
      <c r="D3" s="21">
        <f>IFERROR(__xludf.DUMMYFUNCTION("""COMPUTED_VALUE"""),2.021025E7)</f>
        <v>20210250</v>
      </c>
      <c r="E3" s="21" t="str">
        <f>IFERROR(__xludf.DUMMYFUNCTION("""COMPUTED_VALUE"""),"B.Sc (Hons) Nursing 2021")</f>
        <v>B.Sc (Hons) Nursing 2021</v>
      </c>
      <c r="F3" s="21">
        <f>IFERROR(__xludf.DUMMYFUNCTION("""COMPUTED_VALUE"""),8.404882688E9)</f>
        <v>8404882688</v>
      </c>
      <c r="G3" s="21" t="str">
        <f>IFERROR(__xludf.DUMMYFUNCTION("""COMPUTED_VALUE"""),"sonamriva20@gmail.com")</f>
        <v>sonamriva20@gmail.com</v>
      </c>
      <c r="H3" s="21" t="str">
        <f>IFERROR(__xludf.DUMMYFUNCTION("""COMPUTED_VALUE"""),"Yes")</f>
        <v>Yes</v>
      </c>
      <c r="I3" s="21" t="str">
        <f>IFERROR(__xludf.DUMMYFUNCTION("""COMPUTED_VALUE"""),"Traveling and photography ")</f>
        <v>Traveling and photography </v>
      </c>
      <c r="J3" s="21" t="str">
        <f>IFERROR(__xludf.DUMMYFUNCTION("""COMPUTED_VALUE"""),"Chess")</f>
        <v>Chess</v>
      </c>
      <c r="K3" s="21" t="str">
        <f>IFERROR(__xludf.DUMMYFUNCTION("""COMPUTED_VALUE"""),"Bhagalpur ")</f>
        <v>Bhagalpur </v>
      </c>
      <c r="L3" s="22" t="str">
        <f>IFERROR(__xludf.DUMMYFUNCTION("""COMPUTED_VALUE"""),"https://drive.google.com/open?id=1HVrHS_D5ahC18Hz1pfvs1DxJc9iE3i90")</f>
        <v>https://drive.google.com/open?id=1HVrHS_D5ahC18Hz1pfvs1DxJc9iE3i90</v>
      </c>
      <c r="M3" s="22" t="str">
        <f>IFERROR(__xludf.DUMMYFUNCTION("""COMPUTED_VALUE"""),"https://drive.google.com/open?id=1sVVHIaGT7Z-sRVXgXVs4t5l8lNrSP3Pe")</f>
        <v>https://drive.google.com/open?id=1sVVHIaGT7Z-sRVXgXVs4t5l8lNrSP3Pe</v>
      </c>
      <c r="N3" s="21" t="str">
        <f>IFERROR(__xludf.DUMMYFUNCTION("""COMPUTED_VALUE"""),"Ranjan Kumar ")</f>
        <v>Ranjan Kumar </v>
      </c>
      <c r="O3" s="21" t="str">
        <f>IFERROR(__xludf.DUMMYFUNCTION("""COMPUTED_VALUE"""),"Businessmen ")</f>
        <v>Businessmen </v>
      </c>
      <c r="P3" s="21" t="str">
        <f>IFERROR(__xludf.DUMMYFUNCTION("""COMPUTED_VALUE"""),"Shahkund ")</f>
        <v>Shahkund </v>
      </c>
      <c r="Q3" s="21">
        <f>IFERROR(__xludf.DUMMYFUNCTION("""COMPUTED_VALUE"""),8.404882688E9)</f>
        <v>8404882688</v>
      </c>
      <c r="R3" s="21" t="str">
        <f>IFERROR(__xludf.DUMMYFUNCTION("""COMPUTED_VALUE"""),"Rani Devi ")</f>
        <v>Rani Devi </v>
      </c>
      <c r="S3" s="21" t="str">
        <f>IFERROR(__xludf.DUMMYFUNCTION("""COMPUTED_VALUE"""),"Homemaker")</f>
        <v>Homemaker</v>
      </c>
      <c r="T3" s="21" t="str">
        <f>IFERROR(__xludf.DUMMYFUNCTION("""COMPUTED_VALUE"""),"Shahkund")</f>
        <v>Shahkund</v>
      </c>
      <c r="U3" s="21">
        <f>IFERROR(__xludf.DUMMYFUNCTION("""COMPUTED_VALUE"""),7.488505863E9)</f>
        <v>7488505863</v>
      </c>
      <c r="V3" s="21">
        <f>IFERROR(__xludf.DUMMYFUNCTION("""COMPUTED_VALUE"""),2.0)</f>
        <v>2</v>
      </c>
      <c r="W3" s="21" t="str">
        <f>IFERROR(__xludf.DUMMYFUNCTION("""COMPUTED_VALUE"""),"Ranjan Kumar ")</f>
        <v>Ranjan Kumar </v>
      </c>
      <c r="X3" s="21" t="str">
        <f>IFERROR(__xludf.DUMMYFUNCTION("""COMPUTED_VALUE"""),"Father")</f>
        <v>Father</v>
      </c>
      <c r="Y3" s="21" t="str">
        <f>IFERROR(__xludf.DUMMYFUNCTION("""COMPUTED_VALUE"""),"Rani Devi ")</f>
        <v>Rani Devi </v>
      </c>
      <c r="Z3" s="21" t="str">
        <f>IFERROR(__xludf.DUMMYFUNCTION("""COMPUTED_VALUE"""),"Mother")</f>
        <v>Mother</v>
      </c>
      <c r="AA3" s="21" t="str">
        <f>IFERROR(__xludf.DUMMYFUNCTION("""COMPUTED_VALUE"""),"Non-Veg")</f>
        <v>Non-Veg</v>
      </c>
      <c r="AB3" s="21" t="str">
        <f>IFERROR(__xludf.DUMMYFUNCTION("""COMPUTED_VALUE"""),"Non-Veg")</f>
        <v>Non-Veg</v>
      </c>
      <c r="AC3" s="21" t="str">
        <f>IFERROR(__xludf.DUMMYFUNCTION("""COMPUTED_VALUE"""),"Veg")</f>
        <v>Veg</v>
      </c>
      <c r="AD3" s="21" t="str">
        <f>IFERROR(__xludf.DUMMYFUNCTION("""COMPUTED_VALUE"""),"Bus Drop Service not needed")</f>
        <v>Bus Drop Service not needed</v>
      </c>
      <c r="AE3" s="21">
        <f>IFERROR(__xludf.DUMMYFUNCTION("""COMPUTED_VALUE"""),0.0)</f>
        <v>0</v>
      </c>
    </row>
    <row r="4" ht="22.5" customHeight="1">
      <c r="A4" s="18">
        <f>IFERROR(__xludf.DUMMYFUNCTION("""COMPUTED_VALUE"""),46268.72020755787)</f>
        <v>46268.72021</v>
      </c>
      <c r="B4" s="21" t="str">
        <f>IFERROR(__xludf.DUMMYFUNCTION("""COMPUTED_VALUE"""),"agnibha.bscnursing-2021@aiimskalyani.edu.in")</f>
        <v>agnibha.bscnursing-2021@aiimskalyani.edu.in</v>
      </c>
      <c r="C4" s="21" t="str">
        <f>IFERROR(__xludf.DUMMYFUNCTION("""COMPUTED_VALUE"""),"AGNIBHA PAUL ")</f>
        <v>AGNIBHA PAUL </v>
      </c>
      <c r="D4" s="21">
        <f>IFERROR(__xludf.DUMMYFUNCTION("""COMPUTED_VALUE"""),2.0210203E7)</f>
        <v>20210203</v>
      </c>
      <c r="E4" s="21" t="str">
        <f>IFERROR(__xludf.DUMMYFUNCTION("""COMPUTED_VALUE"""),"B.Sc (Hons) Nursing 2021")</f>
        <v>B.Sc (Hons) Nursing 2021</v>
      </c>
      <c r="F4" s="21">
        <f>IFERROR(__xludf.DUMMYFUNCTION("""COMPUTED_VALUE"""),6.296247051E9)</f>
        <v>6296247051</v>
      </c>
      <c r="G4" s="21" t="str">
        <f>IFERROR(__xludf.DUMMYFUNCTION("""COMPUTED_VALUE"""),"agnibha.bscnursing-2021@aiimskalyani.edu.in")</f>
        <v>agnibha.bscnursing-2021@aiimskalyani.edu.in</v>
      </c>
      <c r="H4" s="21" t="str">
        <f>IFERROR(__xludf.DUMMYFUNCTION("""COMPUTED_VALUE"""),"Yes")</f>
        <v>Yes</v>
      </c>
      <c r="I4" s="21" t="str">
        <f>IFERROR(__xludf.DUMMYFUNCTION("""COMPUTED_VALUE"""),"Sketching , watching movies ")</f>
        <v>Sketching , watching movies </v>
      </c>
      <c r="J4" s="21"/>
      <c r="K4" s="21" t="str">
        <f>IFERROR(__xludf.DUMMYFUNCTION("""COMPUTED_VALUE"""),"Coochbehar, West Bengal ")</f>
        <v>Coochbehar, West Bengal </v>
      </c>
      <c r="L4" s="22" t="str">
        <f>IFERROR(__xludf.DUMMYFUNCTION("""COMPUTED_VALUE"""),"https://drive.google.com/open?id=14ns53xW0g5r7rsAieCJaIPrfcLHXNG38")</f>
        <v>https://drive.google.com/open?id=14ns53xW0g5r7rsAieCJaIPrfcLHXNG38</v>
      </c>
      <c r="M4" s="22" t="str">
        <f>IFERROR(__xludf.DUMMYFUNCTION("""COMPUTED_VALUE"""),"https://drive.google.com/open?id=1gI65Z8yykq8K_GRtHkP7n8FulaboQPE-")</f>
        <v>https://drive.google.com/open?id=1gI65Z8yykq8K_GRtHkP7n8FulaboQPE-</v>
      </c>
      <c r="N4" s="21" t="str">
        <f>IFERROR(__xludf.DUMMYFUNCTION("""COMPUTED_VALUE"""),"Shyamal Chandra Paul")</f>
        <v>Shyamal Chandra Paul</v>
      </c>
      <c r="O4" s="21" t="str">
        <f>IFERROR(__xludf.DUMMYFUNCTION("""COMPUTED_VALUE"""),"Teacher ")</f>
        <v>Teacher </v>
      </c>
      <c r="P4" s="21" t="str">
        <f>IFERROR(__xludf.DUMMYFUNCTION("""COMPUTED_VALUE"""),"Coochbehar,West Bengal ")</f>
        <v>Coochbehar,West Bengal </v>
      </c>
      <c r="Q4" s="21">
        <f>IFERROR(__xludf.DUMMYFUNCTION("""COMPUTED_VALUE"""),6.29467189E9)</f>
        <v>6294671890</v>
      </c>
      <c r="R4" s="21" t="str">
        <f>IFERROR(__xludf.DUMMYFUNCTION("""COMPUTED_VALUE"""),"Jwelli Basu Paul")</f>
        <v>Jwelli Basu Paul</v>
      </c>
      <c r="S4" s="21" t="str">
        <f>IFERROR(__xludf.DUMMYFUNCTION("""COMPUTED_VALUE"""),"Health worker")</f>
        <v>Health worker</v>
      </c>
      <c r="T4" s="21" t="str">
        <f>IFERROR(__xludf.DUMMYFUNCTION("""COMPUTED_VALUE"""),"Coochbehar, West Bengal ")</f>
        <v>Coochbehar, West Bengal </v>
      </c>
      <c r="U4" s="21">
        <f>IFERROR(__xludf.DUMMYFUNCTION("""COMPUTED_VALUE"""),7.363871933E9)</f>
        <v>7363871933</v>
      </c>
      <c r="V4" s="21">
        <f>IFERROR(__xludf.DUMMYFUNCTION("""COMPUTED_VALUE"""),2.0)</f>
        <v>2</v>
      </c>
      <c r="W4" s="21" t="str">
        <f>IFERROR(__xludf.DUMMYFUNCTION("""COMPUTED_VALUE"""),"1. Shyamal Chandra Paul ")</f>
        <v>1. Shyamal Chandra Paul </v>
      </c>
      <c r="X4" s="21" t="str">
        <f>IFERROR(__xludf.DUMMYFUNCTION("""COMPUTED_VALUE"""),"Father")</f>
        <v>Father</v>
      </c>
      <c r="Y4" s="21" t="str">
        <f>IFERROR(__xludf.DUMMYFUNCTION("""COMPUTED_VALUE"""),"Jwelli Basu Paul ")</f>
        <v>Jwelli Basu Paul </v>
      </c>
      <c r="Z4" s="21" t="str">
        <f>IFERROR(__xludf.DUMMYFUNCTION("""COMPUTED_VALUE"""),"Mother")</f>
        <v>Mother</v>
      </c>
      <c r="AA4" s="21" t="str">
        <f>IFERROR(__xludf.DUMMYFUNCTION("""COMPUTED_VALUE"""),"Veg")</f>
        <v>Veg</v>
      </c>
      <c r="AB4" s="21" t="str">
        <f>IFERROR(__xludf.DUMMYFUNCTION("""COMPUTED_VALUE"""),"Non-Veg")</f>
        <v>Non-Veg</v>
      </c>
      <c r="AC4" s="21" t="str">
        <f>IFERROR(__xludf.DUMMYFUNCTION("""COMPUTED_VALUE"""),"Non-Veg")</f>
        <v>Non-Veg</v>
      </c>
      <c r="AD4" s="21" t="str">
        <f>IFERROR(__xludf.DUMMYFUNCTION("""COMPUTED_VALUE"""),"Bus Drop Service not needed")</f>
        <v>Bus Drop Service not needed</v>
      </c>
      <c r="AE4" s="21">
        <f>IFERROR(__xludf.DUMMYFUNCTION("""COMPUTED_VALUE"""),0.0)</f>
        <v>0</v>
      </c>
    </row>
    <row r="5" ht="22.5" customHeight="1">
      <c r="A5" s="18">
        <f>IFERROR(__xludf.DUMMYFUNCTION("""COMPUTED_VALUE"""),46266.86402688657)</f>
        <v>46266.86403</v>
      </c>
      <c r="B5" s="21" t="str">
        <f>IFERROR(__xludf.DUMMYFUNCTION("""COMPUTED_VALUE"""),"sanandaavidipta@gmail.com")</f>
        <v>sanandaavidipta@gmail.com</v>
      </c>
      <c r="C5" s="21" t="str">
        <f>IFERROR(__xludf.DUMMYFUNCTION("""COMPUTED_VALUE"""),"SANANDA DAS")</f>
        <v>SANANDA DAS</v>
      </c>
      <c r="D5" s="21">
        <f>IFERROR(__xludf.DUMMYFUNCTION("""COMPUTED_VALUE"""),2.0210244E7)</f>
        <v>20210244</v>
      </c>
      <c r="E5" s="21" t="str">
        <f>IFERROR(__xludf.DUMMYFUNCTION("""COMPUTED_VALUE"""),"B.Sc (Hons) Nursing 2021")</f>
        <v>B.Sc (Hons) Nursing 2021</v>
      </c>
      <c r="F5" s="21">
        <f>IFERROR(__xludf.DUMMYFUNCTION("""COMPUTED_VALUE"""),9.330715505E9)</f>
        <v>9330715505</v>
      </c>
      <c r="G5" s="21" t="str">
        <f>IFERROR(__xludf.DUMMYFUNCTION("""COMPUTED_VALUE"""),"sanandaavidipta@gmail.com")</f>
        <v>sanandaavidipta@gmail.com</v>
      </c>
      <c r="H5" s="21" t="str">
        <f>IFERROR(__xludf.DUMMYFUNCTION("""COMPUTED_VALUE"""),"Yes")</f>
        <v>Yes</v>
      </c>
      <c r="I5" s="21" t="str">
        <f>IFERROR(__xludf.DUMMYFUNCTION("""COMPUTED_VALUE"""),"Listening music ")</f>
        <v>Listening music </v>
      </c>
      <c r="J5" s="21"/>
      <c r="K5" s="21" t="str">
        <f>IFERROR(__xludf.DUMMYFUNCTION("""COMPUTED_VALUE"""),"TARAKESWAR ")</f>
        <v>TARAKESWAR </v>
      </c>
      <c r="L5" s="22" t="str">
        <f>IFERROR(__xludf.DUMMYFUNCTION("""COMPUTED_VALUE"""),"https://drive.google.com/open?id=1q7vxH_QYaEU34MHppSGzd3NaWZVy8P2T")</f>
        <v>https://drive.google.com/open?id=1q7vxH_QYaEU34MHppSGzd3NaWZVy8P2T</v>
      </c>
      <c r="M5" s="22" t="str">
        <f>IFERROR(__xludf.DUMMYFUNCTION("""COMPUTED_VALUE"""),"https://drive.google.com/open?id=1X-UOXjb8Wn9jTSc3KAMcoMLGo_4sEAiO")</f>
        <v>https://drive.google.com/open?id=1X-UOXjb8Wn9jTSc3KAMcoMLGo_4sEAiO</v>
      </c>
      <c r="N5" s="21" t="str">
        <f>IFERROR(__xludf.DUMMYFUNCTION("""COMPUTED_VALUE"""),"Sushanta Das ")</f>
        <v>Sushanta Das </v>
      </c>
      <c r="O5" s="21" t="str">
        <f>IFERROR(__xludf.DUMMYFUNCTION("""COMPUTED_VALUE"""),"Retired Army person ")</f>
        <v>Retired Army person </v>
      </c>
      <c r="P5" s="21" t="str">
        <f>IFERROR(__xludf.DUMMYFUNCTION("""COMPUTED_VALUE"""),"TARAKESWAR ")</f>
        <v>TARAKESWAR </v>
      </c>
      <c r="Q5" s="21">
        <f>IFERROR(__xludf.DUMMYFUNCTION("""COMPUTED_VALUE"""),6.284416397E9)</f>
        <v>6284416397</v>
      </c>
      <c r="R5" s="21" t="str">
        <f>IFERROR(__xludf.DUMMYFUNCTION("""COMPUTED_VALUE"""),"Piyali Das")</f>
        <v>Piyali Das</v>
      </c>
      <c r="S5" s="21" t="str">
        <f>IFERROR(__xludf.DUMMYFUNCTION("""COMPUTED_VALUE"""),"House wife ")</f>
        <v>House wife </v>
      </c>
      <c r="T5" s="21" t="str">
        <f>IFERROR(__xludf.DUMMYFUNCTION("""COMPUTED_VALUE"""),"TARAKESWAR ")</f>
        <v>TARAKESWAR </v>
      </c>
      <c r="U5" s="21">
        <f>IFERROR(__xludf.DUMMYFUNCTION("""COMPUTED_VALUE"""),8.910037049E9)</f>
        <v>8910037049</v>
      </c>
      <c r="V5" s="21">
        <f>IFERROR(__xludf.DUMMYFUNCTION("""COMPUTED_VALUE"""),2.0)</f>
        <v>2</v>
      </c>
      <c r="W5" s="21" t="str">
        <f>IFERROR(__xludf.DUMMYFUNCTION("""COMPUTED_VALUE"""),"Sushanta Das ")</f>
        <v>Sushanta Das </v>
      </c>
      <c r="X5" s="21" t="str">
        <f>IFERROR(__xludf.DUMMYFUNCTION("""COMPUTED_VALUE"""),"Father ")</f>
        <v>Father </v>
      </c>
      <c r="Y5" s="21" t="str">
        <f>IFERROR(__xludf.DUMMYFUNCTION("""COMPUTED_VALUE"""),"Piyali Das ")</f>
        <v>Piyali Das </v>
      </c>
      <c r="Z5" s="21" t="str">
        <f>IFERROR(__xludf.DUMMYFUNCTION("""COMPUTED_VALUE"""),"Mother ")</f>
        <v>Mother </v>
      </c>
      <c r="AA5" s="21" t="str">
        <f>IFERROR(__xludf.DUMMYFUNCTION("""COMPUTED_VALUE"""),"Non-Veg")</f>
        <v>Non-Veg</v>
      </c>
      <c r="AB5" s="21" t="str">
        <f>IFERROR(__xludf.DUMMYFUNCTION("""COMPUTED_VALUE"""),"Non-Veg")</f>
        <v>Non-Veg</v>
      </c>
      <c r="AC5" s="21" t="str">
        <f>IFERROR(__xludf.DUMMYFUNCTION("""COMPUTED_VALUE"""),"Non-Veg")</f>
        <v>Non-Veg</v>
      </c>
      <c r="AD5" s="21" t="str">
        <f>IFERROR(__xludf.DUMMYFUNCTION("""COMPUTED_VALUE"""),"Drop at Kalyani Railway Station")</f>
        <v>Drop at Kalyani Railway Station</v>
      </c>
      <c r="AE5" s="21">
        <f>IFERROR(__xludf.DUMMYFUNCTION("""COMPUTED_VALUE"""),3.0)</f>
        <v>3</v>
      </c>
    </row>
    <row r="6" ht="22.5" customHeight="1">
      <c r="A6" s="18">
        <f>IFERROR(__xludf.DUMMYFUNCTION("""COMPUTED_VALUE"""),46266.66389927083)</f>
        <v>46266.6639</v>
      </c>
      <c r="B6" s="21" t="str">
        <f>IFERROR(__xludf.DUMMYFUNCTION("""COMPUTED_VALUE"""),"mobina.bscnursing-2021@aiimskalyani.edu.in")</f>
        <v>mobina.bscnursing-2021@aiimskalyani.edu.in</v>
      </c>
      <c r="C6" s="21" t="str">
        <f>IFERROR(__xludf.DUMMYFUNCTION("""COMPUTED_VALUE"""),"MOBINA PARVEEN ")</f>
        <v>MOBINA PARVEEN </v>
      </c>
      <c r="D6" s="21">
        <f>IFERROR(__xludf.DUMMYFUNCTION("""COMPUTED_VALUE"""),2.0210224E7)</f>
        <v>20210224</v>
      </c>
      <c r="E6" s="21" t="str">
        <f>IFERROR(__xludf.DUMMYFUNCTION("""COMPUTED_VALUE"""),"B.Sc (Hons) Nursing 2021")</f>
        <v>B.Sc (Hons) Nursing 2021</v>
      </c>
      <c r="F6" s="21">
        <f>IFERROR(__xludf.DUMMYFUNCTION("""COMPUTED_VALUE"""),9.593972644E9)</f>
        <v>9593972644</v>
      </c>
      <c r="G6" s="21" t="str">
        <f>IFERROR(__xludf.DUMMYFUNCTION("""COMPUTED_VALUE"""),"mobinaparveen12@gmail.com")</f>
        <v>mobinaparveen12@gmail.com</v>
      </c>
      <c r="H6" s="21" t="str">
        <f>IFERROR(__xludf.DUMMYFUNCTION("""COMPUTED_VALUE"""),"Yes")</f>
        <v>Yes</v>
      </c>
      <c r="I6" s="21" t="str">
        <f>IFERROR(__xludf.DUMMYFUNCTION("""COMPUTED_VALUE"""),"Cooking ")</f>
        <v>Cooking </v>
      </c>
      <c r="J6" s="21" t="str">
        <f>IFERROR(__xludf.DUMMYFUNCTION("""COMPUTED_VALUE"""),"Work as a organiser in poster competition ")</f>
        <v>Work as a organiser in poster competition </v>
      </c>
      <c r="K6" s="21" t="str">
        <f>IFERROR(__xludf.DUMMYFUNCTION("""COMPUTED_VALUE"""),"West bengal ")</f>
        <v>West bengal </v>
      </c>
      <c r="L6" s="22" t="str">
        <f>IFERROR(__xludf.DUMMYFUNCTION("""COMPUTED_VALUE"""),"https://drive.google.com/open?id=1PrxEnyumEcEKeHNEIieeKLWD7GBxKFFZ")</f>
        <v>https://drive.google.com/open?id=1PrxEnyumEcEKeHNEIieeKLWD7GBxKFFZ</v>
      </c>
      <c r="M6" s="22" t="str">
        <f>IFERROR(__xludf.DUMMYFUNCTION("""COMPUTED_VALUE"""),"https://drive.google.com/open?id=1idiuvmOFbXcY0TIpPj8RQpAiwxjxYWvp")</f>
        <v>https://drive.google.com/open?id=1idiuvmOFbXcY0TIpPj8RQpAiwxjxYWvp</v>
      </c>
      <c r="N6" s="21" t="str">
        <f>IFERROR(__xludf.DUMMYFUNCTION("""COMPUTED_VALUE"""),"Sk mahammad ali")</f>
        <v>Sk mahammad ali</v>
      </c>
      <c r="O6" s="21" t="str">
        <f>IFERROR(__xludf.DUMMYFUNCTION("""COMPUTED_VALUE"""),"Farmer")</f>
        <v>Farmer</v>
      </c>
      <c r="P6" s="21" t="str">
        <f>IFERROR(__xludf.DUMMYFUNCTION("""COMPUTED_VALUE"""),"West Bengal ")</f>
        <v>West Bengal </v>
      </c>
      <c r="Q6" s="21">
        <f>IFERROR(__xludf.DUMMYFUNCTION("""COMPUTED_VALUE"""),9.735127557E9)</f>
        <v>9735127557</v>
      </c>
      <c r="R6" s="21" t="str">
        <f>IFERROR(__xludf.DUMMYFUNCTION("""COMPUTED_VALUE"""),"Jahuran bibi")</f>
        <v>Jahuran bibi</v>
      </c>
      <c r="S6" s="21" t="str">
        <f>IFERROR(__xludf.DUMMYFUNCTION("""COMPUTED_VALUE"""),"House wife")</f>
        <v>House wife</v>
      </c>
      <c r="T6" s="21" t="str">
        <f>IFERROR(__xludf.DUMMYFUNCTION("""COMPUTED_VALUE"""),"West Bengal ")</f>
        <v>West Bengal </v>
      </c>
      <c r="U6" s="21">
        <f>IFERROR(__xludf.DUMMYFUNCTION("""COMPUTED_VALUE"""),9.735127557E9)</f>
        <v>9735127557</v>
      </c>
      <c r="V6" s="21">
        <f>IFERROR(__xludf.DUMMYFUNCTION("""COMPUTED_VALUE"""),2.0)</f>
        <v>2</v>
      </c>
      <c r="W6" s="21" t="str">
        <f>IFERROR(__xludf.DUMMYFUNCTION("""COMPUTED_VALUE"""),"Sk Mahammad ali")</f>
        <v>Sk Mahammad ali</v>
      </c>
      <c r="X6" s="21" t="str">
        <f>IFERROR(__xludf.DUMMYFUNCTION("""COMPUTED_VALUE"""),"Father")</f>
        <v>Father</v>
      </c>
      <c r="Y6" s="21" t="str">
        <f>IFERROR(__xludf.DUMMYFUNCTION("""COMPUTED_VALUE"""),"Mobina parveen")</f>
        <v>Mobina parveen</v>
      </c>
      <c r="Z6" s="21" t="str">
        <f>IFERROR(__xludf.DUMMYFUNCTION("""COMPUTED_VALUE"""),"Mother")</f>
        <v>Mother</v>
      </c>
      <c r="AA6" s="21" t="str">
        <f>IFERROR(__xludf.DUMMYFUNCTION("""COMPUTED_VALUE"""),"Non-Veg")</f>
        <v>Non-Veg</v>
      </c>
      <c r="AB6" s="21" t="str">
        <f>IFERROR(__xludf.DUMMYFUNCTION("""COMPUTED_VALUE"""),"Non-Veg")</f>
        <v>Non-Veg</v>
      </c>
      <c r="AC6" s="21" t="str">
        <f>IFERROR(__xludf.DUMMYFUNCTION("""COMPUTED_VALUE"""),"Non-Veg")</f>
        <v>Non-Veg</v>
      </c>
      <c r="AD6" s="21" t="str">
        <f>IFERROR(__xludf.DUMMYFUNCTION("""COMPUTED_VALUE"""),"Bus Drop Service not needed")</f>
        <v>Bus Drop Service not needed</v>
      </c>
      <c r="AE6" s="21">
        <f>IFERROR(__xludf.DUMMYFUNCTION("""COMPUTED_VALUE"""),0.0)</f>
        <v>0</v>
      </c>
    </row>
    <row r="7" ht="22.5" customHeight="1">
      <c r="A7" s="18">
        <f>IFERROR(__xludf.DUMMYFUNCTION("""COMPUTED_VALUE"""),46265.74408037037)</f>
        <v>46265.74408</v>
      </c>
      <c r="B7" s="21" t="str">
        <f>IFERROR(__xludf.DUMMYFUNCTION("""COMPUTED_VALUE"""),"mohua.bscnursing-2021@aiimskalyani.edu.in")</f>
        <v>mohua.bscnursing-2021@aiimskalyani.edu.in</v>
      </c>
      <c r="C7" s="21" t="str">
        <f>IFERROR(__xludf.DUMMYFUNCTION("""COMPUTED_VALUE"""),"MOHUA KHATUN ")</f>
        <v>MOHUA KHATUN </v>
      </c>
      <c r="D7" s="21">
        <f>IFERROR(__xludf.DUMMYFUNCTION("""COMPUTED_VALUE"""),2.0210225E7)</f>
        <v>20210225</v>
      </c>
      <c r="E7" s="21" t="str">
        <f>IFERROR(__xludf.DUMMYFUNCTION("""COMPUTED_VALUE"""),"B.Sc (Hons) Nursing 2021")</f>
        <v>B.Sc (Hons) Nursing 2021</v>
      </c>
      <c r="F7" s="21">
        <f>IFERROR(__xludf.DUMMYFUNCTION("""COMPUTED_VALUE"""),7.074559669E9)</f>
        <v>7074559669</v>
      </c>
      <c r="G7" s="21" t="str">
        <f>IFERROR(__xludf.DUMMYFUNCTION("""COMPUTED_VALUE"""),"mohua.bscnursing-2021@aiimskalyani.edu.in")</f>
        <v>mohua.bscnursing-2021@aiimskalyani.edu.in</v>
      </c>
      <c r="H7" s="21" t="str">
        <f>IFERROR(__xludf.DUMMYFUNCTION("""COMPUTED_VALUE"""),"Yes")</f>
        <v>Yes</v>
      </c>
      <c r="I7" s="21" t="str">
        <f>IFERROR(__xludf.DUMMYFUNCTION("""COMPUTED_VALUE"""),"Gardening,Cooking,Spending time with family and friends
")</f>
        <v>Gardening,Cooking,Spending time with family and friends
</v>
      </c>
      <c r="J7" s="21" t="str">
        <f>IFERROR(__xludf.DUMMYFUNCTION("""COMPUTED_VALUE"""),"Health Convener of CON, Aiims Kalyani ")</f>
        <v>Health Convener of CON, Aiims Kalyani </v>
      </c>
      <c r="K7" s="21" t="str">
        <f>IFERROR(__xludf.DUMMYFUNCTION("""COMPUTED_VALUE"""),"Arambagh, Hooghly, West Bengal")</f>
        <v>Arambagh, Hooghly, West Bengal</v>
      </c>
      <c r="L7" s="22" t="str">
        <f>IFERROR(__xludf.DUMMYFUNCTION("""COMPUTED_VALUE"""),"https://drive.google.com/open?id=1jg--PfomRC8U5u4fxaR52oQRHrvm3LhQ")</f>
        <v>https://drive.google.com/open?id=1jg--PfomRC8U5u4fxaR52oQRHrvm3LhQ</v>
      </c>
      <c r="M7" s="22" t="str">
        <f>IFERROR(__xludf.DUMMYFUNCTION("""COMPUTED_VALUE"""),"https://drive.google.com/open?id=15DqgMzqxVTeyVlE8ii224-5hgM0RqaHD")</f>
        <v>https://drive.google.com/open?id=15DqgMzqxVTeyVlE8ii224-5hgM0RqaHD</v>
      </c>
      <c r="N7" s="21" t="str">
        <f>IFERROR(__xludf.DUMMYFUNCTION("""COMPUTED_VALUE"""),"Sk Manuar Ali")</f>
        <v>Sk Manuar Ali</v>
      </c>
      <c r="O7" s="21" t="str">
        <f>IFERROR(__xludf.DUMMYFUNCTION("""COMPUTED_VALUE"""),"Embroidery Worker")</f>
        <v>Embroidery Worker</v>
      </c>
      <c r="P7" s="21" t="str">
        <f>IFERROR(__xludf.DUMMYFUNCTION("""COMPUTED_VALUE"""),"Arambagh, Hooghly, West Bengal ")</f>
        <v>Arambagh, Hooghly, West Bengal </v>
      </c>
      <c r="Q7" s="21">
        <f>IFERROR(__xludf.DUMMYFUNCTION("""COMPUTED_VALUE"""),7.986006157E9)</f>
        <v>7986006157</v>
      </c>
      <c r="R7" s="21" t="str">
        <f>IFERROR(__xludf.DUMMYFUNCTION("""COMPUTED_VALUE"""),"Abeda Begam")</f>
        <v>Abeda Begam</v>
      </c>
      <c r="S7" s="21" t="str">
        <f>IFERROR(__xludf.DUMMYFUNCTION("""COMPUTED_VALUE"""),"Housewife ")</f>
        <v>Housewife </v>
      </c>
      <c r="T7" s="21" t="str">
        <f>IFERROR(__xludf.DUMMYFUNCTION("""COMPUTED_VALUE"""),"Arambagh, Hooghly, West Bengal ")</f>
        <v>Arambagh, Hooghly, West Bengal </v>
      </c>
      <c r="U7" s="21">
        <f>IFERROR(__xludf.DUMMYFUNCTION("""COMPUTED_VALUE"""),9.749952213E9)</f>
        <v>9749952213</v>
      </c>
      <c r="V7" s="21">
        <f>IFERROR(__xludf.DUMMYFUNCTION("""COMPUTED_VALUE"""),2.0)</f>
        <v>2</v>
      </c>
      <c r="W7" s="21" t="str">
        <f>IFERROR(__xludf.DUMMYFUNCTION("""COMPUTED_VALUE"""),"Abeda Begam ")</f>
        <v>Abeda Begam </v>
      </c>
      <c r="X7" s="21" t="str">
        <f>IFERROR(__xludf.DUMMYFUNCTION("""COMPUTED_VALUE"""),"Mother ")</f>
        <v>Mother </v>
      </c>
      <c r="Y7" s="21" t="str">
        <f>IFERROR(__xludf.DUMMYFUNCTION("""COMPUTED_VALUE"""),"Mabuda Begam")</f>
        <v>Mabuda Begam</v>
      </c>
      <c r="Z7" s="21" t="str">
        <f>IFERROR(__xludf.DUMMYFUNCTION("""COMPUTED_VALUE"""),"Aunty ")</f>
        <v>Aunty </v>
      </c>
      <c r="AA7" s="21" t="str">
        <f>IFERROR(__xludf.DUMMYFUNCTION("""COMPUTED_VALUE"""),"Veg")</f>
        <v>Veg</v>
      </c>
      <c r="AB7" s="21" t="str">
        <f>IFERROR(__xludf.DUMMYFUNCTION("""COMPUTED_VALUE"""),"Veg")</f>
        <v>Veg</v>
      </c>
      <c r="AC7" s="21" t="str">
        <f>IFERROR(__xludf.DUMMYFUNCTION("""COMPUTED_VALUE"""),"Veg")</f>
        <v>Veg</v>
      </c>
      <c r="AD7" s="21" t="str">
        <f>IFERROR(__xludf.DUMMYFUNCTION("""COMPUTED_VALUE"""),"Bus Drop Service not needed")</f>
        <v>Bus Drop Service not needed</v>
      </c>
      <c r="AE7" s="21">
        <f>IFERROR(__xludf.DUMMYFUNCTION("""COMPUTED_VALUE"""),0.0)</f>
        <v>0</v>
      </c>
    </row>
    <row r="8" ht="22.5" customHeight="1">
      <c r="A8" s="18">
        <f>IFERROR(__xludf.DUMMYFUNCTION("""COMPUTED_VALUE"""),46265.74221628472)</f>
        <v>46265.74222</v>
      </c>
      <c r="B8" s="21" t="str">
        <f>IFERROR(__xludf.DUMMYFUNCTION("""COMPUTED_VALUE"""),"neha.bscnursing-2021@aiimskalyani.edu.in")</f>
        <v>neha.bscnursing-2021@aiimskalyani.edu.in</v>
      </c>
      <c r="C8" s="21" t="str">
        <f>IFERROR(__xludf.DUMMYFUNCTION("""COMPUTED_VALUE"""),"Neha Bharti")</f>
        <v>Neha Bharti</v>
      </c>
      <c r="D8" s="21">
        <f>IFERROR(__xludf.DUMMYFUNCTION("""COMPUTED_VALUE"""),2.0210231E7)</f>
        <v>20210231</v>
      </c>
      <c r="E8" s="21" t="str">
        <f>IFERROR(__xludf.DUMMYFUNCTION("""COMPUTED_VALUE"""),"B.Sc (Hons) Nursing 2021")</f>
        <v>B.Sc (Hons) Nursing 2021</v>
      </c>
      <c r="F8" s="21">
        <f>IFERROR(__xludf.DUMMYFUNCTION("""COMPUTED_VALUE"""),9.534028858E9)</f>
        <v>9534028858</v>
      </c>
      <c r="G8" s="21" t="str">
        <f>IFERROR(__xludf.DUMMYFUNCTION("""COMPUTED_VALUE"""),"nehabharti8257@gmail.com")</f>
        <v>nehabharti8257@gmail.com</v>
      </c>
      <c r="H8" s="21" t="str">
        <f>IFERROR(__xludf.DUMMYFUNCTION("""COMPUTED_VALUE"""),"Yes")</f>
        <v>Yes</v>
      </c>
      <c r="I8" s="21" t="str">
        <f>IFERROR(__xludf.DUMMYFUNCTION("""COMPUTED_VALUE"""),"Like to read books,play badminton ")</f>
        <v>Like to read books,play badminton </v>
      </c>
      <c r="J8" s="21" t="str">
        <f>IFERROR(__xludf.DUMMYFUNCTION("""COMPUTED_VALUE"""),"Have achieved medals and certificates for several games in college fest")</f>
        <v>Have achieved medals and certificates for several games in college fest</v>
      </c>
      <c r="K8" s="21" t="str">
        <f>IFERROR(__xludf.DUMMYFUNCTION("""COMPUTED_VALUE"""),"Bihar ")</f>
        <v>Bihar </v>
      </c>
      <c r="L8" s="22" t="str">
        <f>IFERROR(__xludf.DUMMYFUNCTION("""COMPUTED_VALUE"""),"https://drive.google.com/open?id=1LhzzXJs-UnohE681HgwaOAw45n28JXz3")</f>
        <v>https://drive.google.com/open?id=1LhzzXJs-UnohE681HgwaOAw45n28JXz3</v>
      </c>
      <c r="M8" s="22" t="str">
        <f>IFERROR(__xludf.DUMMYFUNCTION("""COMPUTED_VALUE"""),"https://drive.google.com/open?id=1UZx222ibsk9zHzcsDK6VCCTTZCDJYoi0")</f>
        <v>https://drive.google.com/open?id=1UZx222ibsk9zHzcsDK6VCCTTZCDJYoi0</v>
      </c>
      <c r="N8" s="21" t="str">
        <f>IFERROR(__xludf.DUMMYFUNCTION("""COMPUTED_VALUE"""),"Sanjay Kumar Singh ")</f>
        <v>Sanjay Kumar Singh </v>
      </c>
      <c r="O8" s="21" t="str">
        <f>IFERROR(__xludf.DUMMYFUNCTION("""COMPUTED_VALUE"""),"Retired Army Officer ")</f>
        <v>Retired Army Officer </v>
      </c>
      <c r="P8" s="21" t="str">
        <f>IFERROR(__xludf.DUMMYFUNCTION("""COMPUTED_VALUE"""),"Kolkata")</f>
        <v>Kolkata</v>
      </c>
      <c r="Q8" s="21">
        <f>IFERROR(__xludf.DUMMYFUNCTION("""COMPUTED_VALUE"""),9.760320316E9)</f>
        <v>9760320316</v>
      </c>
      <c r="R8" s="21" t="str">
        <f>IFERROR(__xludf.DUMMYFUNCTION("""COMPUTED_VALUE"""),"Pratima singh")</f>
        <v>Pratima singh</v>
      </c>
      <c r="S8" s="21" t="str">
        <f>IFERROR(__xludf.DUMMYFUNCTION("""COMPUTED_VALUE"""),"Homemaker")</f>
        <v>Homemaker</v>
      </c>
      <c r="T8" s="21" t="str">
        <f>IFERROR(__xludf.DUMMYFUNCTION("""COMPUTED_VALUE"""),"Kolkata")</f>
        <v>Kolkata</v>
      </c>
      <c r="U8" s="21">
        <f>IFERROR(__xludf.DUMMYFUNCTION("""COMPUTED_VALUE"""),9.699868646E9)</f>
        <v>9699868646</v>
      </c>
      <c r="V8" s="21">
        <f>IFERROR(__xludf.DUMMYFUNCTION("""COMPUTED_VALUE"""),0.0)</f>
        <v>0</v>
      </c>
      <c r="W8" s="21"/>
      <c r="X8" s="21"/>
      <c r="Y8" s="21"/>
      <c r="Z8" s="21"/>
      <c r="AA8" s="21" t="str">
        <f>IFERROR(__xludf.DUMMYFUNCTION("""COMPUTED_VALUE"""),"Non-Veg")</f>
        <v>Non-Veg</v>
      </c>
      <c r="AB8" s="21"/>
      <c r="AC8" s="21"/>
      <c r="AD8" s="21" t="str">
        <f>IFERROR(__xludf.DUMMYFUNCTION("""COMPUTED_VALUE"""),"Bus Drop Service not needed")</f>
        <v>Bus Drop Service not needed</v>
      </c>
      <c r="AE8" s="21">
        <f>IFERROR(__xludf.DUMMYFUNCTION("""COMPUTED_VALUE"""),0.0)</f>
        <v>0</v>
      </c>
    </row>
    <row r="9" ht="22.5" customHeight="1">
      <c r="A9" s="18">
        <f>IFERROR(__xludf.DUMMYFUNCTION("""COMPUTED_VALUE"""),46265.716470266205)</f>
        <v>46265.71647</v>
      </c>
      <c r="B9" s="21" t="str">
        <f>IFERROR(__xludf.DUMMYFUNCTION("""COMPUTED_VALUE"""),"nargisbanu004@gmail.com")</f>
        <v>nargisbanu004@gmail.com</v>
      </c>
      <c r="C9" s="21" t="str">
        <f>IFERROR(__xludf.DUMMYFUNCTION("""COMPUTED_VALUE"""),"NARGIS BANU")</f>
        <v>NARGIS BANU</v>
      </c>
      <c r="D9" s="21">
        <f>IFERROR(__xludf.DUMMYFUNCTION("""COMPUTED_VALUE"""),2.021023E7)</f>
        <v>20210230</v>
      </c>
      <c r="E9" s="21" t="str">
        <f>IFERROR(__xludf.DUMMYFUNCTION("""COMPUTED_VALUE"""),"B.Sc (Hons) Nursing 2021")</f>
        <v>B.Sc (Hons) Nursing 2021</v>
      </c>
      <c r="F9" s="21">
        <f>IFERROR(__xludf.DUMMYFUNCTION("""COMPUTED_VALUE"""),7.501758665E9)</f>
        <v>7501758665</v>
      </c>
      <c r="G9" s="21" t="str">
        <f>IFERROR(__xludf.DUMMYFUNCTION("""COMPUTED_VALUE"""),"nargisbanu004@gmail.com")</f>
        <v>nargisbanu004@gmail.com</v>
      </c>
      <c r="H9" s="21" t="str">
        <f>IFERROR(__xludf.DUMMYFUNCTION("""COMPUTED_VALUE"""),"Yes")</f>
        <v>Yes</v>
      </c>
      <c r="I9" s="21" t="str">
        <f>IFERROR(__xludf.DUMMYFUNCTION("""COMPUTED_VALUE"""),"Gardening ")</f>
        <v>Gardening </v>
      </c>
      <c r="J9" s="21" t="str">
        <f>IFERROR(__xludf.DUMMYFUNCTION("""COMPUTED_VALUE"""),"Cricket ")</f>
        <v>Cricket </v>
      </c>
      <c r="K9" s="21" t="str">
        <f>IFERROR(__xludf.DUMMYFUNCTION("""COMPUTED_VALUE"""),"Uttar Dinajpur ")</f>
        <v>Uttar Dinajpur </v>
      </c>
      <c r="L9" s="22" t="str">
        <f>IFERROR(__xludf.DUMMYFUNCTION("""COMPUTED_VALUE"""),"https://drive.google.com/open?id=14IGg4zMswkm243qLG6lAuHvHj7PTfs92")</f>
        <v>https://drive.google.com/open?id=14IGg4zMswkm243qLG6lAuHvHj7PTfs92</v>
      </c>
      <c r="M9" s="22" t="str">
        <f>IFERROR(__xludf.DUMMYFUNCTION("""COMPUTED_VALUE"""),"https://drive.google.com/open?id=15U1aWPkjU2mlNHMOjUQn8KDcDguBn5cq")</f>
        <v>https://drive.google.com/open?id=15U1aWPkjU2mlNHMOjUQn8KDcDguBn5cq</v>
      </c>
      <c r="N9" s="21" t="str">
        <f>IFERROR(__xludf.DUMMYFUNCTION("""COMPUTED_VALUE"""),"Nasim akhter ")</f>
        <v>Nasim akhter </v>
      </c>
      <c r="O9" s="21" t="str">
        <f>IFERROR(__xludf.DUMMYFUNCTION("""COMPUTED_VALUE"""),"Farmer ")</f>
        <v>Farmer </v>
      </c>
      <c r="P9" s="21" t="str">
        <f>IFERROR(__xludf.DUMMYFUNCTION("""COMPUTED_VALUE"""),"Goagaon ")</f>
        <v>Goagaon </v>
      </c>
      <c r="Q9" s="21">
        <f>IFERROR(__xludf.DUMMYFUNCTION("""COMPUTED_VALUE"""),9.002210945E9)</f>
        <v>9002210945</v>
      </c>
      <c r="R9" s="21" t="str">
        <f>IFERROR(__xludf.DUMMYFUNCTION("""COMPUTED_VALUE"""),"Najma khatun")</f>
        <v>Najma khatun</v>
      </c>
      <c r="S9" s="21" t="str">
        <f>IFERROR(__xludf.DUMMYFUNCTION("""COMPUTED_VALUE"""),"Housewife ")</f>
        <v>Housewife </v>
      </c>
      <c r="T9" s="21" t="str">
        <f>IFERROR(__xludf.DUMMYFUNCTION("""COMPUTED_VALUE"""),"Goagaon ")</f>
        <v>Goagaon </v>
      </c>
      <c r="U9" s="21">
        <f>IFERROR(__xludf.DUMMYFUNCTION("""COMPUTED_VALUE"""),8.250597108E9)</f>
        <v>8250597108</v>
      </c>
      <c r="V9" s="21">
        <f>IFERROR(__xludf.DUMMYFUNCTION("""COMPUTED_VALUE"""),2.0)</f>
        <v>2</v>
      </c>
      <c r="W9" s="21" t="str">
        <f>IFERROR(__xludf.DUMMYFUNCTION("""COMPUTED_VALUE"""),"Nasim Akhter ")</f>
        <v>Nasim Akhter </v>
      </c>
      <c r="X9" s="21" t="str">
        <f>IFERROR(__xludf.DUMMYFUNCTION("""COMPUTED_VALUE"""),"Father ")</f>
        <v>Father </v>
      </c>
      <c r="Y9" s="21" t="str">
        <f>IFERROR(__xludf.DUMMYFUNCTION("""COMPUTED_VALUE"""),"Nasima Khatun ")</f>
        <v>Nasima Khatun </v>
      </c>
      <c r="Z9" s="21" t="str">
        <f>IFERROR(__xludf.DUMMYFUNCTION("""COMPUTED_VALUE"""),"Sister ")</f>
        <v>Sister </v>
      </c>
      <c r="AA9" s="21" t="str">
        <f>IFERROR(__xludf.DUMMYFUNCTION("""COMPUTED_VALUE"""),"Non-Veg")</f>
        <v>Non-Veg</v>
      </c>
      <c r="AB9" s="21" t="str">
        <f>IFERROR(__xludf.DUMMYFUNCTION("""COMPUTED_VALUE"""),"Non-Veg")</f>
        <v>Non-Veg</v>
      </c>
      <c r="AC9" s="21" t="str">
        <f>IFERROR(__xludf.DUMMYFUNCTION("""COMPUTED_VALUE"""),"Non-Veg")</f>
        <v>Non-Veg</v>
      </c>
      <c r="AD9" s="21" t="str">
        <f>IFERROR(__xludf.DUMMYFUNCTION("""COMPUTED_VALUE"""),"Drop at Kalyani Railway Station")</f>
        <v>Drop at Kalyani Railway Station</v>
      </c>
      <c r="AE9" s="21">
        <f>IFERROR(__xludf.DUMMYFUNCTION("""COMPUTED_VALUE"""),3.0)</f>
        <v>3</v>
      </c>
    </row>
    <row r="10" ht="22.5" customHeight="1">
      <c r="A10" s="18">
        <f>IFERROR(__xludf.DUMMYFUNCTION("""COMPUTED_VALUE"""),46265.3801097338)</f>
        <v>46265.38011</v>
      </c>
      <c r="B10" s="21" t="str">
        <f>IFERROR(__xludf.DUMMYFUNCTION("""COMPUTED_VALUE"""),"pinki.bscnursing-2021@aiimskalyani.edu.in")</f>
        <v>pinki.bscnursing-2021@aiimskalyani.edu.in</v>
      </c>
      <c r="C10" s="21" t="str">
        <f>IFERROR(__xludf.DUMMYFUNCTION("""COMPUTED_VALUE"""),"Pinki Sharma ")</f>
        <v>Pinki Sharma </v>
      </c>
      <c r="D10" s="21">
        <f>IFERROR(__xludf.DUMMYFUNCTION("""COMPUTED_VALUE"""),2.0210235E7)</f>
        <v>20210235</v>
      </c>
      <c r="E10" s="21" t="str">
        <f>IFERROR(__xludf.DUMMYFUNCTION("""COMPUTED_VALUE"""),"B.Sc (Hons) Nursing 2021")</f>
        <v>B.Sc (Hons) Nursing 2021</v>
      </c>
      <c r="F10" s="21">
        <f>IFERROR(__xludf.DUMMYFUNCTION("""COMPUTED_VALUE"""),9.667437706E9)</f>
        <v>9667437706</v>
      </c>
      <c r="G10" s="21" t="str">
        <f>IFERROR(__xludf.DUMMYFUNCTION("""COMPUTED_VALUE"""),"pinkisharma.sant1996@gmail.com")</f>
        <v>pinkisharma.sant1996@gmail.com</v>
      </c>
      <c r="H10" s="21" t="str">
        <f>IFERROR(__xludf.DUMMYFUNCTION("""COMPUTED_VALUE"""),"Yes")</f>
        <v>Yes</v>
      </c>
      <c r="I10" s="21" t="str">
        <f>IFERROR(__xludf.DUMMYFUNCTION("""COMPUTED_VALUE"""),"Readings Books, Dancing, playing badminton and chess")</f>
        <v>Readings Books, Dancing, playing badminton and chess</v>
      </c>
      <c r="J10" s="21" t="str">
        <f>IFERROR(__xludf.DUMMYFUNCTION("""COMPUTED_VALUE"""),"Badminton, carrom board, throw ball, volleyball. ")</f>
        <v>Badminton, carrom board, throw ball, volleyball. </v>
      </c>
      <c r="K10" s="21" t="str">
        <f>IFERROR(__xludf.DUMMYFUNCTION("""COMPUTED_VALUE"""),"Delhi")</f>
        <v>Delhi</v>
      </c>
      <c r="L10" s="22" t="str">
        <f>IFERROR(__xludf.DUMMYFUNCTION("""COMPUTED_VALUE"""),"https://drive.google.com/open?id=1XKI2Baf5gNkEr1iZrUKPaRUYFstDA3Qt")</f>
        <v>https://drive.google.com/open?id=1XKI2Baf5gNkEr1iZrUKPaRUYFstDA3Qt</v>
      </c>
      <c r="M10" s="22" t="str">
        <f>IFERROR(__xludf.DUMMYFUNCTION("""COMPUTED_VALUE"""),"https://drive.google.com/open?id=1IBGikWQEp1XJ6egww1BRi--KEzxk-557")</f>
        <v>https://drive.google.com/open?id=1IBGikWQEp1XJ6egww1BRi--KEzxk-557</v>
      </c>
      <c r="N10" s="21" t="str">
        <f>IFERROR(__xludf.DUMMYFUNCTION("""COMPUTED_VALUE"""),"Mr. Inderlal Sharma ")</f>
        <v>Mr. Inderlal Sharma </v>
      </c>
      <c r="O10" s="21" t="str">
        <f>IFERROR(__xludf.DUMMYFUNCTION("""COMPUTED_VALUE"""),"NA")</f>
        <v>NA</v>
      </c>
      <c r="P10" s="21" t="str">
        <f>IFERROR(__xludf.DUMMYFUNCTION("""COMPUTED_VALUE"""),"NA")</f>
        <v>NA</v>
      </c>
      <c r="Q10" s="21">
        <f>IFERROR(__xludf.DUMMYFUNCTION("""COMPUTED_VALUE"""),9.718560787E9)</f>
        <v>9718560787</v>
      </c>
      <c r="R10" s="21" t="str">
        <f>IFERROR(__xludf.DUMMYFUNCTION("""COMPUTED_VALUE"""),"Mrs. Santoshi Devi ")</f>
        <v>Mrs. Santoshi Devi </v>
      </c>
      <c r="S10" s="21" t="str">
        <f>IFERROR(__xludf.DUMMYFUNCTION("""COMPUTED_VALUE"""),"NA")</f>
        <v>NA</v>
      </c>
      <c r="T10" s="21" t="str">
        <f>IFERROR(__xludf.DUMMYFUNCTION("""COMPUTED_VALUE"""),"NA")</f>
        <v>NA</v>
      </c>
      <c r="U10" s="21">
        <f>IFERROR(__xludf.DUMMYFUNCTION("""COMPUTED_VALUE"""),9.718560787E9)</f>
        <v>9718560787</v>
      </c>
      <c r="V10" s="21">
        <f>IFERROR(__xludf.DUMMYFUNCTION("""COMPUTED_VALUE"""),2.0)</f>
        <v>2</v>
      </c>
      <c r="W10" s="21" t="str">
        <f>IFERROR(__xludf.DUMMYFUNCTION("""COMPUTED_VALUE"""),"Ms. Babita ")</f>
        <v>Ms. Babita </v>
      </c>
      <c r="X10" s="21" t="str">
        <f>IFERROR(__xludf.DUMMYFUNCTION("""COMPUTED_VALUE"""),"Sister ")</f>
        <v>Sister </v>
      </c>
      <c r="Y10" s="21" t="str">
        <f>IFERROR(__xludf.DUMMYFUNCTION("""COMPUTED_VALUE"""),"Mr. Birendra Sharma ")</f>
        <v>Mr. Birendra Sharma </v>
      </c>
      <c r="Z10" s="21" t="str">
        <f>IFERROR(__xludf.DUMMYFUNCTION("""COMPUTED_VALUE"""),"Uncle ")</f>
        <v>Uncle </v>
      </c>
      <c r="AA10" s="21" t="str">
        <f>IFERROR(__xludf.DUMMYFUNCTION("""COMPUTED_VALUE"""),"Veg")</f>
        <v>Veg</v>
      </c>
      <c r="AB10" s="21" t="str">
        <f>IFERROR(__xludf.DUMMYFUNCTION("""COMPUTED_VALUE"""),"Veg")</f>
        <v>Veg</v>
      </c>
      <c r="AC10" s="21" t="str">
        <f>IFERROR(__xludf.DUMMYFUNCTION("""COMPUTED_VALUE"""),"Veg")</f>
        <v>Veg</v>
      </c>
      <c r="AD10" s="21" t="str">
        <f>IFERROR(__xludf.DUMMYFUNCTION("""COMPUTED_VALUE"""),"Bus Drop Service not needed")</f>
        <v>Bus Drop Service not needed</v>
      </c>
      <c r="AE10" s="21">
        <f>IFERROR(__xludf.DUMMYFUNCTION("""COMPUTED_VALUE"""),0.0)</f>
        <v>0</v>
      </c>
    </row>
    <row r="11" ht="22.5" customHeight="1">
      <c r="A11" s="18">
        <f>IFERROR(__xludf.DUMMYFUNCTION("""COMPUTED_VALUE"""),46265.33354774305)</f>
        <v>46265.33355</v>
      </c>
      <c r="B11" s="21" t="str">
        <f>IFERROR(__xludf.DUMMYFUNCTION("""COMPUTED_VALUE"""),"ayantika.bscnursing-2021@aiimskalyani.edu.in")</f>
        <v>ayantika.bscnursing-2021@aiimskalyani.edu.in</v>
      </c>
      <c r="C11" s="21" t="str">
        <f>IFERROR(__xludf.DUMMYFUNCTION("""COMPUTED_VALUE"""),"AYANTIKA HALDER ")</f>
        <v>AYANTIKA HALDER </v>
      </c>
      <c r="D11" s="21">
        <f>IFERROR(__xludf.DUMMYFUNCTION("""COMPUTED_VALUE"""),2.0210206E7)</f>
        <v>20210206</v>
      </c>
      <c r="E11" s="21" t="str">
        <f>IFERROR(__xludf.DUMMYFUNCTION("""COMPUTED_VALUE"""),"B.Sc (Hons) Nursing 2021")</f>
        <v>B.Sc (Hons) Nursing 2021</v>
      </c>
      <c r="F11" s="21">
        <f>IFERROR(__xludf.DUMMYFUNCTION("""COMPUTED_VALUE"""),7.81081631E9)</f>
        <v>7810816310</v>
      </c>
      <c r="G11" s="21" t="str">
        <f>IFERROR(__xludf.DUMMYFUNCTION("""COMPUTED_VALUE"""),"halderayantika834@gmail.com")</f>
        <v>halderayantika834@gmail.com</v>
      </c>
      <c r="H11" s="21" t="str">
        <f>IFERROR(__xludf.DUMMYFUNCTION("""COMPUTED_VALUE"""),"Yes")</f>
        <v>Yes</v>
      </c>
      <c r="I11" s="21" t="str">
        <f>IFERROR(__xludf.DUMMYFUNCTION("""COMPUTED_VALUE"""),"Love to dance and enjoy reading novels ")</f>
        <v>Love to dance and enjoy reading novels </v>
      </c>
      <c r="J11" s="21"/>
      <c r="K11" s="21" t="str">
        <f>IFERROR(__xludf.DUMMYFUNCTION("""COMPUTED_VALUE"""),"Bongaon")</f>
        <v>Bongaon</v>
      </c>
      <c r="L11" s="22" t="str">
        <f>IFERROR(__xludf.DUMMYFUNCTION("""COMPUTED_VALUE"""),"https://drive.google.com/open?id=1iMoknamzIQ9diAvGFUIaGMMJery5lbRU")</f>
        <v>https://drive.google.com/open?id=1iMoknamzIQ9diAvGFUIaGMMJery5lbRU</v>
      </c>
      <c r="M11" s="22" t="str">
        <f>IFERROR(__xludf.DUMMYFUNCTION("""COMPUTED_VALUE"""),"https://drive.google.com/open?id=1-d9UM3yHrHbdgzbXE3mwQ3JHXULrUIMX")</f>
        <v>https://drive.google.com/open?id=1-d9UM3yHrHbdgzbXE3mwQ3JHXULrUIMX</v>
      </c>
      <c r="N11" s="21" t="str">
        <f>IFERROR(__xludf.DUMMYFUNCTION("""COMPUTED_VALUE"""),"Kartik Halder ")</f>
        <v>Kartik Halder </v>
      </c>
      <c r="O11" s="21" t="str">
        <f>IFERROR(__xludf.DUMMYFUNCTION("""COMPUTED_VALUE"""),"Teacher ")</f>
        <v>Teacher </v>
      </c>
      <c r="P11" s="21" t="str">
        <f>IFERROR(__xludf.DUMMYFUNCTION("""COMPUTED_VALUE"""),"Bongaon ")</f>
        <v>Bongaon </v>
      </c>
      <c r="Q11" s="21">
        <f>IFERROR(__xludf.DUMMYFUNCTION("""COMPUTED_VALUE"""),8.967582609E9)</f>
        <v>8967582609</v>
      </c>
      <c r="R11" s="21" t="str">
        <f>IFERROR(__xludf.DUMMYFUNCTION("""COMPUTED_VALUE"""),"Sangita Halder ")</f>
        <v>Sangita Halder </v>
      </c>
      <c r="S11" s="21" t="str">
        <f>IFERROR(__xludf.DUMMYFUNCTION("""COMPUTED_VALUE"""),"Homemaker ")</f>
        <v>Homemaker </v>
      </c>
      <c r="T11" s="21" t="str">
        <f>IFERROR(__xludf.DUMMYFUNCTION("""COMPUTED_VALUE"""),"Bongaon ")</f>
        <v>Bongaon </v>
      </c>
      <c r="U11" s="21">
        <f>IFERROR(__xludf.DUMMYFUNCTION("""COMPUTED_VALUE"""),8.967488416E9)</f>
        <v>8967488416</v>
      </c>
      <c r="V11" s="21">
        <f>IFERROR(__xludf.DUMMYFUNCTION("""COMPUTED_VALUE"""),2.0)</f>
        <v>2</v>
      </c>
      <c r="W11" s="21" t="str">
        <f>IFERROR(__xludf.DUMMYFUNCTION("""COMPUTED_VALUE"""),"Kartik Halder ")</f>
        <v>Kartik Halder </v>
      </c>
      <c r="X11" s="21" t="str">
        <f>IFERROR(__xludf.DUMMYFUNCTION("""COMPUTED_VALUE"""),"Father ")</f>
        <v>Father </v>
      </c>
      <c r="Y11" s="21" t="str">
        <f>IFERROR(__xludf.DUMMYFUNCTION("""COMPUTED_VALUE"""),"Sangita Halder ")</f>
        <v>Sangita Halder </v>
      </c>
      <c r="Z11" s="21" t="str">
        <f>IFERROR(__xludf.DUMMYFUNCTION("""COMPUTED_VALUE"""),"Mother ")</f>
        <v>Mother </v>
      </c>
      <c r="AA11" s="21" t="str">
        <f>IFERROR(__xludf.DUMMYFUNCTION("""COMPUTED_VALUE"""),"Non-Veg")</f>
        <v>Non-Veg</v>
      </c>
      <c r="AB11" s="21" t="str">
        <f>IFERROR(__xludf.DUMMYFUNCTION("""COMPUTED_VALUE"""),"Non-Veg")</f>
        <v>Non-Veg</v>
      </c>
      <c r="AC11" s="21" t="str">
        <f>IFERROR(__xludf.DUMMYFUNCTION("""COMPUTED_VALUE"""),"Non-Veg")</f>
        <v>Non-Veg</v>
      </c>
      <c r="AD11" s="21" t="str">
        <f>IFERROR(__xludf.DUMMYFUNCTION("""COMPUTED_VALUE"""),"Bus Drop Service not needed")</f>
        <v>Bus Drop Service not needed</v>
      </c>
      <c r="AE11" s="21">
        <f>IFERROR(__xludf.DUMMYFUNCTION("""COMPUTED_VALUE"""),0.0)</f>
        <v>0</v>
      </c>
    </row>
    <row r="12" ht="22.5" customHeight="1">
      <c r="A12" s="18">
        <f>IFERROR(__xludf.DUMMYFUNCTION("""COMPUTED_VALUE"""),46264.98457273148)</f>
        <v>46264.98457</v>
      </c>
      <c r="B12" s="21" t="str">
        <f>IFERROR(__xludf.DUMMYFUNCTION("""COMPUTED_VALUE"""),"anjali.bscnursing-2021@aiimskalyani.edu.in")</f>
        <v>anjali.bscnursing-2021@aiimskalyani.edu.in</v>
      </c>
      <c r="C12" s="21" t="str">
        <f>IFERROR(__xludf.DUMMYFUNCTION("""COMPUTED_VALUE"""),"ANJALI KUMARI")</f>
        <v>ANJALI KUMARI</v>
      </c>
      <c r="D12" s="21">
        <f>IFERROR(__xludf.DUMMYFUNCTION("""COMPUTED_VALUE"""),2.0210204E7)</f>
        <v>20210204</v>
      </c>
      <c r="E12" s="21" t="str">
        <f>IFERROR(__xludf.DUMMYFUNCTION("""COMPUTED_VALUE"""),"B.Sc (Hons) Nursing 2021")</f>
        <v>B.Sc (Hons) Nursing 2021</v>
      </c>
      <c r="F12" s="21">
        <f>IFERROR(__xludf.DUMMYFUNCTION("""COMPUTED_VALUE"""),9.523587958E9)</f>
        <v>9523587958</v>
      </c>
      <c r="G12" s="21" t="str">
        <f>IFERROR(__xludf.DUMMYFUNCTION("""COMPUTED_VALUE"""),"anjalisingh11sep2001@gmail.com")</f>
        <v>anjalisingh11sep2001@gmail.com</v>
      </c>
      <c r="H12" s="21" t="str">
        <f>IFERROR(__xludf.DUMMYFUNCTION("""COMPUTED_VALUE"""),"Yes")</f>
        <v>Yes</v>
      </c>
      <c r="I12" s="21" t="str">
        <f>IFERROR(__xludf.DUMMYFUNCTION("""COMPUTED_VALUE"""),"Reading books and painting ")</f>
        <v>Reading books and painting </v>
      </c>
      <c r="J12" s="21" t="str">
        <f>IFERROR(__xludf.DUMMYFUNCTION("""COMPUTED_VALUE"""),"Carrom, Volleyball ")</f>
        <v>Carrom, Volleyball </v>
      </c>
      <c r="K12" s="21" t="str">
        <f>IFERROR(__xludf.DUMMYFUNCTION("""COMPUTED_VALUE"""),"Bihar ")</f>
        <v>Bihar </v>
      </c>
      <c r="L12" s="22" t="str">
        <f>IFERROR(__xludf.DUMMYFUNCTION("""COMPUTED_VALUE"""),"https://drive.google.com/open?id=18qTxgoPcgHKpjZUqm_zKFQRr7h56xlqj")</f>
        <v>https://drive.google.com/open?id=18qTxgoPcgHKpjZUqm_zKFQRr7h56xlqj</v>
      </c>
      <c r="M12" s="22" t="str">
        <f>IFERROR(__xludf.DUMMYFUNCTION("""COMPUTED_VALUE"""),"https://drive.google.com/open?id=13To9-uDGcU_enaXCXy7MM_U0asbIeV6H")</f>
        <v>https://drive.google.com/open?id=13To9-uDGcU_enaXCXy7MM_U0asbIeV6H</v>
      </c>
      <c r="N12" s="21" t="str">
        <f>IFERROR(__xludf.DUMMYFUNCTION("""COMPUTED_VALUE"""),"Bhagwan Singh ")</f>
        <v>Bhagwan Singh </v>
      </c>
      <c r="O12" s="21" t="str">
        <f>IFERROR(__xludf.DUMMYFUNCTION("""COMPUTED_VALUE"""),"Buisness man ")</f>
        <v>Buisness man </v>
      </c>
      <c r="P12" s="21" t="str">
        <f>IFERROR(__xludf.DUMMYFUNCTION("""COMPUTED_VALUE"""),"Patna")</f>
        <v>Patna</v>
      </c>
      <c r="Q12" s="21">
        <f>IFERROR(__xludf.DUMMYFUNCTION("""COMPUTED_VALUE"""),9.931002109E9)</f>
        <v>9931002109</v>
      </c>
      <c r="R12" s="21" t="str">
        <f>IFERROR(__xludf.DUMMYFUNCTION("""COMPUTED_VALUE"""),"Pramila Devi ")</f>
        <v>Pramila Devi </v>
      </c>
      <c r="S12" s="21" t="str">
        <f>IFERROR(__xludf.DUMMYFUNCTION("""COMPUTED_VALUE"""),"House wife ")</f>
        <v>House wife </v>
      </c>
      <c r="T12" s="21" t="str">
        <f>IFERROR(__xludf.DUMMYFUNCTION("""COMPUTED_VALUE"""),"Patna")</f>
        <v>Patna</v>
      </c>
      <c r="U12" s="21">
        <f>IFERROR(__xludf.DUMMYFUNCTION("""COMPUTED_VALUE"""),9.065901034E9)</f>
        <v>9065901034</v>
      </c>
      <c r="V12" s="21">
        <f>IFERROR(__xludf.DUMMYFUNCTION("""COMPUTED_VALUE"""),2.0)</f>
        <v>2</v>
      </c>
      <c r="W12" s="21" t="str">
        <f>IFERROR(__xludf.DUMMYFUNCTION("""COMPUTED_VALUE"""),"Bhagwan Singh ")</f>
        <v>Bhagwan Singh </v>
      </c>
      <c r="X12" s="21" t="str">
        <f>IFERROR(__xludf.DUMMYFUNCTION("""COMPUTED_VALUE"""),"Father ")</f>
        <v>Father </v>
      </c>
      <c r="Y12" s="21" t="str">
        <f>IFERROR(__xludf.DUMMYFUNCTION("""COMPUTED_VALUE"""),"Pramila Devi ")</f>
        <v>Pramila Devi </v>
      </c>
      <c r="Z12" s="21" t="str">
        <f>IFERROR(__xludf.DUMMYFUNCTION("""COMPUTED_VALUE"""),"Mother ")</f>
        <v>Mother </v>
      </c>
      <c r="AA12" s="21" t="str">
        <f>IFERROR(__xludf.DUMMYFUNCTION("""COMPUTED_VALUE"""),"Veg")</f>
        <v>Veg</v>
      </c>
      <c r="AB12" s="21" t="str">
        <f>IFERROR(__xludf.DUMMYFUNCTION("""COMPUTED_VALUE"""),"Veg")</f>
        <v>Veg</v>
      </c>
      <c r="AC12" s="21" t="str">
        <f>IFERROR(__xludf.DUMMYFUNCTION("""COMPUTED_VALUE"""),"Veg")</f>
        <v>Veg</v>
      </c>
      <c r="AD12" s="21" t="str">
        <f>IFERROR(__xludf.DUMMYFUNCTION("""COMPUTED_VALUE"""),"Bus Drop Service not needed")</f>
        <v>Bus Drop Service not needed</v>
      </c>
      <c r="AE12" s="21">
        <f>IFERROR(__xludf.DUMMYFUNCTION("""COMPUTED_VALUE"""),0.0)</f>
        <v>0</v>
      </c>
    </row>
    <row r="13" ht="22.5" customHeight="1">
      <c r="A13" s="18">
        <f>IFERROR(__xludf.DUMMYFUNCTION("""COMPUTED_VALUE"""),46264.938354363425)</f>
        <v>46264.93835</v>
      </c>
      <c r="B13" s="21" t="str">
        <f>IFERROR(__xludf.DUMMYFUNCTION("""COMPUTED_VALUE"""),"madhurima.bscnursing-2021@aiimskalyani.edu.in")</f>
        <v>madhurima.bscnursing-2021@aiimskalyani.edu.in</v>
      </c>
      <c r="C13" s="21" t="str">
        <f>IFERROR(__xludf.DUMMYFUNCTION("""COMPUTED_VALUE"""),"MADHURIMA PAL")</f>
        <v>MADHURIMA PAL</v>
      </c>
      <c r="D13" s="21">
        <f>IFERROR(__xludf.DUMMYFUNCTION("""COMPUTED_VALUE"""),2.0210219E7)</f>
        <v>20210219</v>
      </c>
      <c r="E13" s="21" t="str">
        <f>IFERROR(__xludf.DUMMYFUNCTION("""COMPUTED_VALUE"""),"B.Sc (Hons) Nursing 2021")</f>
        <v>B.Sc (Hons) Nursing 2021</v>
      </c>
      <c r="F13" s="21">
        <f>IFERROR(__xludf.DUMMYFUNCTION("""COMPUTED_VALUE"""),7.076867322E9)</f>
        <v>7076867322</v>
      </c>
      <c r="G13" s="21" t="str">
        <f>IFERROR(__xludf.DUMMYFUNCTION("""COMPUTED_VALUE"""),"pal.madhurima2002@gmail.com")</f>
        <v>pal.madhurima2002@gmail.com</v>
      </c>
      <c r="H13" s="21" t="str">
        <f>IFERROR(__xludf.DUMMYFUNCTION("""COMPUTED_VALUE"""),"Yes")</f>
        <v>Yes</v>
      </c>
      <c r="I13" s="21"/>
      <c r="J13" s="21"/>
      <c r="K13" s="21" t="str">
        <f>IFERROR(__xludf.DUMMYFUNCTION("""COMPUTED_VALUE"""),"Nagarukhra, Nadia")</f>
        <v>Nagarukhra, Nadia</v>
      </c>
      <c r="L13" s="22" t="str">
        <f>IFERROR(__xludf.DUMMYFUNCTION("""COMPUTED_VALUE"""),"https://drive.google.com/open?id=1-A24FxicSu6TlZgRzkvmjZ-h3EaKAQRB")</f>
        <v>https://drive.google.com/open?id=1-A24FxicSu6TlZgRzkvmjZ-h3EaKAQRB</v>
      </c>
      <c r="M13" s="22" t="str">
        <f>IFERROR(__xludf.DUMMYFUNCTION("""COMPUTED_VALUE"""),"https://drive.google.com/open?id=1OCIzAgg3HrveRAvtpQ02ud9VHzxivlLu")</f>
        <v>https://drive.google.com/open?id=1OCIzAgg3HrveRAvtpQ02ud9VHzxivlLu</v>
      </c>
      <c r="N13" s="21" t="str">
        <f>IFERROR(__xludf.DUMMYFUNCTION("""COMPUTED_VALUE"""),"Kartick Pal")</f>
        <v>Kartick Pal</v>
      </c>
      <c r="O13" s="21" t="str">
        <f>IFERROR(__xludf.DUMMYFUNCTION("""COMPUTED_VALUE"""),"Teacher (retired)")</f>
        <v>Teacher (retired)</v>
      </c>
      <c r="P13" s="21" t="str">
        <f>IFERROR(__xludf.DUMMYFUNCTION("""COMPUTED_VALUE"""),"Nagarukhra, Nadia")</f>
        <v>Nagarukhra, Nadia</v>
      </c>
      <c r="Q13" s="21">
        <f>IFERROR(__xludf.DUMMYFUNCTION("""COMPUTED_VALUE"""),9.734824034E9)</f>
        <v>9734824034</v>
      </c>
      <c r="R13" s="21" t="str">
        <f>IFERROR(__xludf.DUMMYFUNCTION("""COMPUTED_VALUE"""),"Rita Pal")</f>
        <v>Rita Pal</v>
      </c>
      <c r="S13" s="21" t="str">
        <f>IFERROR(__xludf.DUMMYFUNCTION("""COMPUTED_VALUE"""),"Housewife ")</f>
        <v>Housewife </v>
      </c>
      <c r="T13" s="21" t="str">
        <f>IFERROR(__xludf.DUMMYFUNCTION("""COMPUTED_VALUE"""),"Nagarukhra, Nadia")</f>
        <v>Nagarukhra, Nadia</v>
      </c>
      <c r="U13" s="21">
        <f>IFERROR(__xludf.DUMMYFUNCTION("""COMPUTED_VALUE"""),9.734831622E9)</f>
        <v>9734831622</v>
      </c>
      <c r="V13" s="21">
        <f>IFERROR(__xludf.DUMMYFUNCTION("""COMPUTED_VALUE"""),2.0)</f>
        <v>2</v>
      </c>
      <c r="W13" s="21" t="str">
        <f>IFERROR(__xludf.DUMMYFUNCTION("""COMPUTED_VALUE"""),"Kartick Pal")</f>
        <v>Kartick Pal</v>
      </c>
      <c r="X13" s="21" t="str">
        <f>IFERROR(__xludf.DUMMYFUNCTION("""COMPUTED_VALUE"""),"Father")</f>
        <v>Father</v>
      </c>
      <c r="Y13" s="21" t="str">
        <f>IFERROR(__xludf.DUMMYFUNCTION("""COMPUTED_VALUE"""),"Rita Pal")</f>
        <v>Rita Pal</v>
      </c>
      <c r="Z13" s="21" t="str">
        <f>IFERROR(__xludf.DUMMYFUNCTION("""COMPUTED_VALUE"""),"Mother")</f>
        <v>Mother</v>
      </c>
      <c r="AA13" s="21" t="str">
        <f>IFERROR(__xludf.DUMMYFUNCTION("""COMPUTED_VALUE"""),"Non-Veg")</f>
        <v>Non-Veg</v>
      </c>
      <c r="AB13" s="21" t="str">
        <f>IFERROR(__xludf.DUMMYFUNCTION("""COMPUTED_VALUE"""),"Non-Veg")</f>
        <v>Non-Veg</v>
      </c>
      <c r="AC13" s="21" t="str">
        <f>IFERROR(__xludf.DUMMYFUNCTION("""COMPUTED_VALUE"""),"Non-Veg")</f>
        <v>Non-Veg</v>
      </c>
      <c r="AD13" s="21" t="str">
        <f>IFERROR(__xludf.DUMMYFUNCTION("""COMPUTED_VALUE"""),"Bus Drop Service not needed")</f>
        <v>Bus Drop Service not needed</v>
      </c>
      <c r="AE13" s="21"/>
    </row>
    <row r="14" ht="22.5" customHeight="1">
      <c r="A14" s="18">
        <f>IFERROR(__xludf.DUMMYFUNCTION("""COMPUTED_VALUE"""),46264.860053067125)</f>
        <v>46264.86005</v>
      </c>
      <c r="B14" s="21" t="str">
        <f>IFERROR(__xludf.DUMMYFUNCTION("""COMPUTED_VALUE"""),"preeti.bscnursing-2021@aiimskalyani.edu.in")</f>
        <v>preeti.bscnursing-2021@aiimskalyani.edu.in</v>
      </c>
      <c r="C14" s="21" t="str">
        <f>IFERROR(__xludf.DUMMYFUNCTION("""COMPUTED_VALUE"""),"PREETI DUTTA ")</f>
        <v>PREETI DUTTA </v>
      </c>
      <c r="D14" s="21">
        <f>IFERROR(__xludf.DUMMYFUNCTION("""COMPUTED_VALUE"""),2.0210237E7)</f>
        <v>20210237</v>
      </c>
      <c r="E14" s="21" t="str">
        <f>IFERROR(__xludf.DUMMYFUNCTION("""COMPUTED_VALUE"""),"B.Sc (Hons) Nursing 2021")</f>
        <v>B.Sc (Hons) Nursing 2021</v>
      </c>
      <c r="F14" s="21">
        <f>IFERROR(__xludf.DUMMYFUNCTION("""COMPUTED_VALUE"""),7.074977255E9)</f>
        <v>7074977255</v>
      </c>
      <c r="G14" s="21" t="str">
        <f>IFERROR(__xludf.DUMMYFUNCTION("""COMPUTED_VALUE"""),"preetidutta2021@gmail.com")</f>
        <v>preetidutta2021@gmail.com</v>
      </c>
      <c r="H14" s="21" t="str">
        <f>IFERROR(__xludf.DUMMYFUNCTION("""COMPUTED_VALUE"""),"Yes")</f>
        <v>Yes</v>
      </c>
      <c r="I14" s="21" t="str">
        <f>IFERROR(__xludf.DUMMYFUNCTION("""COMPUTED_VALUE"""),"Love to Draw, ")</f>
        <v>Love to Draw, </v>
      </c>
      <c r="J14" s="21"/>
      <c r="K14" s="21" t="str">
        <f>IFERROR(__xludf.DUMMYFUNCTION("""COMPUTED_VALUE"""),"Bankura ")</f>
        <v>Bankura </v>
      </c>
      <c r="L14" s="22" t="str">
        <f>IFERROR(__xludf.DUMMYFUNCTION("""COMPUTED_VALUE"""),"https://drive.google.com/open?id=1hlJleNe4yhMsVtNy3uaRgEhaNrJjYvnE")</f>
        <v>https://drive.google.com/open?id=1hlJleNe4yhMsVtNy3uaRgEhaNrJjYvnE</v>
      </c>
      <c r="M14" s="22" t="str">
        <f>IFERROR(__xludf.DUMMYFUNCTION("""COMPUTED_VALUE"""),"https://drive.google.com/open?id=16sG-VxDCwhU-_Qbejm3nJtZOo1f2_uO5")</f>
        <v>https://drive.google.com/open?id=16sG-VxDCwhU-_Qbejm3nJtZOo1f2_uO5</v>
      </c>
      <c r="N14" s="21" t="str">
        <f>IFERROR(__xludf.DUMMYFUNCTION("""COMPUTED_VALUE"""),"Satya charan Dutta ")</f>
        <v>Satya charan Dutta </v>
      </c>
      <c r="O14" s="21" t="str">
        <f>IFERROR(__xludf.DUMMYFUNCTION("""COMPUTED_VALUE"""),"Serviceman")</f>
        <v>Serviceman</v>
      </c>
      <c r="P14" s="21" t="str">
        <f>IFERROR(__xludf.DUMMYFUNCTION("""COMPUTED_VALUE"""),"Bankura ")</f>
        <v>Bankura </v>
      </c>
      <c r="Q14" s="21">
        <f>IFERROR(__xludf.DUMMYFUNCTION("""COMPUTED_VALUE"""),9.474814312E9)</f>
        <v>9474814312</v>
      </c>
      <c r="R14" s="21" t="str">
        <f>IFERROR(__xludf.DUMMYFUNCTION("""COMPUTED_VALUE"""),"Archana Dutta ")</f>
        <v>Archana Dutta </v>
      </c>
      <c r="S14" s="21" t="str">
        <f>IFERROR(__xludf.DUMMYFUNCTION("""COMPUTED_VALUE"""),"Housewife")</f>
        <v>Housewife</v>
      </c>
      <c r="T14" s="21" t="str">
        <f>IFERROR(__xludf.DUMMYFUNCTION("""COMPUTED_VALUE"""),"Bankura")</f>
        <v>Bankura</v>
      </c>
      <c r="U14" s="21">
        <f>IFERROR(__xludf.DUMMYFUNCTION("""COMPUTED_VALUE"""),9.134190091E9)</f>
        <v>9134190091</v>
      </c>
      <c r="V14" s="21">
        <f>IFERROR(__xludf.DUMMYFUNCTION("""COMPUTED_VALUE"""),2.0)</f>
        <v>2</v>
      </c>
      <c r="W14" s="21" t="str">
        <f>IFERROR(__xludf.DUMMYFUNCTION("""COMPUTED_VALUE"""),"Satya charan Dutta ")</f>
        <v>Satya charan Dutta </v>
      </c>
      <c r="X14" s="21" t="str">
        <f>IFERROR(__xludf.DUMMYFUNCTION("""COMPUTED_VALUE"""),"Father ")</f>
        <v>Father </v>
      </c>
      <c r="Y14" s="21" t="str">
        <f>IFERROR(__xludf.DUMMYFUNCTION("""COMPUTED_VALUE"""),"Archana Dutta ")</f>
        <v>Archana Dutta </v>
      </c>
      <c r="Z14" s="21" t="str">
        <f>IFERROR(__xludf.DUMMYFUNCTION("""COMPUTED_VALUE"""),"Mother ")</f>
        <v>Mother </v>
      </c>
      <c r="AA14" s="21" t="str">
        <f>IFERROR(__xludf.DUMMYFUNCTION("""COMPUTED_VALUE"""),"Non-Veg")</f>
        <v>Non-Veg</v>
      </c>
      <c r="AB14" s="21" t="str">
        <f>IFERROR(__xludf.DUMMYFUNCTION("""COMPUTED_VALUE"""),"Non-Veg")</f>
        <v>Non-Veg</v>
      </c>
      <c r="AC14" s="21" t="str">
        <f>IFERROR(__xludf.DUMMYFUNCTION("""COMPUTED_VALUE"""),"Non-Veg")</f>
        <v>Non-Veg</v>
      </c>
      <c r="AD14" s="21"/>
      <c r="AE14" s="21"/>
    </row>
    <row r="15" ht="22.5" customHeight="1">
      <c r="A15" s="18">
        <f>IFERROR(__xludf.DUMMYFUNCTION("""COMPUTED_VALUE"""),46264.851554733796)</f>
        <v>46264.85155</v>
      </c>
      <c r="B15" s="21" t="str">
        <f>IFERROR(__xludf.DUMMYFUNCTION("""COMPUTED_VALUE"""),"kumarikhushboo0123@gmail.com")</f>
        <v>kumarikhushboo0123@gmail.com</v>
      </c>
      <c r="C15" s="21" t="str">
        <f>IFERROR(__xludf.DUMMYFUNCTION("""COMPUTED_VALUE"""),"KHUSHBOO KUMARI ")</f>
        <v>KHUSHBOO KUMARI </v>
      </c>
      <c r="D15" s="21">
        <f>IFERROR(__xludf.DUMMYFUNCTION("""COMPUTED_VALUE"""),2.0210216E7)</f>
        <v>20210216</v>
      </c>
      <c r="E15" s="21" t="str">
        <f>IFERROR(__xludf.DUMMYFUNCTION("""COMPUTED_VALUE"""),"B.Sc (Hons) Nursing 2021")</f>
        <v>B.Sc (Hons) Nursing 2021</v>
      </c>
      <c r="F15" s="21">
        <f>IFERROR(__xludf.DUMMYFUNCTION("""COMPUTED_VALUE"""),9.973417831E9)</f>
        <v>9973417831</v>
      </c>
      <c r="G15" s="21" t="str">
        <f>IFERROR(__xludf.DUMMYFUNCTION("""COMPUTED_VALUE"""),"kumarikhushboo0123@gmail.com")</f>
        <v>kumarikhushboo0123@gmail.com</v>
      </c>
      <c r="H15" s="21" t="str">
        <f>IFERROR(__xludf.DUMMYFUNCTION("""COMPUTED_VALUE"""),"Yes")</f>
        <v>Yes</v>
      </c>
      <c r="I15" s="21" t="str">
        <f>IFERROR(__xludf.DUMMYFUNCTION("""COMPUTED_VALUE"""),"Reading and playing Badminton ")</f>
        <v>Reading and playing Badminton </v>
      </c>
      <c r="J15" s="21" t="str">
        <f>IFERROR(__xludf.DUMMYFUNCTION("""COMPUTED_VALUE"""),"Volleyball and Throwball winner ")</f>
        <v>Volleyball and Throwball winner </v>
      </c>
      <c r="K15" s="21" t="str">
        <f>IFERROR(__xludf.DUMMYFUNCTION("""COMPUTED_VALUE"""),"Jogbani (Bihar)")</f>
        <v>Jogbani (Bihar)</v>
      </c>
      <c r="L15" s="22" t="str">
        <f>IFERROR(__xludf.DUMMYFUNCTION("""COMPUTED_VALUE"""),"https://drive.google.com/open?id=14_7dNgH2jKaUTkEsmAia11nMGYHPwMPK")</f>
        <v>https://drive.google.com/open?id=14_7dNgH2jKaUTkEsmAia11nMGYHPwMPK</v>
      </c>
      <c r="M15" s="22" t="str">
        <f>IFERROR(__xludf.DUMMYFUNCTION("""COMPUTED_VALUE"""),"https://drive.google.com/open?id=1dcUHRKQlHNXEiuCu8H4WDFnT5PQ9u3Cv")</f>
        <v>https://drive.google.com/open?id=1dcUHRKQlHNXEiuCu8H4WDFnT5PQ9u3Cv</v>
      </c>
      <c r="N15" s="21" t="str">
        <f>IFERROR(__xludf.DUMMYFUNCTION("""COMPUTED_VALUE"""),"Vijay sah")</f>
        <v>Vijay sah</v>
      </c>
      <c r="O15" s="21" t="str">
        <f>IFERROR(__xludf.DUMMYFUNCTION("""COMPUTED_VALUE"""),"Businessman ")</f>
        <v>Businessman </v>
      </c>
      <c r="P15" s="21" t="str">
        <f>IFERROR(__xludf.DUMMYFUNCTION("""COMPUTED_VALUE"""),"Jogbani (bihar)")</f>
        <v>Jogbani (bihar)</v>
      </c>
      <c r="Q15" s="21">
        <f>IFERROR(__xludf.DUMMYFUNCTION("""COMPUTED_VALUE"""),7.033232188E9)</f>
        <v>7033232188</v>
      </c>
      <c r="R15" s="21" t="str">
        <f>IFERROR(__xludf.DUMMYFUNCTION("""COMPUTED_VALUE"""),"Urmila Devi")</f>
        <v>Urmila Devi</v>
      </c>
      <c r="S15" s="21" t="str">
        <f>IFERROR(__xludf.DUMMYFUNCTION("""COMPUTED_VALUE"""),"Housewife ")</f>
        <v>Housewife </v>
      </c>
      <c r="T15" s="21" t="str">
        <f>IFERROR(__xludf.DUMMYFUNCTION("""COMPUTED_VALUE"""),"Jogbani (Bihar)")</f>
        <v>Jogbani (Bihar)</v>
      </c>
      <c r="U15" s="21">
        <f>IFERROR(__xludf.DUMMYFUNCTION("""COMPUTED_VALUE"""),8.092010547E9)</f>
        <v>8092010547</v>
      </c>
      <c r="V15" s="21">
        <f>IFERROR(__xludf.DUMMYFUNCTION("""COMPUTED_VALUE"""),1.0)</f>
        <v>1</v>
      </c>
      <c r="W15" s="21" t="str">
        <f>IFERROR(__xludf.DUMMYFUNCTION("""COMPUTED_VALUE"""),"Abhinav Kumar ")</f>
        <v>Abhinav Kumar </v>
      </c>
      <c r="X15" s="21" t="str">
        <f>IFERROR(__xludf.DUMMYFUNCTION("""COMPUTED_VALUE"""),"Brother ")</f>
        <v>Brother </v>
      </c>
      <c r="Y15" s="21"/>
      <c r="Z15" s="21"/>
      <c r="AA15" s="21" t="str">
        <f>IFERROR(__xludf.DUMMYFUNCTION("""COMPUTED_VALUE"""),"Non-Veg")</f>
        <v>Non-Veg</v>
      </c>
      <c r="AB15" s="21" t="str">
        <f>IFERROR(__xludf.DUMMYFUNCTION("""COMPUTED_VALUE"""),"Veg")</f>
        <v>Veg</v>
      </c>
      <c r="AC15" s="21"/>
      <c r="AD15" s="21" t="str">
        <f>IFERROR(__xludf.DUMMYFUNCTION("""COMPUTED_VALUE"""),"Drop at Kalyani Railway Station")</f>
        <v>Drop at Kalyani Railway Station</v>
      </c>
      <c r="AE15" s="21">
        <f>IFERROR(__xludf.DUMMYFUNCTION("""COMPUTED_VALUE"""),2.0)</f>
        <v>2</v>
      </c>
    </row>
    <row r="16" ht="22.5" customHeight="1">
      <c r="A16" s="18">
        <f>IFERROR(__xludf.DUMMYFUNCTION("""COMPUTED_VALUE"""),46264.85141974537)</f>
        <v>46264.85142</v>
      </c>
      <c r="B16" s="21" t="str">
        <f>IFERROR(__xludf.DUMMYFUNCTION("""COMPUTED_VALUE"""),"bindukoyel2000@gmail.com")</f>
        <v>bindukoyel2000@gmail.com</v>
      </c>
      <c r="C16" s="21" t="str">
        <f>IFERROR(__xludf.DUMMYFUNCTION("""COMPUTED_VALUE"""),"KOYEL BINDU")</f>
        <v>KOYEL BINDU</v>
      </c>
      <c r="D16" s="21">
        <f>IFERROR(__xludf.DUMMYFUNCTION("""COMPUTED_VALUE"""),2.0210217E7)</f>
        <v>20210217</v>
      </c>
      <c r="E16" s="21" t="str">
        <f>IFERROR(__xludf.DUMMYFUNCTION("""COMPUTED_VALUE"""),"B.Sc (Hons) Nursing 2021")</f>
        <v>B.Sc (Hons) Nursing 2021</v>
      </c>
      <c r="F16" s="21">
        <f>IFERROR(__xludf.DUMMYFUNCTION("""COMPUTED_VALUE"""),6.29504067E9)</f>
        <v>6295040670</v>
      </c>
      <c r="G16" s="21" t="str">
        <f>IFERROR(__xludf.DUMMYFUNCTION("""COMPUTED_VALUE"""),"bindukoyel2000@gmail.com")</f>
        <v>bindukoyel2000@gmail.com</v>
      </c>
      <c r="H16" s="21" t="str">
        <f>IFERROR(__xludf.DUMMYFUNCTION("""COMPUTED_VALUE"""),"Yes")</f>
        <v>Yes</v>
      </c>
      <c r="I16" s="21" t="str">
        <f>IFERROR(__xludf.DUMMYFUNCTION("""COMPUTED_VALUE"""),"Playing badminton and reading books")</f>
        <v>Playing badminton and reading books</v>
      </c>
      <c r="J16" s="21" t="str">
        <f>IFERROR(__xludf.DUMMYFUNCTION("""COMPUTED_VALUE"""),"Nursing Sports Club Head")</f>
        <v>Nursing Sports Club Head</v>
      </c>
      <c r="K16" s="21" t="str">
        <f>IFERROR(__xludf.DUMMYFUNCTION("""COMPUTED_VALUE"""),"Falta ( West Bengal )")</f>
        <v>Falta ( West Bengal )</v>
      </c>
      <c r="L16" s="22" t="str">
        <f>IFERROR(__xludf.DUMMYFUNCTION("""COMPUTED_VALUE"""),"https://drive.google.com/open?id=15o0a3fzy5LjwThrVuwlxE9rBOP_qlfuK")</f>
        <v>https://drive.google.com/open?id=15o0a3fzy5LjwThrVuwlxE9rBOP_qlfuK</v>
      </c>
      <c r="M16" s="22" t="str">
        <f>IFERROR(__xludf.DUMMYFUNCTION("""COMPUTED_VALUE"""),"https://drive.google.com/open?id=1C2qKVxFDxPhJY2kHo4pIgoCVLnztIcyb")</f>
        <v>https://drive.google.com/open?id=1C2qKVxFDxPhJY2kHo4pIgoCVLnztIcyb</v>
      </c>
      <c r="N16" s="21" t="str">
        <f>IFERROR(__xludf.DUMMYFUNCTION("""COMPUTED_VALUE"""),"Salil Kumar Bindu")</f>
        <v>Salil Kumar Bindu</v>
      </c>
      <c r="O16" s="21" t="str">
        <f>IFERROR(__xludf.DUMMYFUNCTION("""COMPUTED_VALUE"""),"Retired Central Government Employee")</f>
        <v>Retired Central Government Employee</v>
      </c>
      <c r="P16" s="21" t="str">
        <f>IFERROR(__xludf.DUMMYFUNCTION("""COMPUTED_VALUE"""),"Falta ( West Bengal )")</f>
        <v>Falta ( West Bengal )</v>
      </c>
      <c r="Q16" s="21">
        <f>IFERROR(__xludf.DUMMYFUNCTION("""COMPUTED_VALUE"""),8.617659762E9)</f>
        <v>8617659762</v>
      </c>
      <c r="R16" s="21" t="str">
        <f>IFERROR(__xludf.DUMMYFUNCTION("""COMPUTED_VALUE"""),"Kabita Bindu")</f>
        <v>Kabita Bindu</v>
      </c>
      <c r="S16" s="21" t="str">
        <f>IFERROR(__xludf.DUMMYFUNCTION("""COMPUTED_VALUE"""),"Housewife")</f>
        <v>Housewife</v>
      </c>
      <c r="T16" s="21" t="str">
        <f>IFERROR(__xludf.DUMMYFUNCTION("""COMPUTED_VALUE"""),"Falta ( West Bengal )")</f>
        <v>Falta ( West Bengal )</v>
      </c>
      <c r="U16" s="21">
        <f>IFERROR(__xludf.DUMMYFUNCTION("""COMPUTED_VALUE"""),8.001512822E9)</f>
        <v>8001512822</v>
      </c>
      <c r="V16" s="21">
        <f>IFERROR(__xludf.DUMMYFUNCTION("""COMPUTED_VALUE"""),2.0)</f>
        <v>2</v>
      </c>
      <c r="W16" s="21" t="str">
        <f>IFERROR(__xludf.DUMMYFUNCTION("""COMPUTED_VALUE"""),"Salil Kumar Bindu")</f>
        <v>Salil Kumar Bindu</v>
      </c>
      <c r="X16" s="21" t="str">
        <f>IFERROR(__xludf.DUMMYFUNCTION("""COMPUTED_VALUE"""),"Father")</f>
        <v>Father</v>
      </c>
      <c r="Y16" s="21" t="str">
        <f>IFERROR(__xludf.DUMMYFUNCTION("""COMPUTED_VALUE"""),"Kabita Bindu")</f>
        <v>Kabita Bindu</v>
      </c>
      <c r="Z16" s="21" t="str">
        <f>IFERROR(__xludf.DUMMYFUNCTION("""COMPUTED_VALUE"""),"Mother")</f>
        <v>Mother</v>
      </c>
      <c r="AA16" s="21" t="str">
        <f>IFERROR(__xludf.DUMMYFUNCTION("""COMPUTED_VALUE"""),"Non-Veg")</f>
        <v>Non-Veg</v>
      </c>
      <c r="AB16" s="21" t="str">
        <f>IFERROR(__xludf.DUMMYFUNCTION("""COMPUTED_VALUE"""),"Non-Veg")</f>
        <v>Non-Veg</v>
      </c>
      <c r="AC16" s="21" t="str">
        <f>IFERROR(__xludf.DUMMYFUNCTION("""COMPUTED_VALUE"""),"Non-Veg")</f>
        <v>Non-Veg</v>
      </c>
      <c r="AD16" s="21" t="str">
        <f>IFERROR(__xludf.DUMMYFUNCTION("""COMPUTED_VALUE"""),"Drop at Kalyani Railway Station")</f>
        <v>Drop at Kalyani Railway Station</v>
      </c>
      <c r="AE16" s="21">
        <f>IFERROR(__xludf.DUMMYFUNCTION("""COMPUTED_VALUE"""),3.0)</f>
        <v>3</v>
      </c>
    </row>
    <row r="17" ht="22.5" customHeight="1">
      <c r="A17" s="18">
        <f>IFERROR(__xludf.DUMMYFUNCTION("""COMPUTED_VALUE"""),46263.90703443287)</f>
        <v>46263.90703</v>
      </c>
      <c r="B17" s="21" t="str">
        <f>IFERROR(__xludf.DUMMYFUNCTION("""COMPUTED_VALUE"""),"shawmegha451@gmail.com")</f>
        <v>shawmegha451@gmail.com</v>
      </c>
      <c r="C17" s="21" t="str">
        <f>IFERROR(__xludf.DUMMYFUNCTION("""COMPUTED_VALUE"""),"MEGHA SHAW")</f>
        <v>MEGHA SHAW</v>
      </c>
      <c r="D17" s="21">
        <f>IFERROR(__xludf.DUMMYFUNCTION("""COMPUTED_VALUE"""),2.0210222E7)</f>
        <v>20210222</v>
      </c>
      <c r="E17" s="21" t="str">
        <f>IFERROR(__xludf.DUMMYFUNCTION("""COMPUTED_VALUE"""),"B.Sc (Hons) Nursing 2021")</f>
        <v>B.Sc (Hons) Nursing 2021</v>
      </c>
      <c r="F17" s="21">
        <f>IFERROR(__xludf.DUMMYFUNCTION("""COMPUTED_VALUE"""),7.908304766E9)</f>
        <v>7908304766</v>
      </c>
      <c r="G17" s="21" t="str">
        <f>IFERROR(__xludf.DUMMYFUNCTION("""COMPUTED_VALUE"""),"shawmegha451@gmail.com")</f>
        <v>shawmegha451@gmail.com</v>
      </c>
      <c r="H17" s="21" t="str">
        <f>IFERROR(__xludf.DUMMYFUNCTION("""COMPUTED_VALUE"""),"Yes")</f>
        <v>Yes</v>
      </c>
      <c r="I17" s="21" t="str">
        <f>IFERROR(__xludf.DUMMYFUNCTION("""COMPUTED_VALUE"""),"Cooking, Reading a story book , crafting  and drawing ")</f>
        <v>Cooking, Reading a story book , crafting  and drawing </v>
      </c>
      <c r="J17" s="21" t="str">
        <f>IFERROR(__xludf.DUMMYFUNCTION("""COMPUTED_VALUE""")," Got A PRIZE IN QUIZE COMPETITION  , Rangoli making poster competition, work as organizer in different cultural events ")</f>
        <v> Got A PRIZE IN QUIZE COMPETITION  , Rangoli making poster competition, work as organizer in different cultural events </v>
      </c>
      <c r="K17" s="21" t="str">
        <f>IFERROR(__xludf.DUMMYFUNCTION("""COMPUTED_VALUE"""),"Kakdwip,south 24 pargana west bengal ")</f>
        <v>Kakdwip,south 24 pargana west bengal </v>
      </c>
      <c r="L17" s="22" t="str">
        <f>IFERROR(__xludf.DUMMYFUNCTION("""COMPUTED_VALUE"""),"https://drive.google.com/open?id=17BdUijWLObfbTAKpcHr9mXHy1RK5gi2-")</f>
        <v>https://drive.google.com/open?id=17BdUijWLObfbTAKpcHr9mXHy1RK5gi2-</v>
      </c>
      <c r="M17" s="22" t="str">
        <f>IFERROR(__xludf.DUMMYFUNCTION("""COMPUTED_VALUE"""),"https://drive.google.com/open?id=1XJonGXteDH9udDMLlJGeP_HfJwqiofaj")</f>
        <v>https://drive.google.com/open?id=1XJonGXteDH9udDMLlJGeP_HfJwqiofaj</v>
      </c>
      <c r="N17" s="21" t="str">
        <f>IFERROR(__xludf.DUMMYFUNCTION("""COMPUTED_VALUE"""),"Raman kumar shaw")</f>
        <v>Raman kumar shaw</v>
      </c>
      <c r="O17" s="21" t="str">
        <f>IFERROR(__xludf.DUMMYFUNCTION("""COMPUTED_VALUE"""),"Business man")</f>
        <v>Business man</v>
      </c>
      <c r="P17" s="21" t="str">
        <f>IFERROR(__xludf.DUMMYFUNCTION("""COMPUTED_VALUE"""),"Kakdwip ")</f>
        <v>Kakdwip </v>
      </c>
      <c r="Q17" s="21">
        <f>IFERROR(__xludf.DUMMYFUNCTION("""COMPUTED_VALUE"""),9.932803251E9)</f>
        <v>9932803251</v>
      </c>
      <c r="R17" s="21" t="str">
        <f>IFERROR(__xludf.DUMMYFUNCTION("""COMPUTED_VALUE"""),"Jyoti shaw")</f>
        <v>Jyoti shaw</v>
      </c>
      <c r="S17" s="21" t="str">
        <f>IFERROR(__xludf.DUMMYFUNCTION("""COMPUTED_VALUE"""),"Housewife ")</f>
        <v>Housewife </v>
      </c>
      <c r="T17" s="21" t="str">
        <f>IFERROR(__xludf.DUMMYFUNCTION("""COMPUTED_VALUE"""),"Kakdwip ")</f>
        <v>Kakdwip </v>
      </c>
      <c r="U17" s="21">
        <f>IFERROR(__xludf.DUMMYFUNCTION("""COMPUTED_VALUE"""),9.733291683E9)</f>
        <v>9733291683</v>
      </c>
      <c r="V17" s="21">
        <f>IFERROR(__xludf.DUMMYFUNCTION("""COMPUTED_VALUE"""),2.0)</f>
        <v>2</v>
      </c>
      <c r="W17" s="21" t="str">
        <f>IFERROR(__xludf.DUMMYFUNCTION("""COMPUTED_VALUE"""),"Raman Kumar shaw")</f>
        <v>Raman Kumar shaw</v>
      </c>
      <c r="X17" s="21" t="str">
        <f>IFERROR(__xludf.DUMMYFUNCTION("""COMPUTED_VALUE"""),"Father ")</f>
        <v>Father </v>
      </c>
      <c r="Y17" s="21" t="str">
        <f>IFERROR(__xludf.DUMMYFUNCTION("""COMPUTED_VALUE"""),"Jyoti shaw")</f>
        <v>Jyoti shaw</v>
      </c>
      <c r="Z17" s="21" t="str">
        <f>IFERROR(__xludf.DUMMYFUNCTION("""COMPUTED_VALUE"""),"Mother ")</f>
        <v>Mother </v>
      </c>
      <c r="AA17" s="21" t="str">
        <f>IFERROR(__xludf.DUMMYFUNCTION("""COMPUTED_VALUE"""),"Non-Veg")</f>
        <v>Non-Veg</v>
      </c>
      <c r="AB17" s="21" t="str">
        <f>IFERROR(__xludf.DUMMYFUNCTION("""COMPUTED_VALUE"""),"Non-Veg")</f>
        <v>Non-Veg</v>
      </c>
      <c r="AC17" s="21" t="str">
        <f>IFERROR(__xludf.DUMMYFUNCTION("""COMPUTED_VALUE"""),"Non-Veg")</f>
        <v>Non-Veg</v>
      </c>
      <c r="AD17" s="21" t="str">
        <f>IFERROR(__xludf.DUMMYFUNCTION("""COMPUTED_VALUE"""),"Drop at Kalyani Railway Station")</f>
        <v>Drop at Kalyani Railway Station</v>
      </c>
      <c r="AE17" s="21">
        <f>IFERROR(__xludf.DUMMYFUNCTION("""COMPUTED_VALUE"""),3.0)</f>
        <v>3</v>
      </c>
    </row>
    <row r="18" ht="22.5" customHeight="1">
      <c r="A18" s="18">
        <f>IFERROR(__xludf.DUMMYFUNCTION("""COMPUTED_VALUE"""),46263.64326521991)</f>
        <v>46263.64327</v>
      </c>
      <c r="B18" s="21" t="str">
        <f>IFERROR(__xludf.DUMMYFUNCTION("""COMPUTED_VALUE"""),"sarmin.bscnursing-2021@aiimskalyani.edu.in")</f>
        <v>sarmin.bscnursing-2021@aiimskalyani.edu.in</v>
      </c>
      <c r="C18" s="21" t="str">
        <f>IFERROR(__xludf.DUMMYFUNCTION("""COMPUTED_VALUE"""),"SARMIN SULTANA ")</f>
        <v>SARMIN SULTANA </v>
      </c>
      <c r="D18" s="21">
        <f>IFERROR(__xludf.DUMMYFUNCTION("""COMPUTED_VALUE"""),2.0210247E7)</f>
        <v>20210247</v>
      </c>
      <c r="E18" s="21" t="str">
        <f>IFERROR(__xludf.DUMMYFUNCTION("""COMPUTED_VALUE"""),"B.Sc (Hons) Nursing 2021")</f>
        <v>B.Sc (Hons) Nursing 2021</v>
      </c>
      <c r="F18" s="21">
        <f>IFERROR(__xludf.DUMMYFUNCTION("""COMPUTED_VALUE"""),8.436365622E9)</f>
        <v>8436365622</v>
      </c>
      <c r="G18" s="21" t="str">
        <f>IFERROR(__xludf.DUMMYFUNCTION("""COMPUTED_VALUE"""),"sarmins2000@gmail.com")</f>
        <v>sarmins2000@gmail.com</v>
      </c>
      <c r="H18" s="21" t="str">
        <f>IFERROR(__xludf.DUMMYFUNCTION("""COMPUTED_VALUE"""),"Yes")</f>
        <v>Yes</v>
      </c>
      <c r="I18" s="21" t="str">
        <f>IFERROR(__xludf.DUMMYFUNCTION("""COMPUTED_VALUE"""),"Reading books, listening music ")</f>
        <v>Reading books, listening music </v>
      </c>
      <c r="J18" s="21"/>
      <c r="K18" s="21" t="str">
        <f>IFERROR(__xludf.DUMMYFUNCTION("""COMPUTED_VALUE"""),"Barasat ")</f>
        <v>Barasat </v>
      </c>
      <c r="L18" s="22" t="str">
        <f>IFERROR(__xludf.DUMMYFUNCTION("""COMPUTED_VALUE"""),"https://drive.google.com/open?id=1ayNmTeBQYcJdKiZR6EGzzcRuTQQTE9qU")</f>
        <v>https://drive.google.com/open?id=1ayNmTeBQYcJdKiZR6EGzzcRuTQQTE9qU</v>
      </c>
      <c r="M18" s="22" t="str">
        <f>IFERROR(__xludf.DUMMYFUNCTION("""COMPUTED_VALUE"""),"https://drive.google.com/open?id=1ZD3z5nf0pwc96d1HX7jqSXfk-ERO4_Oe")</f>
        <v>https://drive.google.com/open?id=1ZD3z5nf0pwc96d1HX7jqSXfk-ERO4_Oe</v>
      </c>
      <c r="N18" s="21" t="str">
        <f>IFERROR(__xludf.DUMMYFUNCTION("""COMPUTED_VALUE"""),"BABLU MONDAL")</f>
        <v>BABLU MONDAL</v>
      </c>
      <c r="O18" s="21" t="str">
        <f>IFERROR(__xludf.DUMMYFUNCTION("""COMPUTED_VALUE"""),"Bussiness")</f>
        <v>Bussiness</v>
      </c>
      <c r="P18" s="21" t="str">
        <f>IFERROR(__xludf.DUMMYFUNCTION("""COMPUTED_VALUE"""),"Barasat ")</f>
        <v>Barasat </v>
      </c>
      <c r="Q18" s="21">
        <f>IFERROR(__xludf.DUMMYFUNCTION("""COMPUTED_VALUE"""),8.641982215E9)</f>
        <v>8641982215</v>
      </c>
      <c r="R18" s="21" t="str">
        <f>IFERROR(__xludf.DUMMYFUNCTION("""COMPUTED_VALUE"""),"SAYRA KHATUN ")</f>
        <v>SAYRA KHATUN </v>
      </c>
      <c r="S18" s="21" t="str">
        <f>IFERROR(__xludf.DUMMYFUNCTION("""COMPUTED_VALUE"""),"Para teacher ")</f>
        <v>Para teacher </v>
      </c>
      <c r="T18" s="21" t="str">
        <f>IFERROR(__xludf.DUMMYFUNCTION("""COMPUTED_VALUE"""),"Barasat ")</f>
        <v>Barasat </v>
      </c>
      <c r="U18" s="21">
        <f>IFERROR(__xludf.DUMMYFUNCTION("""COMPUTED_VALUE"""),9.143218559E9)</f>
        <v>9143218559</v>
      </c>
      <c r="V18" s="21">
        <f>IFERROR(__xludf.DUMMYFUNCTION("""COMPUTED_VALUE"""),2.0)</f>
        <v>2</v>
      </c>
      <c r="W18" s="21" t="str">
        <f>IFERROR(__xludf.DUMMYFUNCTION("""COMPUTED_VALUE"""),"Bablu Mondal")</f>
        <v>Bablu Mondal</v>
      </c>
      <c r="X18" s="21" t="str">
        <f>IFERROR(__xludf.DUMMYFUNCTION("""COMPUTED_VALUE"""),"Father")</f>
        <v>Father</v>
      </c>
      <c r="Y18" s="21" t="str">
        <f>IFERROR(__xludf.DUMMYFUNCTION("""COMPUTED_VALUE"""),"Sayra khatun ")</f>
        <v>Sayra khatun </v>
      </c>
      <c r="Z18" s="21" t="str">
        <f>IFERROR(__xludf.DUMMYFUNCTION("""COMPUTED_VALUE"""),"Mother")</f>
        <v>Mother</v>
      </c>
      <c r="AA18" s="21" t="str">
        <f>IFERROR(__xludf.DUMMYFUNCTION("""COMPUTED_VALUE"""),"Non-Veg")</f>
        <v>Non-Veg</v>
      </c>
      <c r="AB18" s="21" t="str">
        <f>IFERROR(__xludf.DUMMYFUNCTION("""COMPUTED_VALUE"""),"Non-Veg")</f>
        <v>Non-Veg</v>
      </c>
      <c r="AC18" s="21" t="str">
        <f>IFERROR(__xludf.DUMMYFUNCTION("""COMPUTED_VALUE"""),"Non-Veg")</f>
        <v>Non-Veg</v>
      </c>
      <c r="AD18" s="21" t="str">
        <f>IFERROR(__xludf.DUMMYFUNCTION("""COMPUTED_VALUE"""),"Bus Drop Service not needed")</f>
        <v>Bus Drop Service not needed</v>
      </c>
      <c r="AE18" s="21">
        <f>IFERROR(__xludf.DUMMYFUNCTION("""COMPUTED_VALUE"""),0.0)</f>
        <v>0</v>
      </c>
    </row>
    <row r="19" ht="22.5" customHeight="1">
      <c r="A19" s="18">
        <f>IFERROR(__xludf.DUMMYFUNCTION("""COMPUTED_VALUE"""),46263.634716053246)</f>
        <v>46263.63472</v>
      </c>
      <c r="B19" s="21" t="str">
        <f>IFERROR(__xludf.DUMMYFUNCTION("""COMPUTED_VALUE"""),"dipanjana.bscnursing-2021@aiimskalyani.edu.in")</f>
        <v>dipanjana.bscnursing-2021@aiimskalyani.edu.in</v>
      </c>
      <c r="C19" s="21" t="str">
        <f>IFERROR(__xludf.DUMMYFUNCTION("""COMPUTED_VALUE"""),"DIPANJANA DEY")</f>
        <v>DIPANJANA DEY</v>
      </c>
      <c r="D19" s="21">
        <f>IFERROR(__xludf.DUMMYFUNCTION("""COMPUTED_VALUE"""),2.0210212E7)</f>
        <v>20210212</v>
      </c>
      <c r="E19" s="21" t="str">
        <f>IFERROR(__xludf.DUMMYFUNCTION("""COMPUTED_VALUE"""),"B.Sc (Hons) Nursing 2021")</f>
        <v>B.Sc (Hons) Nursing 2021</v>
      </c>
      <c r="F19" s="21">
        <f>IFERROR(__xludf.DUMMYFUNCTION("""COMPUTED_VALUE"""),6.290455131E9)</f>
        <v>6290455131</v>
      </c>
      <c r="G19" s="21" t="str">
        <f>IFERROR(__xludf.DUMMYFUNCTION("""COMPUTED_VALUE"""),"dipanjanad597@gmail.com")</f>
        <v>dipanjanad597@gmail.com</v>
      </c>
      <c r="H19" s="21" t="str">
        <f>IFERROR(__xludf.DUMMYFUNCTION("""COMPUTED_VALUE"""),"Yes")</f>
        <v>Yes</v>
      </c>
      <c r="I19" s="21" t="str">
        <f>IFERROR(__xludf.DUMMYFUNCTION("""COMPUTED_VALUE"""),"Listening Songs ")</f>
        <v>Listening Songs </v>
      </c>
      <c r="J19" s="21"/>
      <c r="K19" s="21" t="str">
        <f>IFERROR(__xludf.DUMMYFUNCTION("""COMPUTED_VALUE"""),"Madhyamgram")</f>
        <v>Madhyamgram</v>
      </c>
      <c r="L19" s="22" t="str">
        <f>IFERROR(__xludf.DUMMYFUNCTION("""COMPUTED_VALUE"""),"https://drive.google.com/open?id=1MX9mhWJba8vTZsXTJGPr9vDlJyHZR8hZ")</f>
        <v>https://drive.google.com/open?id=1MX9mhWJba8vTZsXTJGPr9vDlJyHZR8hZ</v>
      </c>
      <c r="M19" s="22" t="str">
        <f>IFERROR(__xludf.DUMMYFUNCTION("""COMPUTED_VALUE"""),"https://drive.google.com/open?id=1vGFtlfh3GEMhuu440tPrjxHtpLkTnhSb")</f>
        <v>https://drive.google.com/open?id=1vGFtlfh3GEMhuu440tPrjxHtpLkTnhSb</v>
      </c>
      <c r="N19" s="21" t="str">
        <f>IFERROR(__xludf.DUMMYFUNCTION("""COMPUTED_VALUE"""),"DINABANDHU DEY")</f>
        <v>DINABANDHU DEY</v>
      </c>
      <c r="O19" s="21" t="str">
        <f>IFERROR(__xludf.DUMMYFUNCTION("""COMPUTED_VALUE"""),"Ex-Senior section Engineer/Eastern Railway/HQ")</f>
        <v>Ex-Senior section Engineer/Eastern Railway/HQ</v>
      </c>
      <c r="P19" s="21" t="str">
        <f>IFERROR(__xludf.DUMMYFUNCTION("""COMPUTED_VALUE"""),"Madhyamgram")</f>
        <v>Madhyamgram</v>
      </c>
      <c r="Q19" s="21">
        <f>IFERROR(__xludf.DUMMYFUNCTION("""COMPUTED_VALUE"""),8.98135771E9)</f>
        <v>8981357710</v>
      </c>
      <c r="R19" s="21" t="str">
        <f>IFERROR(__xludf.DUMMYFUNCTION("""COMPUTED_VALUE"""),"Lt. Archita Dey")</f>
        <v>Lt. Archita Dey</v>
      </c>
      <c r="S19" s="21" t="str">
        <f>IFERROR(__xludf.DUMMYFUNCTION("""COMPUTED_VALUE"""),"House wife")</f>
        <v>House wife</v>
      </c>
      <c r="T19" s="21" t="str">
        <f>IFERROR(__xludf.DUMMYFUNCTION("""COMPUTED_VALUE"""),"Madhyamgram")</f>
        <v>Madhyamgram</v>
      </c>
      <c r="U19" s="21">
        <f>IFERROR(__xludf.DUMMYFUNCTION("""COMPUTED_VALUE"""),6.290404676E9)</f>
        <v>6290404676</v>
      </c>
      <c r="V19" s="21">
        <f>IFERROR(__xludf.DUMMYFUNCTION("""COMPUTED_VALUE"""),2.0)</f>
        <v>2</v>
      </c>
      <c r="W19" s="21" t="str">
        <f>IFERROR(__xludf.DUMMYFUNCTION("""COMPUTED_VALUE"""),"DINABANDHU DEY")</f>
        <v>DINABANDHU DEY</v>
      </c>
      <c r="X19" s="21" t="str">
        <f>IFERROR(__xludf.DUMMYFUNCTION("""COMPUTED_VALUE"""),"Father")</f>
        <v>Father</v>
      </c>
      <c r="Y19" s="21" t="str">
        <f>IFERROR(__xludf.DUMMYFUNCTION("""COMPUTED_VALUE"""),"Arup Dutta")</f>
        <v>Arup Dutta</v>
      </c>
      <c r="Z19" s="21" t="str">
        <f>IFERROR(__xludf.DUMMYFUNCTION("""COMPUTED_VALUE"""),"Maternal Uncle")</f>
        <v>Maternal Uncle</v>
      </c>
      <c r="AA19" s="21" t="str">
        <f>IFERROR(__xludf.DUMMYFUNCTION("""COMPUTED_VALUE"""),"Non-Veg")</f>
        <v>Non-Veg</v>
      </c>
      <c r="AB19" s="21" t="str">
        <f>IFERROR(__xludf.DUMMYFUNCTION("""COMPUTED_VALUE"""),"Non-Veg")</f>
        <v>Non-Veg</v>
      </c>
      <c r="AC19" s="21" t="str">
        <f>IFERROR(__xludf.DUMMYFUNCTION("""COMPUTED_VALUE"""),"Non-Veg")</f>
        <v>Non-Veg</v>
      </c>
      <c r="AD19" s="21" t="str">
        <f>IFERROR(__xludf.DUMMYFUNCTION("""COMPUTED_VALUE"""),"Drop at Kolkata Airport")</f>
        <v>Drop at Kolkata Airport</v>
      </c>
      <c r="AE19" s="21">
        <f>IFERROR(__xludf.DUMMYFUNCTION("""COMPUTED_VALUE"""),2.0)</f>
        <v>2</v>
      </c>
    </row>
    <row r="20" ht="22.5" customHeight="1">
      <c r="A20" s="18">
        <f>IFERROR(__xludf.DUMMYFUNCTION("""COMPUTED_VALUE"""),46263.56776225695)</f>
        <v>46263.56776</v>
      </c>
      <c r="B20" s="21" t="str">
        <f>IFERROR(__xludf.DUMMYFUNCTION("""COMPUTED_VALUE"""),"sushmita.bscnursing-2021@aiimskalyani.edu.in")</f>
        <v>sushmita.bscnursing-2021@aiimskalyani.edu.in</v>
      </c>
      <c r="C20" s="21" t="str">
        <f>IFERROR(__xludf.DUMMYFUNCTION("""COMPUTED_VALUE"""),"SUSHMITA MONDAL")</f>
        <v>SUSHMITA MONDAL</v>
      </c>
      <c r="D20" s="21">
        <f>IFERROR(__xludf.DUMMYFUNCTION("""COMPUTED_VALUE"""),2.0210255E7)</f>
        <v>20210255</v>
      </c>
      <c r="E20" s="21" t="str">
        <f>IFERROR(__xludf.DUMMYFUNCTION("""COMPUTED_VALUE"""),"B.Sc (Hons) Nursing 2021")</f>
        <v>B.Sc (Hons) Nursing 2021</v>
      </c>
      <c r="F20" s="21">
        <f>IFERROR(__xludf.DUMMYFUNCTION("""COMPUTED_VALUE"""),7.501786976E9)</f>
        <v>7501786976</v>
      </c>
      <c r="G20" s="21" t="str">
        <f>IFERROR(__xludf.DUMMYFUNCTION("""COMPUTED_VALUE"""),"sushmitadna21@gmail.com")</f>
        <v>sushmitadna21@gmail.com</v>
      </c>
      <c r="H20" s="21" t="str">
        <f>IFERROR(__xludf.DUMMYFUNCTION("""COMPUTED_VALUE"""),"Yes")</f>
        <v>Yes</v>
      </c>
      <c r="I20" s="21" t="str">
        <f>IFERROR(__xludf.DUMMYFUNCTION("""COMPUTED_VALUE"""),"My hobbies and interests include reading, cooking, gardening and learning new things.  In my free time, I like listening to music and spending quality time with my friends and family. I am always interested in developing new skills and improving both my p"&amp;"ersonal and professional knowledge. Most importantly, whatever I do, I always strive to be happy and find joy and satisfaction in my life.")</f>
        <v>My hobbies and interests include reading, cooking, gardening and learning new things.  In my free time, I like listening to music and spending quality time with my friends and family. I am always interested in developing new skills and improving both my personal and professional knowledge. Most importantly, whatever I do, I always strive to be happy and find joy and satisfaction in my life.</v>
      </c>
      <c r="J20" s="21"/>
      <c r="K20" s="21" t="str">
        <f>IFERROR(__xludf.DUMMYFUNCTION("""COMPUTED_VALUE"""),"Bagnan")</f>
        <v>Bagnan</v>
      </c>
      <c r="L20" s="22" t="str">
        <f>IFERROR(__xludf.DUMMYFUNCTION("""COMPUTED_VALUE"""),"https://drive.google.com/open?id=1VJfeqrPpNmHa7SscTL8KCgUhAQiYU0Bx")</f>
        <v>https://drive.google.com/open?id=1VJfeqrPpNmHa7SscTL8KCgUhAQiYU0Bx</v>
      </c>
      <c r="M20" s="22" t="str">
        <f>IFERROR(__xludf.DUMMYFUNCTION("""COMPUTED_VALUE"""),"https://drive.google.com/open?id=1ajWQ3Z9aqj-RCpDrIAOXZH9HlJ2IIePU")</f>
        <v>https://drive.google.com/open?id=1ajWQ3Z9aqj-RCpDrIAOXZH9HlJ2IIePU</v>
      </c>
      <c r="N20" s="21" t="str">
        <f>IFERROR(__xludf.DUMMYFUNCTION("""COMPUTED_VALUE"""),"Tapas Mondal")</f>
        <v>Tapas Mondal</v>
      </c>
      <c r="O20" s="21" t="str">
        <f>IFERROR(__xludf.DUMMYFUNCTION("""COMPUTED_VALUE"""),"Farmer")</f>
        <v>Farmer</v>
      </c>
      <c r="P20" s="21" t="str">
        <f>IFERROR(__xludf.DUMMYFUNCTION("""COMPUTED_VALUE"""),"Bagnan")</f>
        <v>Bagnan</v>
      </c>
      <c r="Q20" s="21">
        <f>IFERROR(__xludf.DUMMYFUNCTION("""COMPUTED_VALUE"""),7.384357354E9)</f>
        <v>7384357354</v>
      </c>
      <c r="R20" s="21" t="str">
        <f>IFERROR(__xludf.DUMMYFUNCTION("""COMPUTED_VALUE"""),"Namita Mondal")</f>
        <v>Namita Mondal</v>
      </c>
      <c r="S20" s="21" t="str">
        <f>IFERROR(__xludf.DUMMYFUNCTION("""COMPUTED_VALUE"""),"Housewife")</f>
        <v>Housewife</v>
      </c>
      <c r="T20" s="21" t="str">
        <f>IFERROR(__xludf.DUMMYFUNCTION("""COMPUTED_VALUE"""),"Bagnan")</f>
        <v>Bagnan</v>
      </c>
      <c r="U20" s="21">
        <f>IFERROR(__xludf.DUMMYFUNCTION("""COMPUTED_VALUE"""),8.926111922E9)</f>
        <v>8926111922</v>
      </c>
      <c r="V20" s="21">
        <f>IFERROR(__xludf.DUMMYFUNCTION("""COMPUTED_VALUE"""),2.0)</f>
        <v>2</v>
      </c>
      <c r="W20" s="21" t="str">
        <f>IFERROR(__xludf.DUMMYFUNCTION("""COMPUTED_VALUE"""),"Tapas Mondal")</f>
        <v>Tapas Mondal</v>
      </c>
      <c r="X20" s="21" t="str">
        <f>IFERROR(__xludf.DUMMYFUNCTION("""COMPUTED_VALUE"""),"Father")</f>
        <v>Father</v>
      </c>
      <c r="Y20" s="21" t="str">
        <f>IFERROR(__xludf.DUMMYFUNCTION("""COMPUTED_VALUE"""),"Namita Mondal")</f>
        <v>Namita Mondal</v>
      </c>
      <c r="Z20" s="21" t="str">
        <f>IFERROR(__xludf.DUMMYFUNCTION("""COMPUTED_VALUE"""),"Mother")</f>
        <v>Mother</v>
      </c>
      <c r="AA20" s="21" t="str">
        <f>IFERROR(__xludf.DUMMYFUNCTION("""COMPUTED_VALUE"""),"Non-Veg")</f>
        <v>Non-Veg</v>
      </c>
      <c r="AB20" s="21" t="str">
        <f>IFERROR(__xludf.DUMMYFUNCTION("""COMPUTED_VALUE"""),"Non-Veg")</f>
        <v>Non-Veg</v>
      </c>
      <c r="AC20" s="21" t="str">
        <f>IFERROR(__xludf.DUMMYFUNCTION("""COMPUTED_VALUE"""),"Non-Veg")</f>
        <v>Non-Veg</v>
      </c>
      <c r="AD20" s="21" t="str">
        <f>IFERROR(__xludf.DUMMYFUNCTION("""COMPUTED_VALUE"""),"Bus Drop Service not needed")</f>
        <v>Bus Drop Service not needed</v>
      </c>
      <c r="AE20" s="21">
        <f>IFERROR(__xludf.DUMMYFUNCTION("""COMPUTED_VALUE"""),0.0)</f>
        <v>0</v>
      </c>
    </row>
    <row r="21" ht="22.5" customHeight="1">
      <c r="A21" s="18">
        <f>IFERROR(__xludf.DUMMYFUNCTION("""COMPUTED_VALUE"""),46263.50606664352)</f>
        <v>46263.50607</v>
      </c>
      <c r="B21" s="21" t="str">
        <f>IFERROR(__xludf.DUMMYFUNCTION("""COMPUTED_VALUE"""),"basira.bscnursing-2021@aiimskalyani.edu.in")</f>
        <v>basira.bscnursing-2021@aiimskalyani.edu.in</v>
      </c>
      <c r="C21" s="21" t="str">
        <f>IFERROR(__xludf.DUMMYFUNCTION("""COMPUTED_VALUE"""),"BASIRA SULTANA ")</f>
        <v>BASIRA SULTANA </v>
      </c>
      <c r="D21" s="21">
        <f>IFERROR(__xludf.DUMMYFUNCTION("""COMPUTED_VALUE"""),2.0210207E7)</f>
        <v>20210207</v>
      </c>
      <c r="E21" s="21" t="str">
        <f>IFERROR(__xludf.DUMMYFUNCTION("""COMPUTED_VALUE"""),"B.Sc (Hons) Nursing 2021")</f>
        <v>B.Sc (Hons) Nursing 2021</v>
      </c>
      <c r="F21" s="21">
        <f>IFERROR(__xludf.DUMMYFUNCTION("""COMPUTED_VALUE"""),8.945998122E9)</f>
        <v>8945998122</v>
      </c>
      <c r="G21" s="21" t="str">
        <f>IFERROR(__xludf.DUMMYFUNCTION("""COMPUTED_VALUE"""),"sultanabasira803@gmail.com")</f>
        <v>sultanabasira803@gmail.com</v>
      </c>
      <c r="H21" s="21" t="str">
        <f>IFERROR(__xludf.DUMMYFUNCTION("""COMPUTED_VALUE"""),"Yes")</f>
        <v>Yes</v>
      </c>
      <c r="I21" s="21" t="str">
        <f>IFERROR(__xludf.DUMMYFUNCTION("""COMPUTED_VALUE"""),"Reading novels, Gardening ")</f>
        <v>Reading novels, Gardening </v>
      </c>
      <c r="J21" s="21" t="str">
        <f>IFERROR(__xludf.DUMMYFUNCTION("""COMPUTED_VALUE"""),"No")</f>
        <v>No</v>
      </c>
      <c r="K21" s="21" t="str">
        <f>IFERROR(__xludf.DUMMYFUNCTION("""COMPUTED_VALUE"""),"Bagnan, Howrah,west bengal ")</f>
        <v>Bagnan, Howrah,west bengal </v>
      </c>
      <c r="L21" s="22" t="str">
        <f>IFERROR(__xludf.DUMMYFUNCTION("""COMPUTED_VALUE"""),"https://drive.google.com/open?id=1VZYGH72dNxSBH5qzEkCmugohgZSlXur0")</f>
        <v>https://drive.google.com/open?id=1VZYGH72dNxSBH5qzEkCmugohgZSlXur0</v>
      </c>
      <c r="M21" s="22" t="str">
        <f>IFERROR(__xludf.DUMMYFUNCTION("""COMPUTED_VALUE"""),"https://drive.google.com/open?id=1qRsZT9XjUPmj65nV7EWEiTNyeeUYSqZ2")</f>
        <v>https://drive.google.com/open?id=1qRsZT9XjUPmj65nV7EWEiTNyeeUYSqZ2</v>
      </c>
      <c r="N21" s="21" t="str">
        <f>IFERROR(__xludf.DUMMYFUNCTION("""COMPUTED_VALUE"""),"SK ABUL BASAR")</f>
        <v>SK ABUL BASAR</v>
      </c>
      <c r="O21" s="21" t="str">
        <f>IFERROR(__xludf.DUMMYFUNCTION("""COMPUTED_VALUE"""),"School Teacher, HM (MSK)")</f>
        <v>School Teacher, HM (MSK)</v>
      </c>
      <c r="P21" s="21" t="str">
        <f>IFERROR(__xludf.DUMMYFUNCTION("""COMPUTED_VALUE"""),"Bagnan, Howrah, west bengal ")</f>
        <v>Bagnan, Howrah, west bengal </v>
      </c>
      <c r="Q21" s="21">
        <f>IFERROR(__xludf.DUMMYFUNCTION("""COMPUTED_VALUE"""),9.073939324E9)</f>
        <v>9073939324</v>
      </c>
      <c r="R21" s="21" t="str">
        <f>IFERROR(__xludf.DUMMYFUNCTION("""COMPUTED_VALUE"""),"SABINA IYASMIN BEGAM")</f>
        <v>SABINA IYASMIN BEGAM</v>
      </c>
      <c r="S21" s="21" t="str">
        <f>IFERROR(__xludf.DUMMYFUNCTION("""COMPUTED_VALUE"""),"House wife")</f>
        <v>House wife</v>
      </c>
      <c r="T21" s="21" t="str">
        <f>IFERROR(__xludf.DUMMYFUNCTION("""COMPUTED_VALUE"""),"Bagnan, Howrah,west bengal ")</f>
        <v>Bagnan, Howrah,west bengal </v>
      </c>
      <c r="U21" s="21">
        <f>IFERROR(__xludf.DUMMYFUNCTION("""COMPUTED_VALUE"""),8.945998122E9)</f>
        <v>8945998122</v>
      </c>
      <c r="V21" s="21">
        <f>IFERROR(__xludf.DUMMYFUNCTION("""COMPUTED_VALUE"""),2.0)</f>
        <v>2</v>
      </c>
      <c r="W21" s="21" t="str">
        <f>IFERROR(__xludf.DUMMYFUNCTION("""COMPUTED_VALUE"""),"SK ABUL BASAR ")</f>
        <v>SK ABUL BASAR </v>
      </c>
      <c r="X21" s="21" t="str">
        <f>IFERROR(__xludf.DUMMYFUNCTION("""COMPUTED_VALUE"""),"Father ")</f>
        <v>Father </v>
      </c>
      <c r="Y21" s="21" t="str">
        <f>IFERROR(__xludf.DUMMYFUNCTION("""COMPUTED_VALUE"""),"SABINA IYASMIN BEGAM ")</f>
        <v>SABINA IYASMIN BEGAM </v>
      </c>
      <c r="Z21" s="21" t="str">
        <f>IFERROR(__xludf.DUMMYFUNCTION("""COMPUTED_VALUE"""),"Mother")</f>
        <v>Mother</v>
      </c>
      <c r="AA21" s="21" t="str">
        <f>IFERROR(__xludf.DUMMYFUNCTION("""COMPUTED_VALUE"""),"Non-Veg")</f>
        <v>Non-Veg</v>
      </c>
      <c r="AB21" s="21" t="str">
        <f>IFERROR(__xludf.DUMMYFUNCTION("""COMPUTED_VALUE"""),"Non-Veg")</f>
        <v>Non-Veg</v>
      </c>
      <c r="AC21" s="21" t="str">
        <f>IFERROR(__xludf.DUMMYFUNCTION("""COMPUTED_VALUE"""),"Veg")</f>
        <v>Veg</v>
      </c>
      <c r="AD21" s="21" t="str">
        <f>IFERROR(__xludf.DUMMYFUNCTION("""COMPUTED_VALUE"""),"Bus Drop Service not needed")</f>
        <v>Bus Drop Service not needed</v>
      </c>
      <c r="AE21" s="21">
        <f>IFERROR(__xludf.DUMMYFUNCTION("""COMPUTED_VALUE"""),0.0)</f>
        <v>0</v>
      </c>
    </row>
    <row r="22" ht="22.5" customHeight="1">
      <c r="A22" s="18">
        <f>IFERROR(__xludf.DUMMYFUNCTION("""COMPUTED_VALUE"""),46261.98511408565)</f>
        <v>46261.98511</v>
      </c>
      <c r="B22" s="21" t="str">
        <f>IFERROR(__xludf.DUMMYFUNCTION("""COMPUTED_VALUE"""),"bidisha.bscnursing-2021@aiimskalyani.edu.in")</f>
        <v>bidisha.bscnursing-2021@aiimskalyani.edu.in</v>
      </c>
      <c r="C22" s="21" t="str">
        <f>IFERROR(__xludf.DUMMYFUNCTION("""COMPUTED_VALUE"""),"BIDISHA CHUNARI ")</f>
        <v>BIDISHA CHUNARI </v>
      </c>
      <c r="D22" s="21">
        <f>IFERROR(__xludf.DUMMYFUNCTION("""COMPUTED_VALUE"""),2.0210208E7)</f>
        <v>20210208</v>
      </c>
      <c r="E22" s="21" t="str">
        <f>IFERROR(__xludf.DUMMYFUNCTION("""COMPUTED_VALUE"""),"B.Sc (Hons) Nursing 2021")</f>
        <v>B.Sc (Hons) Nursing 2021</v>
      </c>
      <c r="F22" s="21">
        <f>IFERROR(__xludf.DUMMYFUNCTION("""COMPUTED_VALUE"""),6.295520563E9)</f>
        <v>6295520563</v>
      </c>
      <c r="G22" s="21" t="str">
        <f>IFERROR(__xludf.DUMMYFUNCTION("""COMPUTED_VALUE"""),"bidishachunari46@gmail.com")</f>
        <v>bidishachunari46@gmail.com</v>
      </c>
      <c r="H22" s="21" t="str">
        <f>IFERROR(__xludf.DUMMYFUNCTION("""COMPUTED_VALUE"""),"Yes")</f>
        <v>Yes</v>
      </c>
      <c r="I22" s="21" t="str">
        <f>IFERROR(__xludf.DUMMYFUNCTION("""COMPUTED_VALUE"""),"Singing and dancing ")</f>
        <v>Singing and dancing </v>
      </c>
      <c r="J22" s="21"/>
      <c r="K22" s="21" t="str">
        <f>IFERROR(__xludf.DUMMYFUNCTION("""COMPUTED_VALUE"""),"Krishnanagar ")</f>
        <v>Krishnanagar </v>
      </c>
      <c r="L22" s="22" t="str">
        <f>IFERROR(__xludf.DUMMYFUNCTION("""COMPUTED_VALUE"""),"https://drive.google.com/open?id=1bwx5q9n2bwNAABsvPhSADC1hY7hWzzHG")</f>
        <v>https://drive.google.com/open?id=1bwx5q9n2bwNAABsvPhSADC1hY7hWzzHG</v>
      </c>
      <c r="M22" s="22" t="str">
        <f>IFERROR(__xludf.DUMMYFUNCTION("""COMPUTED_VALUE"""),"https://drive.google.com/open?id=1wrF__61hq-wpg3zhkDMrs0OSYRla9JTh")</f>
        <v>https://drive.google.com/open?id=1wrF__61hq-wpg3zhkDMrs0OSYRla9JTh</v>
      </c>
      <c r="N22" s="21" t="str">
        <f>IFERROR(__xludf.DUMMYFUNCTION("""COMPUTED_VALUE"""),"Botan Chunari")</f>
        <v>Botan Chunari</v>
      </c>
      <c r="O22" s="21" t="str">
        <f>IFERROR(__xludf.DUMMYFUNCTION("""COMPUTED_VALUE"""),"Retired Service man ")</f>
        <v>Retired Service man </v>
      </c>
      <c r="P22" s="21" t="str">
        <f>IFERROR(__xludf.DUMMYFUNCTION("""COMPUTED_VALUE"""),"Krishnanagar ")</f>
        <v>Krishnanagar </v>
      </c>
      <c r="Q22" s="21">
        <f>IFERROR(__xludf.DUMMYFUNCTION("""COMPUTED_VALUE"""),8.348678398E9)</f>
        <v>8348678398</v>
      </c>
      <c r="R22" s="21" t="str">
        <f>IFERROR(__xludf.DUMMYFUNCTION("""COMPUTED_VALUE"""),"Pintu Chunari ")</f>
        <v>Pintu Chunari </v>
      </c>
      <c r="S22" s="21" t="str">
        <f>IFERROR(__xludf.DUMMYFUNCTION("""COMPUTED_VALUE"""),"Homemaker ")</f>
        <v>Homemaker </v>
      </c>
      <c r="T22" s="21" t="str">
        <f>IFERROR(__xludf.DUMMYFUNCTION("""COMPUTED_VALUE"""),"Krishnanagar ")</f>
        <v>Krishnanagar </v>
      </c>
      <c r="U22" s="21">
        <f>IFERROR(__xludf.DUMMYFUNCTION("""COMPUTED_VALUE"""),9.475821651E9)</f>
        <v>9475821651</v>
      </c>
      <c r="V22" s="21">
        <f>IFERROR(__xludf.DUMMYFUNCTION("""COMPUTED_VALUE"""),2.0)</f>
        <v>2</v>
      </c>
      <c r="W22" s="21" t="str">
        <f>IFERROR(__xludf.DUMMYFUNCTION("""COMPUTED_VALUE"""),"Botan Chunari ")</f>
        <v>Botan Chunari </v>
      </c>
      <c r="X22" s="21" t="str">
        <f>IFERROR(__xludf.DUMMYFUNCTION("""COMPUTED_VALUE"""),"Father ")</f>
        <v>Father </v>
      </c>
      <c r="Y22" s="21" t="str">
        <f>IFERROR(__xludf.DUMMYFUNCTION("""COMPUTED_VALUE"""),"Pintu Chunari ")</f>
        <v>Pintu Chunari </v>
      </c>
      <c r="Z22" s="21" t="str">
        <f>IFERROR(__xludf.DUMMYFUNCTION("""COMPUTED_VALUE"""),"Mother ")</f>
        <v>Mother </v>
      </c>
      <c r="AA22" s="21" t="str">
        <f>IFERROR(__xludf.DUMMYFUNCTION("""COMPUTED_VALUE"""),"Non-Veg")</f>
        <v>Non-Veg</v>
      </c>
      <c r="AB22" s="21" t="str">
        <f>IFERROR(__xludf.DUMMYFUNCTION("""COMPUTED_VALUE"""),"Non-Veg")</f>
        <v>Non-Veg</v>
      </c>
      <c r="AC22" s="21" t="str">
        <f>IFERROR(__xludf.DUMMYFUNCTION("""COMPUTED_VALUE"""),"Non-Veg")</f>
        <v>Non-Veg</v>
      </c>
      <c r="AD22" s="21" t="str">
        <f>IFERROR(__xludf.DUMMYFUNCTION("""COMPUTED_VALUE"""),"Drop at Kalyani Railway Station")</f>
        <v>Drop at Kalyani Railway Station</v>
      </c>
      <c r="AE22" s="21">
        <f>IFERROR(__xludf.DUMMYFUNCTION("""COMPUTED_VALUE"""),3.0)</f>
        <v>3</v>
      </c>
    </row>
    <row r="23" ht="22.5" customHeight="1">
      <c r="A23" s="18">
        <f>IFERROR(__xludf.DUMMYFUNCTION("""COMPUTED_VALUE"""),46261.65007753472)</f>
        <v>46261.65008</v>
      </c>
      <c r="B23" s="21" t="str">
        <f>IFERROR(__xludf.DUMMYFUNCTION("""COMPUTED_VALUE"""),"nabanita.bscnursing-2021@aiimskalyani.edu.in")</f>
        <v>nabanita.bscnursing-2021@aiimskalyani.edu.in</v>
      </c>
      <c r="C23" s="21" t="str">
        <f>IFERROR(__xludf.DUMMYFUNCTION("""COMPUTED_VALUE"""),"NABANITA DE")</f>
        <v>NABANITA DE</v>
      </c>
      <c r="D23" s="21">
        <f>IFERROR(__xludf.DUMMYFUNCTION("""COMPUTED_VALUE"""),2.0210259E7)</f>
        <v>20210259</v>
      </c>
      <c r="E23" s="21" t="str">
        <f>IFERROR(__xludf.DUMMYFUNCTION("""COMPUTED_VALUE"""),"B.Sc (Hons) Nursing 2021")</f>
        <v>B.Sc (Hons) Nursing 2021</v>
      </c>
      <c r="F23" s="21">
        <f>IFERROR(__xludf.DUMMYFUNCTION("""COMPUTED_VALUE"""),9.16311452E9)</f>
        <v>9163114520</v>
      </c>
      <c r="G23" s="21" t="str">
        <f>IFERROR(__xludf.DUMMYFUNCTION("""COMPUTED_VALUE"""),"denabanita2020@gmail.com")</f>
        <v>denabanita2020@gmail.com</v>
      </c>
      <c r="H23" s="21" t="str">
        <f>IFERROR(__xludf.DUMMYFUNCTION("""COMPUTED_VALUE"""),"Yes")</f>
        <v>Yes</v>
      </c>
      <c r="I23" s="21" t="str">
        <f>IFERROR(__xludf.DUMMYFUNCTION("""COMPUTED_VALUE"""),"Singing")</f>
        <v>Singing</v>
      </c>
      <c r="J23" s="21" t="str">
        <f>IFERROR(__xludf.DUMMYFUNCTION("""COMPUTED_VALUE"""),"Chess")</f>
        <v>Chess</v>
      </c>
      <c r="K23" s="21" t="str">
        <f>IFERROR(__xludf.DUMMYFUNCTION("""COMPUTED_VALUE"""),"DumDum west bengal ")</f>
        <v>DumDum west bengal </v>
      </c>
      <c r="L23" s="22" t="str">
        <f>IFERROR(__xludf.DUMMYFUNCTION("""COMPUTED_VALUE"""),"https://drive.google.com/open?id=1PfkJCRRfe6_PizYazTm6-jWa8yEryYt8")</f>
        <v>https://drive.google.com/open?id=1PfkJCRRfe6_PizYazTm6-jWa8yEryYt8</v>
      </c>
      <c r="M23" s="22" t="str">
        <f>IFERROR(__xludf.DUMMYFUNCTION("""COMPUTED_VALUE"""),"https://drive.google.com/open?id=1z0m__2Kf-p6DA6y2VeswitaQCVWSvvAf")</f>
        <v>https://drive.google.com/open?id=1z0m__2Kf-p6DA6y2VeswitaQCVWSvvAf</v>
      </c>
      <c r="N23" s="21" t="str">
        <f>IFERROR(__xludf.DUMMYFUNCTION("""COMPUTED_VALUE"""),"Nirapada De ")</f>
        <v>Nirapada De </v>
      </c>
      <c r="O23" s="21" t="str">
        <f>IFERROR(__xludf.DUMMYFUNCTION("""COMPUTED_VALUE"""),"Retired Teacher")</f>
        <v>Retired Teacher</v>
      </c>
      <c r="P23" s="21" t="str">
        <f>IFERROR(__xludf.DUMMYFUNCTION("""COMPUTED_VALUE"""),"DumDum west bengal ")</f>
        <v>DumDum west bengal </v>
      </c>
      <c r="Q23" s="21">
        <f>IFERROR(__xludf.DUMMYFUNCTION("""COMPUTED_VALUE"""),9.143568373E9)</f>
        <v>9143568373</v>
      </c>
      <c r="R23" s="21" t="str">
        <f>IFERROR(__xludf.DUMMYFUNCTION("""COMPUTED_VALUE"""),"Sulekha De")</f>
        <v>Sulekha De</v>
      </c>
      <c r="S23" s="21" t="str">
        <f>IFERROR(__xludf.DUMMYFUNCTION("""COMPUTED_VALUE"""),"Teacher")</f>
        <v>Teacher</v>
      </c>
      <c r="T23" s="21" t="str">
        <f>IFERROR(__xludf.DUMMYFUNCTION("""COMPUTED_VALUE"""),"DumDum west bengal ")</f>
        <v>DumDum west bengal </v>
      </c>
      <c r="U23" s="21">
        <f>IFERROR(__xludf.DUMMYFUNCTION("""COMPUTED_VALUE"""),9.836581215E9)</f>
        <v>9836581215</v>
      </c>
      <c r="V23" s="21">
        <f>IFERROR(__xludf.DUMMYFUNCTION("""COMPUTED_VALUE"""),2.0)</f>
        <v>2</v>
      </c>
      <c r="W23" s="21" t="str">
        <f>IFERROR(__xludf.DUMMYFUNCTION("""COMPUTED_VALUE"""),"Nirapada De ")</f>
        <v>Nirapada De </v>
      </c>
      <c r="X23" s="21" t="str">
        <f>IFERROR(__xludf.DUMMYFUNCTION("""COMPUTED_VALUE"""),"Father ")</f>
        <v>Father </v>
      </c>
      <c r="Y23" s="21" t="str">
        <f>IFERROR(__xludf.DUMMYFUNCTION("""COMPUTED_VALUE"""),"Sulekha De ")</f>
        <v>Sulekha De </v>
      </c>
      <c r="Z23" s="21" t="str">
        <f>IFERROR(__xludf.DUMMYFUNCTION("""COMPUTED_VALUE"""),"Mother")</f>
        <v>Mother</v>
      </c>
      <c r="AA23" s="21" t="str">
        <f>IFERROR(__xludf.DUMMYFUNCTION("""COMPUTED_VALUE"""),"Non-Veg")</f>
        <v>Non-Veg</v>
      </c>
      <c r="AB23" s="21" t="str">
        <f>IFERROR(__xludf.DUMMYFUNCTION("""COMPUTED_VALUE"""),"Non-Veg")</f>
        <v>Non-Veg</v>
      </c>
      <c r="AC23" s="21" t="str">
        <f>IFERROR(__xludf.DUMMYFUNCTION("""COMPUTED_VALUE"""),"Non-Veg")</f>
        <v>Non-Veg</v>
      </c>
      <c r="AD23" s="21" t="str">
        <f>IFERROR(__xludf.DUMMYFUNCTION("""COMPUTED_VALUE"""),"Drop at Kolkata Airport")</f>
        <v>Drop at Kolkata Airport</v>
      </c>
      <c r="AE23" s="21">
        <f>IFERROR(__xludf.DUMMYFUNCTION("""COMPUTED_VALUE"""),3.0)</f>
        <v>3</v>
      </c>
    </row>
    <row r="24" ht="22.5" customHeight="1">
      <c r="A24" s="18">
        <f>IFERROR(__xludf.DUMMYFUNCTION("""COMPUTED_VALUE"""),46261.53005865741)</f>
        <v>46261.53006</v>
      </c>
      <c r="B24" s="21" t="str">
        <f>IFERROR(__xludf.DUMMYFUNCTION("""COMPUTED_VALUE"""),"mukherjeeadrita8@gmail.com")</f>
        <v>mukherjeeadrita8@gmail.com</v>
      </c>
      <c r="C24" s="21" t="str">
        <f>IFERROR(__xludf.DUMMYFUNCTION("""COMPUTED_VALUE"""),"ADRITA MUKHERJEE ")</f>
        <v>ADRITA MUKHERJEE </v>
      </c>
      <c r="D24" s="21">
        <f>IFERROR(__xludf.DUMMYFUNCTION("""COMPUTED_VALUE"""),2.0210202E7)</f>
        <v>20210202</v>
      </c>
      <c r="E24" s="21" t="str">
        <f>IFERROR(__xludf.DUMMYFUNCTION("""COMPUTED_VALUE"""),"B.Sc (Hons) Nursing 2021")</f>
        <v>B.Sc (Hons) Nursing 2021</v>
      </c>
      <c r="F24" s="21">
        <f>IFERROR(__xludf.DUMMYFUNCTION("""COMPUTED_VALUE"""),9.382419184E9)</f>
        <v>9382419184</v>
      </c>
      <c r="G24" s="21" t="str">
        <f>IFERROR(__xludf.DUMMYFUNCTION("""COMPUTED_VALUE"""),"mukherjeeadrita8@gmail.com")</f>
        <v>mukherjeeadrita8@gmail.com</v>
      </c>
      <c r="H24" s="21" t="str">
        <f>IFERROR(__xludf.DUMMYFUNCTION("""COMPUTED_VALUE"""),"Yes")</f>
        <v>Yes</v>
      </c>
      <c r="I24" s="21" t="str">
        <f>IFERROR(__xludf.DUMMYFUNCTION("""COMPUTED_VALUE"""),"Drawing ")</f>
        <v>Drawing </v>
      </c>
      <c r="J24" s="21" t="str">
        <f>IFERROR(__xludf.DUMMYFUNCTION("""COMPUTED_VALUE"""),"NIL")</f>
        <v>NIL</v>
      </c>
      <c r="K24" s="21" t="str">
        <f>IFERROR(__xludf.DUMMYFUNCTION("""COMPUTED_VALUE"""),"MIDNAPORE ")</f>
        <v>MIDNAPORE </v>
      </c>
      <c r="L24" s="22" t="str">
        <f>IFERROR(__xludf.DUMMYFUNCTION("""COMPUTED_VALUE"""),"https://drive.google.com/open?id=1oMT5M4kV0RkssJ0_QzythLc9C0HuyymA")</f>
        <v>https://drive.google.com/open?id=1oMT5M4kV0RkssJ0_QzythLc9C0HuyymA</v>
      </c>
      <c r="M24" s="22" t="str">
        <f>IFERROR(__xludf.DUMMYFUNCTION("""COMPUTED_VALUE"""),"https://drive.google.com/open?id=1g5LOAHxF_ScybXMcwE2e_uMicFRl2JzV")</f>
        <v>https://drive.google.com/open?id=1g5LOAHxF_ScybXMcwE2e_uMicFRl2JzV</v>
      </c>
      <c r="N24" s="21" t="str">
        <f>IFERROR(__xludf.DUMMYFUNCTION("""COMPUTED_VALUE"""),"ANIRBAN MUKHERJEE ")</f>
        <v>ANIRBAN MUKHERJEE </v>
      </c>
      <c r="O24" s="21" t="str">
        <f>IFERROR(__xludf.DUMMYFUNCTION("""COMPUTED_VALUE"""),"SENIOR Technician Incharge signal department Railway employee kgp junction ")</f>
        <v>SENIOR Technician Incharge signal department Railway employee kgp junction </v>
      </c>
      <c r="P24" s="21" t="str">
        <f>IFERROR(__xludf.DUMMYFUNCTION("""COMPUTED_VALUE"""),"MIDNAPORE ")</f>
        <v>MIDNAPORE </v>
      </c>
      <c r="Q24" s="21">
        <f>IFERROR(__xludf.DUMMYFUNCTION("""COMPUTED_VALUE"""),7.595081828E9)</f>
        <v>7595081828</v>
      </c>
      <c r="R24" s="21" t="str">
        <f>IFERROR(__xludf.DUMMYFUNCTION("""COMPUTED_VALUE"""),"MAHUA MUKHERJEE ")</f>
        <v>MAHUA MUKHERJEE </v>
      </c>
      <c r="S24" s="21" t="str">
        <f>IFERROR(__xludf.DUMMYFUNCTION("""COMPUTED_VALUE"""),"Housewife ")</f>
        <v>Housewife </v>
      </c>
      <c r="T24" s="21" t="str">
        <f>IFERROR(__xludf.DUMMYFUNCTION("""COMPUTED_VALUE"""),"MIDNAPORE ")</f>
        <v>MIDNAPORE </v>
      </c>
      <c r="U24" s="21">
        <f>IFERROR(__xludf.DUMMYFUNCTION("""COMPUTED_VALUE"""),9.434139015E9)</f>
        <v>9434139015</v>
      </c>
      <c r="V24" s="21">
        <f>IFERROR(__xludf.DUMMYFUNCTION("""COMPUTED_VALUE"""),2.0)</f>
        <v>2</v>
      </c>
      <c r="W24" s="21" t="str">
        <f>IFERROR(__xludf.DUMMYFUNCTION("""COMPUTED_VALUE"""),"ANIRBAN MUKHERJEE ")</f>
        <v>ANIRBAN MUKHERJEE </v>
      </c>
      <c r="X24" s="21" t="str">
        <f>IFERROR(__xludf.DUMMYFUNCTION("""COMPUTED_VALUE"""),"Father ")</f>
        <v>Father </v>
      </c>
      <c r="Y24" s="21" t="str">
        <f>IFERROR(__xludf.DUMMYFUNCTION("""COMPUTED_VALUE"""),"MAHUA MUKHERJEE ")</f>
        <v>MAHUA MUKHERJEE </v>
      </c>
      <c r="Z24" s="21" t="str">
        <f>IFERROR(__xludf.DUMMYFUNCTION("""COMPUTED_VALUE"""),"Mother")</f>
        <v>Mother</v>
      </c>
      <c r="AA24" s="21" t="str">
        <f>IFERROR(__xludf.DUMMYFUNCTION("""COMPUTED_VALUE"""),"Non-Veg")</f>
        <v>Non-Veg</v>
      </c>
      <c r="AB24" s="21" t="str">
        <f>IFERROR(__xludf.DUMMYFUNCTION("""COMPUTED_VALUE"""),"Veg")</f>
        <v>Veg</v>
      </c>
      <c r="AC24" s="21" t="str">
        <f>IFERROR(__xludf.DUMMYFUNCTION("""COMPUTED_VALUE"""),"Non-Veg")</f>
        <v>Non-Veg</v>
      </c>
      <c r="AD24" s="21" t="str">
        <f>IFERROR(__xludf.DUMMYFUNCTION("""COMPUTED_VALUE"""),"Bus Drop Service not needed")</f>
        <v>Bus Drop Service not needed</v>
      </c>
      <c r="AE24" s="21">
        <f>IFERROR(__xludf.DUMMYFUNCTION("""COMPUTED_VALUE"""),0.0)</f>
        <v>0</v>
      </c>
    </row>
    <row r="25" ht="22.5" customHeight="1">
      <c r="A25" s="18">
        <f>IFERROR(__xludf.DUMMYFUNCTION("""COMPUTED_VALUE"""),46261.46549931713)</f>
        <v>46261.4655</v>
      </c>
      <c r="B25" s="21" t="str">
        <f>IFERROR(__xludf.DUMMYFUNCTION("""COMPUTED_VALUE"""),"kritirani09@gmail.com")</f>
        <v>kritirani09@gmail.com</v>
      </c>
      <c r="C25" s="21" t="str">
        <f>IFERROR(__xludf.DUMMYFUNCTION("""COMPUTED_VALUE"""),"KRITI RANI")</f>
        <v>KRITI RANI</v>
      </c>
      <c r="D25" s="21">
        <f>IFERROR(__xludf.DUMMYFUNCTION("""COMPUTED_VALUE"""),2.0210218E7)</f>
        <v>20210218</v>
      </c>
      <c r="E25" s="21" t="str">
        <f>IFERROR(__xludf.DUMMYFUNCTION("""COMPUTED_VALUE"""),"B.Sc (Hons) Nursing 2021")</f>
        <v>B.Sc (Hons) Nursing 2021</v>
      </c>
      <c r="F25" s="21">
        <f>IFERROR(__xludf.DUMMYFUNCTION("""COMPUTED_VALUE"""),8.017475967E9)</f>
        <v>8017475967</v>
      </c>
      <c r="G25" s="21" t="str">
        <f>IFERROR(__xludf.DUMMYFUNCTION("""COMPUTED_VALUE"""),"kritirani09@gmail.com")</f>
        <v>kritirani09@gmail.com</v>
      </c>
      <c r="H25" s="21" t="str">
        <f>IFERROR(__xludf.DUMMYFUNCTION("""COMPUTED_VALUE"""),"Yes")</f>
        <v>Yes</v>
      </c>
      <c r="I25" s="21" t="str">
        <f>IFERROR(__xludf.DUMMYFUNCTION("""COMPUTED_VALUE"""),"Reading, singing")</f>
        <v>Reading, singing</v>
      </c>
      <c r="J25" s="21"/>
      <c r="K25" s="21" t="str">
        <f>IFERROR(__xludf.DUMMYFUNCTION("""COMPUTED_VALUE"""),"Patna, Kolkata ")</f>
        <v>Patna, Kolkata </v>
      </c>
      <c r="L25" s="22" t="str">
        <f>IFERROR(__xludf.DUMMYFUNCTION("""COMPUTED_VALUE"""),"https://drive.google.com/open?id=1EQsc_fYLaTRd_kbeacLyeEIpYs-q_N7E")</f>
        <v>https://drive.google.com/open?id=1EQsc_fYLaTRd_kbeacLyeEIpYs-q_N7E</v>
      </c>
      <c r="M25" s="22" t="str">
        <f>IFERROR(__xludf.DUMMYFUNCTION("""COMPUTED_VALUE"""),"https://drive.google.com/open?id=1t7sh8VESGNONWELAVzkctbPURibtLjDj")</f>
        <v>https://drive.google.com/open?id=1t7sh8VESGNONWELAVzkctbPURibtLjDj</v>
      </c>
      <c r="N25" s="21" t="str">
        <f>IFERROR(__xludf.DUMMYFUNCTION("""COMPUTED_VALUE"""),"Om Prakash Sinha ")</f>
        <v>Om Prakash Sinha </v>
      </c>
      <c r="O25" s="21" t="str">
        <f>IFERROR(__xludf.DUMMYFUNCTION("""COMPUTED_VALUE"""),"Senior Audit Officer ")</f>
        <v>Senior Audit Officer </v>
      </c>
      <c r="P25" s="21" t="str">
        <f>IFERROR(__xludf.DUMMYFUNCTION("""COMPUTED_VALUE"""),"Kolkata ")</f>
        <v>Kolkata </v>
      </c>
      <c r="Q25" s="21">
        <f>IFERROR(__xludf.DUMMYFUNCTION("""COMPUTED_VALUE"""),9.339610211E9)</f>
        <v>9339610211</v>
      </c>
      <c r="R25" s="21" t="str">
        <f>IFERROR(__xludf.DUMMYFUNCTION("""COMPUTED_VALUE"""),"Sujeeti Devi")</f>
        <v>Sujeeti Devi</v>
      </c>
      <c r="S25" s="21" t="str">
        <f>IFERROR(__xludf.DUMMYFUNCTION("""COMPUTED_VALUE"""),"Homemaker ")</f>
        <v>Homemaker </v>
      </c>
      <c r="T25" s="21" t="str">
        <f>IFERROR(__xludf.DUMMYFUNCTION("""COMPUTED_VALUE"""),"Kolkata")</f>
        <v>Kolkata</v>
      </c>
      <c r="U25" s="21">
        <f>IFERROR(__xludf.DUMMYFUNCTION("""COMPUTED_VALUE"""),9.339980074E9)</f>
        <v>9339980074</v>
      </c>
      <c r="V25" s="21">
        <f>IFERROR(__xludf.DUMMYFUNCTION("""COMPUTED_VALUE"""),2.0)</f>
        <v>2</v>
      </c>
      <c r="W25" s="21" t="str">
        <f>IFERROR(__xludf.DUMMYFUNCTION("""COMPUTED_VALUE"""),"Sujeeti Devi ")</f>
        <v>Sujeeti Devi </v>
      </c>
      <c r="X25" s="21" t="str">
        <f>IFERROR(__xludf.DUMMYFUNCTION("""COMPUTED_VALUE"""),"Mother")</f>
        <v>Mother</v>
      </c>
      <c r="Y25" s="21" t="str">
        <f>IFERROR(__xludf.DUMMYFUNCTION("""COMPUTED_VALUE"""),"Om Prakash Sinha ")</f>
        <v>Om Prakash Sinha </v>
      </c>
      <c r="Z25" s="21" t="str">
        <f>IFERROR(__xludf.DUMMYFUNCTION("""COMPUTED_VALUE"""),"Father")</f>
        <v>Father</v>
      </c>
      <c r="AA25" s="21" t="str">
        <f>IFERROR(__xludf.DUMMYFUNCTION("""COMPUTED_VALUE"""),"Veg")</f>
        <v>Veg</v>
      </c>
      <c r="AB25" s="21" t="str">
        <f>IFERROR(__xludf.DUMMYFUNCTION("""COMPUTED_VALUE"""),"Veg")</f>
        <v>Veg</v>
      </c>
      <c r="AC25" s="21" t="str">
        <f>IFERROR(__xludf.DUMMYFUNCTION("""COMPUTED_VALUE"""),"Non-Veg")</f>
        <v>Non-Veg</v>
      </c>
      <c r="AD25" s="21" t="str">
        <f>IFERROR(__xludf.DUMMYFUNCTION("""COMPUTED_VALUE"""),"Bus Drop Service not needed")</f>
        <v>Bus Drop Service not needed</v>
      </c>
      <c r="AE25" s="21">
        <f>IFERROR(__xludf.DUMMYFUNCTION("""COMPUTED_VALUE"""),0.0)</f>
        <v>0</v>
      </c>
    </row>
    <row r="26" ht="22.5" customHeight="1">
      <c r="A26" s="18">
        <f>IFERROR(__xludf.DUMMYFUNCTION("""COMPUTED_VALUE"""),46260.85055664352)</f>
        <v>46260.85056</v>
      </c>
      <c r="B26" s="21" t="str">
        <f>IFERROR(__xludf.DUMMYFUNCTION("""COMPUTED_VALUE"""),"puspitatitli@gmail.com")</f>
        <v>puspitatitli@gmail.com</v>
      </c>
      <c r="C26" s="21" t="str">
        <f>IFERROR(__xludf.DUMMYFUNCTION("""COMPUTED_VALUE"""),"PUSPITA BISWAS")</f>
        <v>PUSPITA BISWAS</v>
      </c>
      <c r="D26" s="21">
        <f>IFERROR(__xludf.DUMMYFUNCTION("""COMPUTED_VALUE"""),2.0210242E7)</f>
        <v>20210242</v>
      </c>
      <c r="E26" s="21" t="str">
        <f>IFERROR(__xludf.DUMMYFUNCTION("""COMPUTED_VALUE"""),"B.Sc (Hons) Nursing 2021")</f>
        <v>B.Sc (Hons) Nursing 2021</v>
      </c>
      <c r="F26" s="21">
        <f>IFERROR(__xludf.DUMMYFUNCTION("""COMPUTED_VALUE"""),7.001892495E9)</f>
        <v>7001892495</v>
      </c>
      <c r="G26" s="21" t="str">
        <f>IFERROR(__xludf.DUMMYFUNCTION("""COMPUTED_VALUE"""),"puspitatitli@gmail.com")</f>
        <v>puspitatitli@gmail.com</v>
      </c>
      <c r="H26" s="21" t="str">
        <f>IFERROR(__xludf.DUMMYFUNCTION("""COMPUTED_VALUE"""),"Yes")</f>
        <v>Yes</v>
      </c>
      <c r="I26" s="21" t="str">
        <f>IFERROR(__xludf.DUMMYFUNCTION("""COMPUTED_VALUE"""),"Listening to music and singing")</f>
        <v>Listening to music and singing</v>
      </c>
      <c r="J26" s="21" t="str">
        <f>IFERROR(__xludf.DUMMYFUNCTION("""COMPUTED_VALUE"""),"2nd position in Inter College Quiz Competition in LIMBUS, 2024 
2nd position in Quiz competition in annual interhouse competition, 2024
")</f>
        <v>2nd position in Inter College Quiz Competition in LIMBUS, 2024 
2nd position in Quiz competition in annual interhouse competition, 2024
</v>
      </c>
      <c r="K26" s="21" t="str">
        <f>IFERROR(__xludf.DUMMYFUNCTION("""COMPUTED_VALUE"""),"Adra, Purulia, West Bengal")</f>
        <v>Adra, Purulia, West Bengal</v>
      </c>
      <c r="L26" s="22" t="str">
        <f>IFERROR(__xludf.DUMMYFUNCTION("""COMPUTED_VALUE"""),"https://drive.google.com/open?id=12BNG6P5xXWi32CK6CXgPf4UawJfUZFmi")</f>
        <v>https://drive.google.com/open?id=12BNG6P5xXWi32CK6CXgPf4UawJfUZFmi</v>
      </c>
      <c r="M26" s="22" t="str">
        <f>IFERROR(__xludf.DUMMYFUNCTION("""COMPUTED_VALUE"""),"https://drive.google.com/open?id=1YVDOVy1dIyuZ3_6xtT8zIma4Kr9-z6Ab")</f>
        <v>https://drive.google.com/open?id=1YVDOVy1dIyuZ3_6xtT8zIma4Kr9-z6Ab</v>
      </c>
      <c r="N26" s="21" t="str">
        <f>IFERROR(__xludf.DUMMYFUNCTION("""COMPUTED_VALUE"""),"PINAKI BISWAS")</f>
        <v>PINAKI BISWAS</v>
      </c>
      <c r="O26" s="21" t="str">
        <f>IFERROR(__xludf.DUMMYFUNCTION("""COMPUTED_VALUE"""),"Assistant Divisional Electrical Engineer (ADEE), South Eastern Railway. ")</f>
        <v>Assistant Divisional Electrical Engineer (ADEE), South Eastern Railway. </v>
      </c>
      <c r="P26" s="21" t="str">
        <f>IFERROR(__xludf.DUMMYFUNCTION("""COMPUTED_VALUE"""),"Jamshedpur, Jharkhand")</f>
        <v>Jamshedpur, Jharkhand</v>
      </c>
      <c r="Q26" s="21">
        <f>IFERROR(__xludf.DUMMYFUNCTION("""COMPUTED_VALUE"""),8.967152595E9)</f>
        <v>8967152595</v>
      </c>
      <c r="R26" s="21" t="str">
        <f>IFERROR(__xludf.DUMMYFUNCTION("""COMPUTED_VALUE"""),"KAKALI BISWAS")</f>
        <v>KAKALI BISWAS</v>
      </c>
      <c r="S26" s="21" t="str">
        <f>IFERROR(__xludf.DUMMYFUNCTION("""COMPUTED_VALUE"""),"Homemaker")</f>
        <v>Homemaker</v>
      </c>
      <c r="T26" s="21" t="str">
        <f>IFERROR(__xludf.DUMMYFUNCTION("""COMPUTED_VALUE"""),"Jamshedpur, Jharkhand")</f>
        <v>Jamshedpur, Jharkhand</v>
      </c>
      <c r="U26" s="21">
        <f>IFERROR(__xludf.DUMMYFUNCTION("""COMPUTED_VALUE"""),7.001663505E9)</f>
        <v>7001663505</v>
      </c>
      <c r="V26" s="21">
        <f>IFERROR(__xludf.DUMMYFUNCTION("""COMPUTED_VALUE"""),2.0)</f>
        <v>2</v>
      </c>
      <c r="W26" s="21" t="str">
        <f>IFERROR(__xludf.DUMMYFUNCTION("""COMPUTED_VALUE"""),"KAKALI BISWAS")</f>
        <v>KAKALI BISWAS</v>
      </c>
      <c r="X26" s="21" t="str">
        <f>IFERROR(__xludf.DUMMYFUNCTION("""COMPUTED_VALUE"""),"Mother")</f>
        <v>Mother</v>
      </c>
      <c r="Y26" s="21" t="str">
        <f>IFERROR(__xludf.DUMMYFUNCTION("""COMPUTED_VALUE"""),"PINAKI BISWAS")</f>
        <v>PINAKI BISWAS</v>
      </c>
      <c r="Z26" s="21" t="str">
        <f>IFERROR(__xludf.DUMMYFUNCTION("""COMPUTED_VALUE"""),"Father")</f>
        <v>Father</v>
      </c>
      <c r="AA26" s="21" t="str">
        <f>IFERROR(__xludf.DUMMYFUNCTION("""COMPUTED_VALUE"""),"Non-Veg")</f>
        <v>Non-Veg</v>
      </c>
      <c r="AB26" s="21" t="str">
        <f>IFERROR(__xludf.DUMMYFUNCTION("""COMPUTED_VALUE"""),"Non-Veg")</f>
        <v>Non-Veg</v>
      </c>
      <c r="AC26" s="21" t="str">
        <f>IFERROR(__xludf.DUMMYFUNCTION("""COMPUTED_VALUE"""),"Non-Veg")</f>
        <v>Non-Veg</v>
      </c>
      <c r="AD26" s="21" t="str">
        <f>IFERROR(__xludf.DUMMYFUNCTION("""COMPUTED_VALUE"""),"Drop at Kalyani Railway Station")</f>
        <v>Drop at Kalyani Railway Station</v>
      </c>
      <c r="AE26" s="21">
        <f>IFERROR(__xludf.DUMMYFUNCTION("""COMPUTED_VALUE"""),3.0)</f>
        <v>3</v>
      </c>
    </row>
    <row r="27" ht="22.5" customHeight="1">
      <c r="A27" s="18">
        <f>IFERROR(__xludf.DUMMYFUNCTION("""COMPUTED_VALUE"""),46260.83502195602)</f>
        <v>46260.83502</v>
      </c>
      <c r="B27" s="21" t="str">
        <f>IFERROR(__xludf.DUMMYFUNCTION("""COMPUTED_VALUE"""),"paromitaghoshal10@gmail.com")</f>
        <v>paromitaghoshal10@gmail.com</v>
      </c>
      <c r="C27" s="21" t="str">
        <f>IFERROR(__xludf.DUMMYFUNCTION("""COMPUTED_VALUE"""),"PAROMITA GHOSHAL ")</f>
        <v>PAROMITA GHOSHAL </v>
      </c>
      <c r="D27" s="21">
        <f>IFERROR(__xludf.DUMMYFUNCTION("""COMPUTED_VALUE"""),2.0210234E7)</f>
        <v>20210234</v>
      </c>
      <c r="E27" s="21" t="str">
        <f>IFERROR(__xludf.DUMMYFUNCTION("""COMPUTED_VALUE"""),"B.Sc (Hons) Nursing 2021")</f>
        <v>B.Sc (Hons) Nursing 2021</v>
      </c>
      <c r="F27" s="21">
        <f>IFERROR(__xludf.DUMMYFUNCTION("""COMPUTED_VALUE"""),6.28970433E9)</f>
        <v>6289704330</v>
      </c>
      <c r="G27" s="21" t="str">
        <f>IFERROR(__xludf.DUMMYFUNCTION("""COMPUTED_VALUE"""),"paromitaghoshal10@gmail.com")</f>
        <v>paromitaghoshal10@gmail.com</v>
      </c>
      <c r="H27" s="21" t="str">
        <f>IFERROR(__xludf.DUMMYFUNCTION("""COMPUTED_VALUE"""),"Yes")</f>
        <v>Yes</v>
      </c>
      <c r="I27" s="21" t="str">
        <f>IFERROR(__xludf.DUMMYFUNCTION("""COMPUTED_VALUE"""),"Listening music")</f>
        <v>Listening music</v>
      </c>
      <c r="J27" s="21" t="str">
        <f>IFERROR(__xludf.DUMMYFUNCTION("""COMPUTED_VALUE"""),"None")</f>
        <v>None</v>
      </c>
      <c r="K27" s="21" t="str">
        <f>IFERROR(__xludf.DUMMYFUNCTION("""COMPUTED_VALUE"""),"Baruipur ")</f>
        <v>Baruipur </v>
      </c>
      <c r="L27" s="22" t="str">
        <f>IFERROR(__xludf.DUMMYFUNCTION("""COMPUTED_VALUE"""),"https://drive.google.com/open?id=1ndP96MZXOCBl_KkpL18Kdf8jW7Rmw5yY")</f>
        <v>https://drive.google.com/open?id=1ndP96MZXOCBl_KkpL18Kdf8jW7Rmw5yY</v>
      </c>
      <c r="M27" s="22" t="str">
        <f>IFERROR(__xludf.DUMMYFUNCTION("""COMPUTED_VALUE"""),"https://drive.google.com/open?id=1Nw6P4AOw8_4vSJ2OdAQZZ2qgMF3T045K")</f>
        <v>https://drive.google.com/open?id=1Nw6P4AOw8_4vSJ2OdAQZZ2qgMF3T045K</v>
      </c>
      <c r="N27" s="21" t="str">
        <f>IFERROR(__xludf.DUMMYFUNCTION("""COMPUTED_VALUE"""),"Prabir Kumar Ghoshal ")</f>
        <v>Prabir Kumar Ghoshal </v>
      </c>
      <c r="O27" s="21" t="str">
        <f>IFERROR(__xludf.DUMMYFUNCTION("""COMPUTED_VALUE"""),"Service ")</f>
        <v>Service </v>
      </c>
      <c r="P27" s="21" t="str">
        <f>IFERROR(__xludf.DUMMYFUNCTION("""COMPUTED_VALUE"""),"Baruipur ")</f>
        <v>Baruipur </v>
      </c>
      <c r="Q27" s="21">
        <f>IFERROR(__xludf.DUMMYFUNCTION("""COMPUTED_VALUE"""),9.836179253E9)</f>
        <v>9836179253</v>
      </c>
      <c r="R27" s="21" t="str">
        <f>IFERROR(__xludf.DUMMYFUNCTION("""COMPUTED_VALUE"""),"Purnima Ghoshal ")</f>
        <v>Purnima Ghoshal </v>
      </c>
      <c r="S27" s="21" t="str">
        <f>IFERROR(__xludf.DUMMYFUNCTION("""COMPUTED_VALUE"""),"Homemaker ")</f>
        <v>Homemaker </v>
      </c>
      <c r="T27" s="21" t="str">
        <f>IFERROR(__xludf.DUMMYFUNCTION("""COMPUTED_VALUE"""),"Baruipur ")</f>
        <v>Baruipur </v>
      </c>
      <c r="U27" s="21">
        <f>IFERROR(__xludf.DUMMYFUNCTION("""COMPUTED_VALUE"""),8.013378159E9)</f>
        <v>8013378159</v>
      </c>
      <c r="V27" s="21">
        <f>IFERROR(__xludf.DUMMYFUNCTION("""COMPUTED_VALUE"""),2.0)</f>
        <v>2</v>
      </c>
      <c r="W27" s="21" t="str">
        <f>IFERROR(__xludf.DUMMYFUNCTION("""COMPUTED_VALUE"""),"Prabir Kumar Ghoshal ")</f>
        <v>Prabir Kumar Ghoshal </v>
      </c>
      <c r="X27" s="21" t="str">
        <f>IFERROR(__xludf.DUMMYFUNCTION("""COMPUTED_VALUE"""),"Father ")</f>
        <v>Father </v>
      </c>
      <c r="Y27" s="21" t="str">
        <f>IFERROR(__xludf.DUMMYFUNCTION("""COMPUTED_VALUE"""),"Purnima Ghoshal ")</f>
        <v>Purnima Ghoshal </v>
      </c>
      <c r="Z27" s="21" t="str">
        <f>IFERROR(__xludf.DUMMYFUNCTION("""COMPUTED_VALUE"""),"Mother ")</f>
        <v>Mother </v>
      </c>
      <c r="AA27" s="21" t="str">
        <f>IFERROR(__xludf.DUMMYFUNCTION("""COMPUTED_VALUE"""),"Non-Veg")</f>
        <v>Non-Veg</v>
      </c>
      <c r="AB27" s="21" t="str">
        <f>IFERROR(__xludf.DUMMYFUNCTION("""COMPUTED_VALUE"""),"Non-Veg")</f>
        <v>Non-Veg</v>
      </c>
      <c r="AC27" s="21" t="str">
        <f>IFERROR(__xludf.DUMMYFUNCTION("""COMPUTED_VALUE"""),"Non-Veg")</f>
        <v>Non-Veg</v>
      </c>
      <c r="AD27" s="21" t="str">
        <f>IFERROR(__xludf.DUMMYFUNCTION("""COMPUTED_VALUE"""),"Bus Drop Service not needed")</f>
        <v>Bus Drop Service not needed</v>
      </c>
      <c r="AE27" s="21"/>
    </row>
    <row r="28" ht="22.5" customHeight="1">
      <c r="A28" s="18">
        <f>IFERROR(__xludf.DUMMYFUNCTION("""COMPUTED_VALUE"""),46259.73850690972)</f>
        <v>46259.73851</v>
      </c>
      <c r="B28" s="21" t="str">
        <f>IFERROR(__xludf.DUMMYFUNCTION("""COMPUTED_VALUE"""),"samina.bscnursing-2021@aiimskalyani.edu.in")</f>
        <v>samina.bscnursing-2021@aiimskalyani.edu.in</v>
      </c>
      <c r="C28" s="21" t="str">
        <f>IFERROR(__xludf.DUMMYFUNCTION("""COMPUTED_VALUE"""),"SAMINA YASMIN ")</f>
        <v>SAMINA YASMIN </v>
      </c>
      <c r="D28" s="21">
        <f>IFERROR(__xludf.DUMMYFUNCTION("""COMPUTED_VALUE"""),2.0210243E7)</f>
        <v>20210243</v>
      </c>
      <c r="E28" s="21" t="str">
        <f>IFERROR(__xludf.DUMMYFUNCTION("""COMPUTED_VALUE"""),"B.Sc (Hons) Nursing 2021")</f>
        <v>B.Sc (Hons) Nursing 2021</v>
      </c>
      <c r="F28" s="21">
        <f>IFERROR(__xludf.DUMMYFUNCTION("""COMPUTED_VALUE"""),8.52946088E9)</f>
        <v>8529460880</v>
      </c>
      <c r="G28" s="21" t="str">
        <f>IFERROR(__xludf.DUMMYFUNCTION("""COMPUTED_VALUE"""),"yasminsamina2312@gmail.com")</f>
        <v>yasminsamina2312@gmail.com</v>
      </c>
      <c r="H28" s="21" t="str">
        <f>IFERROR(__xludf.DUMMYFUNCTION("""COMPUTED_VALUE"""),"Yes")</f>
        <v>Yes</v>
      </c>
      <c r="I28" s="21" t="str">
        <f>IFERROR(__xludf.DUMMYFUNCTION("""COMPUTED_VALUE"""),"Travelling and exploring  new places 
Cooking  and listening  music 
")</f>
        <v>Travelling and exploring  new places 
Cooking  and listening  music 
</v>
      </c>
      <c r="J28" s="21" t="str">
        <f>IFERROR(__xludf.DUMMYFUNCTION("""COMPUTED_VALUE"""),"NA")</f>
        <v>NA</v>
      </c>
      <c r="K28" s="21" t="str">
        <f>IFERROR(__xludf.DUMMYFUNCTION("""COMPUTED_VALUE"""),"Uttar Dinajpur ")</f>
        <v>Uttar Dinajpur </v>
      </c>
      <c r="L28" s="22" t="str">
        <f>IFERROR(__xludf.DUMMYFUNCTION("""COMPUTED_VALUE"""),"https://drive.google.com/open?id=1ff7w9oWM0zZamED4L5zGFL1ShxRfELVm")</f>
        <v>https://drive.google.com/open?id=1ff7w9oWM0zZamED4L5zGFL1ShxRfELVm</v>
      </c>
      <c r="M28" s="22" t="str">
        <f>IFERROR(__xludf.DUMMYFUNCTION("""COMPUTED_VALUE"""),"https://drive.google.com/open?id=15g0VUuS3eWOtYa4xYiE-49HMFJkGPJ_H")</f>
        <v>https://drive.google.com/open?id=15g0VUuS3eWOtYa4xYiE-49HMFJkGPJ_H</v>
      </c>
      <c r="N28" s="21" t="str">
        <f>IFERROR(__xludf.DUMMYFUNCTION("""COMPUTED_VALUE"""),"MD.Islamuddin")</f>
        <v>MD.Islamuddin</v>
      </c>
      <c r="O28" s="21" t="str">
        <f>IFERROR(__xludf.DUMMYFUNCTION("""COMPUTED_VALUE"""),"Servicemen ( Kolkata  police)")</f>
        <v>Servicemen ( Kolkata  police)</v>
      </c>
      <c r="P28" s="21" t="str">
        <f>IFERROR(__xludf.DUMMYFUNCTION("""COMPUTED_VALUE"""),"Uttar  Dinajpur ")</f>
        <v>Uttar  Dinajpur </v>
      </c>
      <c r="Q28" s="21">
        <f>IFERROR(__xludf.DUMMYFUNCTION("""COMPUTED_VALUE"""),8.777838566E9)</f>
        <v>8777838566</v>
      </c>
      <c r="R28" s="21" t="str">
        <f>IFERROR(__xludf.DUMMYFUNCTION("""COMPUTED_VALUE"""),"Manwara  Begam")</f>
        <v>Manwara  Begam</v>
      </c>
      <c r="S28" s="21" t="str">
        <f>IFERROR(__xludf.DUMMYFUNCTION("""COMPUTED_VALUE"""),"Housewife ")</f>
        <v>Housewife </v>
      </c>
      <c r="T28" s="21" t="str">
        <f>IFERROR(__xludf.DUMMYFUNCTION("""COMPUTED_VALUE"""),"Uttar Dinajpur ")</f>
        <v>Uttar Dinajpur </v>
      </c>
      <c r="U28" s="21">
        <f>IFERROR(__xludf.DUMMYFUNCTION("""COMPUTED_VALUE"""),9.679153471E9)</f>
        <v>9679153471</v>
      </c>
      <c r="V28" s="21">
        <f>IFERROR(__xludf.DUMMYFUNCTION("""COMPUTED_VALUE"""),1.0)</f>
        <v>1</v>
      </c>
      <c r="W28" s="21" t="str">
        <f>IFERROR(__xludf.DUMMYFUNCTION("""COMPUTED_VALUE"""),"MD . Islamuddin")</f>
        <v>MD . Islamuddin</v>
      </c>
      <c r="X28" s="21" t="str">
        <f>IFERROR(__xludf.DUMMYFUNCTION("""COMPUTED_VALUE"""),"Father ")</f>
        <v>Father </v>
      </c>
      <c r="Y28" s="21" t="str">
        <f>IFERROR(__xludf.DUMMYFUNCTION("""COMPUTED_VALUE"""),"NA")</f>
        <v>NA</v>
      </c>
      <c r="Z28" s="21" t="str">
        <f>IFERROR(__xludf.DUMMYFUNCTION("""COMPUTED_VALUE"""),"NA")</f>
        <v>NA</v>
      </c>
      <c r="AA28" s="21" t="str">
        <f>IFERROR(__xludf.DUMMYFUNCTION("""COMPUTED_VALUE"""),"Non-Veg")</f>
        <v>Non-Veg</v>
      </c>
      <c r="AB28" s="21" t="str">
        <f>IFERROR(__xludf.DUMMYFUNCTION("""COMPUTED_VALUE"""),"Non-Veg")</f>
        <v>Non-Veg</v>
      </c>
      <c r="AC28" s="21"/>
      <c r="AD28" s="21" t="str">
        <f>IFERROR(__xludf.DUMMYFUNCTION("""COMPUTED_VALUE"""),"Bus Drop Service not needed")</f>
        <v>Bus Drop Service not needed</v>
      </c>
      <c r="AE28" s="21">
        <f>IFERROR(__xludf.DUMMYFUNCTION("""COMPUTED_VALUE"""),0.0)</f>
        <v>0</v>
      </c>
    </row>
    <row r="29" ht="22.5" customHeight="1">
      <c r="A29" s="18">
        <f>IFERROR(__xludf.DUMMYFUNCTION("""COMPUTED_VALUE"""),46259.461452476855)</f>
        <v>46259.46145</v>
      </c>
      <c r="B29" s="21" t="str">
        <f>IFERROR(__xludf.DUMMYFUNCTION("""COMPUTED_VALUE"""),"tuabanerjee1998@gmail.com")</f>
        <v>tuabanerjee1998@gmail.com</v>
      </c>
      <c r="C29" s="21" t="str">
        <f>IFERROR(__xludf.DUMMYFUNCTION("""COMPUTED_VALUE"""),"SUKANYA BANERJEE")</f>
        <v>SUKANYA BANERJEE</v>
      </c>
      <c r="D29" s="21">
        <f>IFERROR(__xludf.DUMMYFUNCTION("""COMPUTED_VALUE"""),2.0210254E7)</f>
        <v>20210254</v>
      </c>
      <c r="E29" s="21" t="str">
        <f>IFERROR(__xludf.DUMMYFUNCTION("""COMPUTED_VALUE"""),"B.Sc (Hons) Nursing 2021")</f>
        <v>B.Sc (Hons) Nursing 2021</v>
      </c>
      <c r="F29" s="21">
        <f>IFERROR(__xludf.DUMMYFUNCTION("""COMPUTED_VALUE"""),8.967823183E9)</f>
        <v>8967823183</v>
      </c>
      <c r="G29" s="21" t="str">
        <f>IFERROR(__xludf.DUMMYFUNCTION("""COMPUTED_VALUE"""),"tuabanerjee1998@gmail.com")</f>
        <v>tuabanerjee1998@gmail.com</v>
      </c>
      <c r="H29" s="21" t="str">
        <f>IFERROR(__xludf.DUMMYFUNCTION("""COMPUTED_VALUE"""),"Yes")</f>
        <v>Yes</v>
      </c>
      <c r="I29" s="21" t="str">
        <f>IFERROR(__xludf.DUMMYFUNCTION("""COMPUTED_VALUE"""),"Reading books")</f>
        <v>Reading books</v>
      </c>
      <c r="J29" s="21"/>
      <c r="K29" s="21" t="str">
        <f>IFERROR(__xludf.DUMMYFUNCTION("""COMPUTED_VALUE"""),"Basirhat")</f>
        <v>Basirhat</v>
      </c>
      <c r="L29" s="22" t="str">
        <f>IFERROR(__xludf.DUMMYFUNCTION("""COMPUTED_VALUE"""),"https://drive.google.com/open?id=18VpKBK02odLSuP_Vz9lZWXzo-g8-Ho2p")</f>
        <v>https://drive.google.com/open?id=18VpKBK02odLSuP_Vz9lZWXzo-g8-Ho2p</v>
      </c>
      <c r="M29" s="22" t="str">
        <f>IFERROR(__xludf.DUMMYFUNCTION("""COMPUTED_VALUE"""),"https://drive.google.com/open?id=15YmVzTzAigXyrk6ABa9nTOXGTUBg4ydd")</f>
        <v>https://drive.google.com/open?id=15YmVzTzAigXyrk6ABa9nTOXGTUBg4ydd</v>
      </c>
      <c r="N29" s="21" t="str">
        <f>IFERROR(__xludf.DUMMYFUNCTION("""COMPUTED_VALUE"""),"TAPAS BANERJEE")</f>
        <v>TAPAS BANERJEE</v>
      </c>
      <c r="O29" s="21" t="str">
        <f>IFERROR(__xludf.DUMMYFUNCTION("""COMPUTED_VALUE"""),"Retired Government Employee")</f>
        <v>Retired Government Employee</v>
      </c>
      <c r="P29" s="21" t="str">
        <f>IFERROR(__xludf.DUMMYFUNCTION("""COMPUTED_VALUE"""),"Barasat")</f>
        <v>Barasat</v>
      </c>
      <c r="Q29" s="21">
        <f>IFERROR(__xludf.DUMMYFUNCTION("""COMPUTED_VALUE"""),9.051225778E9)</f>
        <v>9051225778</v>
      </c>
      <c r="R29" s="21" t="str">
        <f>IFERROR(__xludf.DUMMYFUNCTION("""COMPUTED_VALUE"""),"CHAITALI BANERJEE")</f>
        <v>CHAITALI BANERJEE</v>
      </c>
      <c r="S29" s="21" t="str">
        <f>IFERROR(__xludf.DUMMYFUNCTION("""COMPUTED_VALUE"""),"House Wife")</f>
        <v>House Wife</v>
      </c>
      <c r="T29" s="21" t="str">
        <f>IFERROR(__xludf.DUMMYFUNCTION("""COMPUTED_VALUE"""),"Barasat")</f>
        <v>Barasat</v>
      </c>
      <c r="U29" s="21">
        <f>IFERROR(__xludf.DUMMYFUNCTION("""COMPUTED_VALUE"""),9.083248006E9)</f>
        <v>9083248006</v>
      </c>
      <c r="V29" s="21">
        <f>IFERROR(__xludf.DUMMYFUNCTION("""COMPUTED_VALUE"""),2.0)</f>
        <v>2</v>
      </c>
      <c r="W29" s="21" t="str">
        <f>IFERROR(__xludf.DUMMYFUNCTION("""COMPUTED_VALUE"""),"Tapas Banerjee")</f>
        <v>Tapas Banerjee</v>
      </c>
      <c r="X29" s="21" t="str">
        <f>IFERROR(__xludf.DUMMYFUNCTION("""COMPUTED_VALUE"""),"Father")</f>
        <v>Father</v>
      </c>
      <c r="Y29" s="21" t="str">
        <f>IFERROR(__xludf.DUMMYFUNCTION("""COMPUTED_VALUE"""),"Sreerup Banerjee")</f>
        <v>Sreerup Banerjee</v>
      </c>
      <c r="Z29" s="21" t="str">
        <f>IFERROR(__xludf.DUMMYFUNCTION("""COMPUTED_VALUE"""),"Brother")</f>
        <v>Brother</v>
      </c>
      <c r="AA29" s="21" t="str">
        <f>IFERROR(__xludf.DUMMYFUNCTION("""COMPUTED_VALUE"""),"Non-Veg")</f>
        <v>Non-Veg</v>
      </c>
      <c r="AB29" s="21" t="str">
        <f>IFERROR(__xludf.DUMMYFUNCTION("""COMPUTED_VALUE"""),"Non-Veg")</f>
        <v>Non-Veg</v>
      </c>
      <c r="AC29" s="21" t="str">
        <f>IFERROR(__xludf.DUMMYFUNCTION("""COMPUTED_VALUE"""),"Non-Veg")</f>
        <v>Non-Veg</v>
      </c>
      <c r="AD29" s="21" t="str">
        <f>IFERROR(__xludf.DUMMYFUNCTION("""COMPUTED_VALUE"""),"Bus Drop Service not needed")</f>
        <v>Bus Drop Service not needed</v>
      </c>
      <c r="AE29" s="21">
        <f>IFERROR(__xludf.DUMMYFUNCTION("""COMPUTED_VALUE"""),0.0)</f>
        <v>0</v>
      </c>
    </row>
    <row r="30" ht="22.5" customHeight="1">
      <c r="A30" s="18">
        <f>IFERROR(__xludf.DUMMYFUNCTION("""COMPUTED_VALUE"""),46259.43515655093)</f>
        <v>46259.43516</v>
      </c>
      <c r="B30" s="21" t="str">
        <f>IFERROR(__xludf.DUMMYFUNCTION("""COMPUTED_VALUE"""),"suchismitatikadar06@gmail.com")</f>
        <v>suchismitatikadar06@gmail.com</v>
      </c>
      <c r="C30" s="21" t="str">
        <f>IFERROR(__xludf.DUMMYFUNCTION("""COMPUTED_VALUE"""),"SUCHISMITA TIKADAR ")</f>
        <v>SUCHISMITA TIKADAR </v>
      </c>
      <c r="D30" s="21">
        <f>IFERROR(__xludf.DUMMYFUNCTION("""COMPUTED_VALUE"""),2.0210252E7)</f>
        <v>20210252</v>
      </c>
      <c r="E30" s="21" t="str">
        <f>IFERROR(__xludf.DUMMYFUNCTION("""COMPUTED_VALUE"""),"B.Sc (Hons) Nursing 2021")</f>
        <v>B.Sc (Hons) Nursing 2021</v>
      </c>
      <c r="F30" s="21">
        <f>IFERROR(__xludf.DUMMYFUNCTION("""COMPUTED_VALUE"""),8.167823201E9)</f>
        <v>8167823201</v>
      </c>
      <c r="G30" s="21" t="str">
        <f>IFERROR(__xludf.DUMMYFUNCTION("""COMPUTED_VALUE"""),"suchismitatikadar06@gmail.com")</f>
        <v>suchismitatikadar06@gmail.com</v>
      </c>
      <c r="H30" s="21" t="str">
        <f>IFERROR(__xludf.DUMMYFUNCTION("""COMPUTED_VALUE"""),"Yes")</f>
        <v>Yes</v>
      </c>
      <c r="I30" s="21" t="str">
        <f>IFERROR(__xludf.DUMMYFUNCTION("""COMPUTED_VALUE"""),"Listening to music ")</f>
        <v>Listening to music </v>
      </c>
      <c r="J30" s="21" t="str">
        <f>IFERROR(__xludf.DUMMYFUNCTION("""COMPUTED_VALUE"""),"CR in 4th year ")</f>
        <v>CR in 4th year </v>
      </c>
      <c r="K30" s="21" t="str">
        <f>IFERROR(__xludf.DUMMYFUNCTION("""COMPUTED_VALUE"""),"Barrackpore ")</f>
        <v>Barrackpore </v>
      </c>
      <c r="L30" s="22" t="str">
        <f>IFERROR(__xludf.DUMMYFUNCTION("""COMPUTED_VALUE"""),"https://drive.google.com/open?id=1in8EqddpfEgt0T8H8C9u4-s47ybeLQym")</f>
        <v>https://drive.google.com/open?id=1in8EqddpfEgt0T8H8C9u4-s47ybeLQym</v>
      </c>
      <c r="M30" s="22" t="str">
        <f>IFERROR(__xludf.DUMMYFUNCTION("""COMPUTED_VALUE"""),"https://drive.google.com/open?id=1PfFNHgJaZ24VQtrXvxJkCNPtDZdprTPV")</f>
        <v>https://drive.google.com/open?id=1PfFNHgJaZ24VQtrXvxJkCNPtDZdprTPV</v>
      </c>
      <c r="N30" s="21" t="str">
        <f>IFERROR(__xludf.DUMMYFUNCTION("""COMPUTED_VALUE"""),"Ramesh Chandra Tikadar ")</f>
        <v>Ramesh Chandra Tikadar </v>
      </c>
      <c r="O30" s="21" t="str">
        <f>IFERROR(__xludf.DUMMYFUNCTION("""COMPUTED_VALUE"""),"Retired Railway Employee")</f>
        <v>Retired Railway Employee</v>
      </c>
      <c r="P30" s="21" t="str">
        <f>IFERROR(__xludf.DUMMYFUNCTION("""COMPUTED_VALUE"""),"Barrackpore ")</f>
        <v>Barrackpore </v>
      </c>
      <c r="Q30" s="21">
        <f>IFERROR(__xludf.DUMMYFUNCTION("""COMPUTED_VALUE"""),8.101896944E9)</f>
        <v>8101896944</v>
      </c>
      <c r="R30" s="21" t="str">
        <f>IFERROR(__xludf.DUMMYFUNCTION("""COMPUTED_VALUE"""),"Sima Tikadar ")</f>
        <v>Sima Tikadar </v>
      </c>
      <c r="S30" s="21" t="str">
        <f>IFERROR(__xludf.DUMMYFUNCTION("""COMPUTED_VALUE"""),"House wife ")</f>
        <v>House wife </v>
      </c>
      <c r="T30" s="21" t="str">
        <f>IFERROR(__xludf.DUMMYFUNCTION("""COMPUTED_VALUE"""),"Barrackpore ")</f>
        <v>Barrackpore </v>
      </c>
      <c r="U30" s="21">
        <f>IFERROR(__xludf.DUMMYFUNCTION("""COMPUTED_VALUE"""),7.029022292E9)</f>
        <v>7029022292</v>
      </c>
      <c r="V30" s="21">
        <f>IFERROR(__xludf.DUMMYFUNCTION("""COMPUTED_VALUE"""),2.0)</f>
        <v>2</v>
      </c>
      <c r="W30" s="21" t="str">
        <f>IFERROR(__xludf.DUMMYFUNCTION("""COMPUTED_VALUE"""),"Ramesh Chandra Tikadar ")</f>
        <v>Ramesh Chandra Tikadar </v>
      </c>
      <c r="X30" s="21" t="str">
        <f>IFERROR(__xludf.DUMMYFUNCTION("""COMPUTED_VALUE"""),"Father")</f>
        <v>Father</v>
      </c>
      <c r="Y30" s="21" t="str">
        <f>IFERROR(__xludf.DUMMYFUNCTION("""COMPUTED_VALUE"""),"Sima Tikadar ")</f>
        <v>Sima Tikadar </v>
      </c>
      <c r="Z30" s="21" t="str">
        <f>IFERROR(__xludf.DUMMYFUNCTION("""COMPUTED_VALUE"""),"Mother ")</f>
        <v>Mother </v>
      </c>
      <c r="AA30" s="21" t="str">
        <f>IFERROR(__xludf.DUMMYFUNCTION("""COMPUTED_VALUE"""),"Non-Veg")</f>
        <v>Non-Veg</v>
      </c>
      <c r="AB30" s="21" t="str">
        <f>IFERROR(__xludf.DUMMYFUNCTION("""COMPUTED_VALUE"""),"Non-Veg")</f>
        <v>Non-Veg</v>
      </c>
      <c r="AC30" s="21" t="str">
        <f>IFERROR(__xludf.DUMMYFUNCTION("""COMPUTED_VALUE"""),"Non-Veg")</f>
        <v>Non-Veg</v>
      </c>
      <c r="AD30" s="21" t="str">
        <f>IFERROR(__xludf.DUMMYFUNCTION("""COMPUTED_VALUE"""),"Drop at Kalyani Railway Station")</f>
        <v>Drop at Kalyani Railway Station</v>
      </c>
      <c r="AE30" s="21">
        <f>IFERROR(__xludf.DUMMYFUNCTION("""COMPUTED_VALUE"""),3.0)</f>
        <v>3</v>
      </c>
    </row>
    <row r="31" ht="22.5" customHeight="1">
      <c r="A31" s="18">
        <f>IFERROR(__xludf.DUMMYFUNCTION("""COMPUTED_VALUE"""),46259.42438589121)</f>
        <v>46259.42439</v>
      </c>
      <c r="B31" s="21" t="str">
        <f>IFERROR(__xludf.DUMMYFUNCTION("""COMPUTED_VALUE"""),"harukinanase1999@gmail.com")</f>
        <v>harukinanase1999@gmail.com</v>
      </c>
      <c r="C31" s="21" t="str">
        <f>IFERROR(__xludf.DUMMYFUNCTION("""COMPUTED_VALUE"""),"Shreyasi Hati")</f>
        <v>Shreyasi Hati</v>
      </c>
      <c r="D31" s="21">
        <f>IFERROR(__xludf.DUMMYFUNCTION("""COMPUTED_VALUE"""),2.021026E7)</f>
        <v>20210260</v>
      </c>
      <c r="E31" s="21" t="str">
        <f>IFERROR(__xludf.DUMMYFUNCTION("""COMPUTED_VALUE"""),"B.Sc (Hons) Nursing 2021")</f>
        <v>B.Sc (Hons) Nursing 2021</v>
      </c>
      <c r="F31" s="21">
        <f>IFERROR(__xludf.DUMMYFUNCTION("""COMPUTED_VALUE"""),6.297209181E9)</f>
        <v>6297209181</v>
      </c>
      <c r="G31" s="21" t="str">
        <f>IFERROR(__xludf.DUMMYFUNCTION("""COMPUTED_VALUE"""),"harukinanase1999@gmail.com")</f>
        <v>harukinanase1999@gmail.com</v>
      </c>
      <c r="H31" s="21" t="str">
        <f>IFERROR(__xludf.DUMMYFUNCTION("""COMPUTED_VALUE"""),"Yes")</f>
        <v>Yes</v>
      </c>
      <c r="I31" s="21" t="str">
        <f>IFERROR(__xludf.DUMMYFUNCTION("""COMPUTED_VALUE"""),"Singing, Dancing, and writing stories.  ")</f>
        <v>Singing, Dancing, and writing stories.  </v>
      </c>
      <c r="J31" s="21" t="str">
        <f>IFERROR(__xludf.DUMMYFUNCTION("""COMPUTED_VALUE"""),"Sports- District level kabaddi and shot put player.
Cultural - State level extempore and recitation winner, District level declamation winner 2024 in YPC. Various winning positions held in solo classical dance, drama, singing, literary hunt, quiz, debate"&amp;", extempore, poem writing, slogan writing in inter house competitions during 4 years of college journey.
Notable Achievements:- Traditionally published international novelist. Total books and anthology published - 6+. Books have been published in 133 cou"&amp;"ntries including UK, USA, Canada, Japan, Australia and India through Ukiyoto Publishing India( An indian branch of Ukiyoto Japan) and featured in Amazon, Flipkart, Kobo Japan, Google books, Walmart etc.
Awards &amp; Honors:-
Rising Star Award – 2020
Twisted"&amp;" Awards – 2020
Special Mention, Marine Awards (Short Story Category) – 2021
Women Icon Award – 2024
Golden Heritage Award – 2024 (Blue Star Publication)
The Leading Attainers Award – “The Budding Author of the Year” – JEC Publications
7th Place, National "&amp;"Poetry Contest by S7
Rabindranath Tagore Hall of Fame Award – Welred Foundation
International Recognition:- Invited Author, International Writers Assembly – Beijing, China (2025)
Professional Affiliations:- Exclusive Author, A&amp;D Entertainment Company ("&amp;"Webnovel Contract)
")</f>
        <v>Sports- District level kabaddi and shot put player.
Cultural - State level extempore and recitation winner, District level declamation winner 2024 in YPC. Various winning positions held in solo classical dance, drama, singing, literary hunt, quiz, debate, extempore, poem writing, slogan writing in inter house competitions during 4 years of college journey.
Notable Achievements:- Traditionally published international novelist. Total books and anthology published - 6+. Books have been published in 133 countries including UK, USA, Canada, Japan, Australia and India through Ukiyoto Publishing India( An indian branch of Ukiyoto Japan) and featured in Amazon, Flipkart, Kobo Japan, Google books, Walmart etc.
Awards &amp; Honors:-
Rising Star Award – 2020
Twisted Awards – 2020
Special Mention, Marine Awards (Short Story Category) – 2021
Women Icon Award – 2024
Golden Heritage Award – 2024 (Blue Star Publication)
The Leading Attainers Award – “The Budding Author of the Year” – JEC Publications
7th Place, National Poetry Contest by S7
Rabindranath Tagore Hall of Fame Award – Welred Foundation
International Recognition:- Invited Author, International Writers Assembly – Beijing, China (2025)
Professional Affiliations:- Exclusive Author, A&amp;D Entertainment Company (Webnovel Contract)
</v>
      </c>
      <c r="K31" s="21" t="str">
        <f>IFERROR(__xludf.DUMMYFUNCTION("""COMPUTED_VALUE"""),"Jamuria, Asansol ")</f>
        <v>Jamuria, Asansol </v>
      </c>
      <c r="L31" s="22" t="str">
        <f>IFERROR(__xludf.DUMMYFUNCTION("""COMPUTED_VALUE"""),"https://drive.google.com/open?id=15VzPSTgmPpWXI6z2gRrbuOfp-S0xeTX8")</f>
        <v>https://drive.google.com/open?id=15VzPSTgmPpWXI6z2gRrbuOfp-S0xeTX8</v>
      </c>
      <c r="M31" s="22" t="str">
        <f>IFERROR(__xludf.DUMMYFUNCTION("""COMPUTED_VALUE"""),"https://drive.google.com/open?id=1kV_ewUUdJaWU4DsSMykLEI-oa4NRfwnQ")</f>
        <v>https://drive.google.com/open?id=1kV_ewUUdJaWU4DsSMykLEI-oa4NRfwnQ</v>
      </c>
      <c r="N31" s="21" t="str">
        <f>IFERROR(__xludf.DUMMYFUNCTION("""COMPUTED_VALUE"""),"Subrata Hati")</f>
        <v>Subrata Hati</v>
      </c>
      <c r="O31" s="21" t="str">
        <f>IFERROR(__xludf.DUMMYFUNCTION("""COMPUTED_VALUE"""),"Gov. High School Teacher/ Assistant teacher in Birkulti N.G.M High School")</f>
        <v>Gov. High School Teacher/ Assistant teacher in Birkulti N.G.M High School</v>
      </c>
      <c r="P31" s="21" t="str">
        <f>IFERROR(__xludf.DUMMYFUNCTION("""COMPUTED_VALUE"""),"Jamuria, Asansol")</f>
        <v>Jamuria, Asansol</v>
      </c>
      <c r="Q31" s="21">
        <f>IFERROR(__xludf.DUMMYFUNCTION("""COMPUTED_VALUE"""),9.474179653E9)</f>
        <v>9474179653</v>
      </c>
      <c r="R31" s="21" t="str">
        <f>IFERROR(__xludf.DUMMYFUNCTION("""COMPUTED_VALUE"""),"Ivi Hati")</f>
        <v>Ivi Hati</v>
      </c>
      <c r="S31" s="21" t="str">
        <f>IFERROR(__xludf.DUMMYFUNCTION("""COMPUTED_VALUE"""),"Home maker")</f>
        <v>Home maker</v>
      </c>
      <c r="T31" s="21" t="str">
        <f>IFERROR(__xludf.DUMMYFUNCTION("""COMPUTED_VALUE"""),"Jamuria, Asansol")</f>
        <v>Jamuria, Asansol</v>
      </c>
      <c r="U31" s="21">
        <f>IFERROR(__xludf.DUMMYFUNCTION("""COMPUTED_VALUE"""),7.001010315E9)</f>
        <v>7001010315</v>
      </c>
      <c r="V31" s="21">
        <f>IFERROR(__xludf.DUMMYFUNCTION("""COMPUTED_VALUE"""),2.0)</f>
        <v>2</v>
      </c>
      <c r="W31" s="21" t="str">
        <f>IFERROR(__xludf.DUMMYFUNCTION("""COMPUTED_VALUE"""),"Subrata Hati ")</f>
        <v>Subrata Hati </v>
      </c>
      <c r="X31" s="21" t="str">
        <f>IFERROR(__xludf.DUMMYFUNCTION("""COMPUTED_VALUE"""),"Father")</f>
        <v>Father</v>
      </c>
      <c r="Y31" s="21" t="str">
        <f>IFERROR(__xludf.DUMMYFUNCTION("""COMPUTED_VALUE"""),"Ivi Hati")</f>
        <v>Ivi Hati</v>
      </c>
      <c r="Z31" s="21" t="str">
        <f>IFERROR(__xludf.DUMMYFUNCTION("""COMPUTED_VALUE"""),"Mother ")</f>
        <v>Mother </v>
      </c>
      <c r="AA31" s="21" t="str">
        <f>IFERROR(__xludf.DUMMYFUNCTION("""COMPUTED_VALUE"""),"Non-Veg")</f>
        <v>Non-Veg</v>
      </c>
      <c r="AB31" s="21" t="str">
        <f>IFERROR(__xludf.DUMMYFUNCTION("""COMPUTED_VALUE"""),"Non-Veg")</f>
        <v>Non-Veg</v>
      </c>
      <c r="AC31" s="21" t="str">
        <f>IFERROR(__xludf.DUMMYFUNCTION("""COMPUTED_VALUE"""),"Non-Veg")</f>
        <v>Non-Veg</v>
      </c>
      <c r="AD31" s="21" t="str">
        <f>IFERROR(__xludf.DUMMYFUNCTION("""COMPUTED_VALUE"""),"Bus Drop Service not needed")</f>
        <v>Bus Drop Service not needed</v>
      </c>
      <c r="AE31" s="21">
        <f>IFERROR(__xludf.DUMMYFUNCTION("""COMPUTED_VALUE"""),0.0)</f>
        <v>0</v>
      </c>
    </row>
    <row r="32" ht="22.5" customHeight="1">
      <c r="A32" s="18">
        <f>IFERROR(__xludf.DUMMYFUNCTION("""COMPUTED_VALUE"""),46259.424150844905)</f>
        <v>46259.42415</v>
      </c>
      <c r="B32" s="21" t="str">
        <f>IFERROR(__xludf.DUMMYFUNCTION("""COMPUTED_VALUE"""),"ghoshankita9732@gmail.com")</f>
        <v>ghoshankita9732@gmail.com</v>
      </c>
      <c r="C32" s="21" t="str">
        <f>IFERROR(__xludf.DUMMYFUNCTION("""COMPUTED_VALUE"""),"ANKITA GHOSH ")</f>
        <v>ANKITA GHOSH </v>
      </c>
      <c r="D32" s="21">
        <f>IFERROR(__xludf.DUMMYFUNCTION("""COMPUTED_VALUE"""),2.0210205E7)</f>
        <v>20210205</v>
      </c>
      <c r="E32" s="21" t="str">
        <f>IFERROR(__xludf.DUMMYFUNCTION("""COMPUTED_VALUE"""),"B.Sc (Hons) Nursing 2021")</f>
        <v>B.Sc (Hons) Nursing 2021</v>
      </c>
      <c r="F32" s="21">
        <f>IFERROR(__xludf.DUMMYFUNCTION("""COMPUTED_VALUE"""),7.550811864E9)</f>
        <v>7550811864</v>
      </c>
      <c r="G32" s="21" t="str">
        <f>IFERROR(__xludf.DUMMYFUNCTION("""COMPUTED_VALUE"""),"ghoshankita9732@gmail.com")</f>
        <v>ghoshankita9732@gmail.com</v>
      </c>
      <c r="H32" s="21" t="str">
        <f>IFERROR(__xludf.DUMMYFUNCTION("""COMPUTED_VALUE"""),"Yes")</f>
        <v>Yes</v>
      </c>
      <c r="I32" s="21" t="str">
        <f>IFERROR(__xludf.DUMMYFUNCTION("""COMPUTED_VALUE"""),"Drawing ")</f>
        <v>Drawing </v>
      </c>
      <c r="J32" s="21" t="str">
        <f>IFERROR(__xludf.DUMMYFUNCTION("""COMPUTED_VALUE"""),"NA")</f>
        <v>NA</v>
      </c>
      <c r="K32" s="21" t="str">
        <f>IFERROR(__xludf.DUMMYFUNCTION("""COMPUTED_VALUE"""),"Howrah ")</f>
        <v>Howrah </v>
      </c>
      <c r="L32" s="22" t="str">
        <f>IFERROR(__xludf.DUMMYFUNCTION("""COMPUTED_VALUE"""),"https://drive.google.com/open?id=12mVENRztApFqkfMj-N-EbI99DcOAnjQI")</f>
        <v>https://drive.google.com/open?id=12mVENRztApFqkfMj-N-EbI99DcOAnjQI</v>
      </c>
      <c r="M32" s="22" t="str">
        <f>IFERROR(__xludf.DUMMYFUNCTION("""COMPUTED_VALUE"""),"https://drive.google.com/open?id=1sN-R1iU5tJvTKcjxNc8GxGMrBfPDcM1S")</f>
        <v>https://drive.google.com/open?id=1sN-R1iU5tJvTKcjxNc8GxGMrBfPDcM1S</v>
      </c>
      <c r="N32" s="21" t="str">
        <f>IFERROR(__xludf.DUMMYFUNCTION("""COMPUTED_VALUE"""),"Amit Ghosh ")</f>
        <v>Amit Ghosh </v>
      </c>
      <c r="O32" s="21" t="str">
        <f>IFERROR(__xludf.DUMMYFUNCTION("""COMPUTED_VALUE"""),"Law clerk ")</f>
        <v>Law clerk </v>
      </c>
      <c r="P32" s="21" t="str">
        <f>IFERROR(__xludf.DUMMYFUNCTION("""COMPUTED_VALUE"""),"Howrah ")</f>
        <v>Howrah </v>
      </c>
      <c r="Q32" s="21">
        <f>IFERROR(__xludf.DUMMYFUNCTION("""COMPUTED_VALUE"""),9.732648905E9)</f>
        <v>9732648905</v>
      </c>
      <c r="R32" s="21" t="str">
        <f>IFERROR(__xludf.DUMMYFUNCTION("""COMPUTED_VALUE"""),"Krishna Ghosh ")</f>
        <v>Krishna Ghosh </v>
      </c>
      <c r="S32" s="21" t="str">
        <f>IFERROR(__xludf.DUMMYFUNCTION("""COMPUTED_VALUE"""),"House wife ")</f>
        <v>House wife </v>
      </c>
      <c r="T32" s="21" t="str">
        <f>IFERROR(__xludf.DUMMYFUNCTION("""COMPUTED_VALUE"""),"Howrah ")</f>
        <v>Howrah </v>
      </c>
      <c r="U32" s="21">
        <f>IFERROR(__xludf.DUMMYFUNCTION("""COMPUTED_VALUE"""),8.509374801E9)</f>
        <v>8509374801</v>
      </c>
      <c r="V32" s="21">
        <f>IFERROR(__xludf.DUMMYFUNCTION("""COMPUTED_VALUE"""),2.0)</f>
        <v>2</v>
      </c>
      <c r="W32" s="21" t="str">
        <f>IFERROR(__xludf.DUMMYFUNCTION("""COMPUTED_VALUE"""),"Amit Ghosh ")</f>
        <v>Amit Ghosh </v>
      </c>
      <c r="X32" s="21" t="str">
        <f>IFERROR(__xludf.DUMMYFUNCTION("""COMPUTED_VALUE"""),"Father ")</f>
        <v>Father </v>
      </c>
      <c r="Y32" s="21" t="str">
        <f>IFERROR(__xludf.DUMMYFUNCTION("""COMPUTED_VALUE"""),"Krishna Ghosh ")</f>
        <v>Krishna Ghosh </v>
      </c>
      <c r="Z32" s="21" t="str">
        <f>IFERROR(__xludf.DUMMYFUNCTION("""COMPUTED_VALUE"""),"Mother ")</f>
        <v>Mother </v>
      </c>
      <c r="AA32" s="21" t="str">
        <f>IFERROR(__xludf.DUMMYFUNCTION("""COMPUTED_VALUE"""),"Non-Veg")</f>
        <v>Non-Veg</v>
      </c>
      <c r="AB32" s="21" t="str">
        <f>IFERROR(__xludf.DUMMYFUNCTION("""COMPUTED_VALUE"""),"Non-Veg")</f>
        <v>Non-Veg</v>
      </c>
      <c r="AC32" s="21" t="str">
        <f>IFERROR(__xludf.DUMMYFUNCTION("""COMPUTED_VALUE"""),"Non-Veg")</f>
        <v>Non-Veg</v>
      </c>
      <c r="AD32" s="21" t="str">
        <f>IFERROR(__xludf.DUMMYFUNCTION("""COMPUTED_VALUE"""),"Bus Drop Service not needed")</f>
        <v>Bus Drop Service not needed</v>
      </c>
      <c r="AE32" s="21">
        <f>IFERROR(__xludf.DUMMYFUNCTION("""COMPUTED_VALUE"""),0.0)</f>
        <v>0</v>
      </c>
    </row>
    <row r="33" ht="22.5" customHeight="1">
      <c r="A33" s="18">
        <f>IFERROR(__xludf.DUMMYFUNCTION("""COMPUTED_VALUE"""),46259.385169236106)</f>
        <v>46259.38517</v>
      </c>
      <c r="B33" s="21" t="str">
        <f>IFERROR(__xludf.DUMMYFUNCTION("""COMPUTED_VALUE"""),"shabnam.bscnursing-2021@aiimskalyani.edu.in")</f>
        <v>shabnam.bscnursing-2021@aiimskalyani.edu.in</v>
      </c>
      <c r="C33" s="21" t="str">
        <f>IFERROR(__xludf.DUMMYFUNCTION("""COMPUTED_VALUE"""),"SHABNAM PARVIN")</f>
        <v>SHABNAM PARVIN</v>
      </c>
      <c r="D33" s="21">
        <f>IFERROR(__xludf.DUMMYFUNCTION("""COMPUTED_VALUE"""),2.0210248E7)</f>
        <v>20210248</v>
      </c>
      <c r="E33" s="21" t="str">
        <f>IFERROR(__xludf.DUMMYFUNCTION("""COMPUTED_VALUE"""),"B.Sc (Hons) Nursing 2021")</f>
        <v>B.Sc (Hons) Nursing 2021</v>
      </c>
      <c r="F33" s="21">
        <f>IFERROR(__xludf.DUMMYFUNCTION("""COMPUTED_VALUE"""),6.297820802E9)</f>
        <v>6297820802</v>
      </c>
      <c r="G33" s="21" t="str">
        <f>IFERROR(__xludf.DUMMYFUNCTION("""COMPUTED_VALUE"""),"parvinshabnam2002@gmail.com")</f>
        <v>parvinshabnam2002@gmail.com</v>
      </c>
      <c r="H33" s="21" t="str">
        <f>IFERROR(__xludf.DUMMYFUNCTION("""COMPUTED_VALUE"""),"Yes")</f>
        <v>Yes</v>
      </c>
      <c r="I33" s="21" t="str">
        <f>IFERROR(__xludf.DUMMYFUNCTION("""COMPUTED_VALUE"""),"Story reading ")</f>
        <v>Story reading </v>
      </c>
      <c r="J33" s="21" t="str">
        <f>IFERROR(__xludf.DUMMYFUNCTION("""COMPUTED_VALUE"""),"No ")</f>
        <v>No </v>
      </c>
      <c r="K33" s="21" t="str">
        <f>IFERROR(__xludf.DUMMYFUNCTION("""COMPUTED_VALUE"""),"Bharatpur ")</f>
        <v>Bharatpur </v>
      </c>
      <c r="L33" s="22" t="str">
        <f>IFERROR(__xludf.DUMMYFUNCTION("""COMPUTED_VALUE"""),"https://drive.google.com/open?id=1bo6OujeREw0L8EjGlISNIBR_OR-ZWkZg")</f>
        <v>https://drive.google.com/open?id=1bo6OujeREw0L8EjGlISNIBR_OR-ZWkZg</v>
      </c>
      <c r="M33" s="22" t="str">
        <f>IFERROR(__xludf.DUMMYFUNCTION("""COMPUTED_VALUE"""),"https://drive.google.com/open?id=1tb-MIGQ5GOylf6dZBWRVO2WA8GCWKCDi")</f>
        <v>https://drive.google.com/open?id=1tb-MIGQ5GOylf6dZBWRVO2WA8GCWKCDi</v>
      </c>
      <c r="N33" s="21" t="str">
        <f>IFERROR(__xludf.DUMMYFUNCTION("""COMPUTED_VALUE"""),"IDRISH ALI")</f>
        <v>IDRISH ALI</v>
      </c>
      <c r="O33" s="21" t="str">
        <f>IFERROR(__xludf.DUMMYFUNCTION("""COMPUTED_VALUE"""),"Retired headmaster ")</f>
        <v>Retired headmaster </v>
      </c>
      <c r="P33" s="21" t="str">
        <f>IFERROR(__xludf.DUMMYFUNCTION("""COMPUTED_VALUE"""),"Bharatpur ")</f>
        <v>Bharatpur </v>
      </c>
      <c r="Q33" s="21">
        <f>IFERROR(__xludf.DUMMYFUNCTION("""COMPUTED_VALUE"""),9.474314028E9)</f>
        <v>9474314028</v>
      </c>
      <c r="R33" s="21" t="str">
        <f>IFERROR(__xludf.DUMMYFUNCTION("""COMPUTED_VALUE"""),"JESMINNHAR BEGUM")</f>
        <v>JESMINNHAR BEGUM</v>
      </c>
      <c r="S33" s="21" t="str">
        <f>IFERROR(__xludf.DUMMYFUNCTION("""COMPUTED_VALUE"""),"NURSE")</f>
        <v>NURSE</v>
      </c>
      <c r="T33" s="21" t="str">
        <f>IFERROR(__xludf.DUMMYFUNCTION("""COMPUTED_VALUE"""),"Bharatpur ")</f>
        <v>Bharatpur </v>
      </c>
      <c r="U33" s="21">
        <f>IFERROR(__xludf.DUMMYFUNCTION("""COMPUTED_VALUE"""),9.564131918E9)</f>
        <v>9564131918</v>
      </c>
      <c r="V33" s="21">
        <f>IFERROR(__xludf.DUMMYFUNCTION("""COMPUTED_VALUE"""),2.0)</f>
        <v>2</v>
      </c>
      <c r="W33" s="21" t="str">
        <f>IFERROR(__xludf.DUMMYFUNCTION("""COMPUTED_VALUE"""),"IDRISH ALI")</f>
        <v>IDRISH ALI</v>
      </c>
      <c r="X33" s="21" t="str">
        <f>IFERROR(__xludf.DUMMYFUNCTION("""COMPUTED_VALUE"""),"Father")</f>
        <v>Father</v>
      </c>
      <c r="Y33" s="21" t="str">
        <f>IFERROR(__xludf.DUMMYFUNCTION("""COMPUTED_VALUE"""),"JESMINNHAR BEGUM")</f>
        <v>JESMINNHAR BEGUM</v>
      </c>
      <c r="Z33" s="21" t="str">
        <f>IFERROR(__xludf.DUMMYFUNCTION("""COMPUTED_VALUE"""),"Mother")</f>
        <v>Mother</v>
      </c>
      <c r="AA33" s="21" t="str">
        <f>IFERROR(__xludf.DUMMYFUNCTION("""COMPUTED_VALUE"""),"Non-Veg")</f>
        <v>Non-Veg</v>
      </c>
      <c r="AB33" s="21" t="str">
        <f>IFERROR(__xludf.DUMMYFUNCTION("""COMPUTED_VALUE"""),"Non-Veg")</f>
        <v>Non-Veg</v>
      </c>
      <c r="AC33" s="21" t="str">
        <f>IFERROR(__xludf.DUMMYFUNCTION("""COMPUTED_VALUE"""),"Non-Veg")</f>
        <v>Non-Veg</v>
      </c>
      <c r="AD33" s="21" t="str">
        <f>IFERROR(__xludf.DUMMYFUNCTION("""COMPUTED_VALUE"""),"Bus Drop Service not needed")</f>
        <v>Bus Drop Service not needed</v>
      </c>
      <c r="AE33" s="21">
        <f>IFERROR(__xludf.DUMMYFUNCTION("""COMPUTED_VALUE"""),0.0)</f>
        <v>0</v>
      </c>
    </row>
    <row r="34" ht="22.5" customHeight="1">
      <c r="A34" s="18">
        <f>IFERROR(__xludf.DUMMYFUNCTION("""COMPUTED_VALUE"""),46259.02942266203)</f>
        <v>46259.02942</v>
      </c>
      <c r="B34" s="21" t="str">
        <f>IFERROR(__xludf.DUMMYFUNCTION("""COMPUTED_VALUE"""),"chayanika.bscnursing-2021@aiimskalyani.edu.in")</f>
        <v>chayanika.bscnursing-2021@aiimskalyani.edu.in</v>
      </c>
      <c r="C34" s="21" t="str">
        <f>IFERROR(__xludf.DUMMYFUNCTION("""COMPUTED_VALUE"""),"CHAYANIKA BHATTACHARYYA ")</f>
        <v>CHAYANIKA BHATTACHARYYA </v>
      </c>
      <c r="D34" s="21">
        <f>IFERROR(__xludf.DUMMYFUNCTION("""COMPUTED_VALUE"""),2.021021E7)</f>
        <v>20210210</v>
      </c>
      <c r="E34" s="21" t="str">
        <f>IFERROR(__xludf.DUMMYFUNCTION("""COMPUTED_VALUE"""),"B.Sc (Hons) Nursing 2021")</f>
        <v>B.Sc (Hons) Nursing 2021</v>
      </c>
      <c r="F34" s="21">
        <f>IFERROR(__xludf.DUMMYFUNCTION("""COMPUTED_VALUE"""),9.830079476E9)</f>
        <v>9830079476</v>
      </c>
      <c r="G34" s="21" t="str">
        <f>IFERROR(__xludf.DUMMYFUNCTION("""COMPUTED_VALUE"""),"chayanikabhattacharyya4948@gmail.com")</f>
        <v>chayanikabhattacharyya4948@gmail.com</v>
      </c>
      <c r="H34" s="21" t="str">
        <f>IFERROR(__xludf.DUMMYFUNCTION("""COMPUTED_VALUE"""),"Yes")</f>
        <v>Yes</v>
      </c>
      <c r="I34" s="21" t="str">
        <f>IFERROR(__xludf.DUMMYFUNCTION("""COMPUTED_VALUE"""),"I am an avid listener of audio stories, enjoy expressing my thoughts through poetry, and love dancing occasionally.")</f>
        <v>I am an avid listener of audio stories, enjoy expressing my thoughts through poetry, and love dancing occasionally.</v>
      </c>
      <c r="J34" s="21" t="str">
        <f>IFERROR(__xludf.DUMMYFUNCTION("""COMPUTED_VALUE"""),"Nothing as such ")</f>
        <v>Nothing as such </v>
      </c>
      <c r="K34" s="21" t="str">
        <f>IFERROR(__xludf.DUMMYFUNCTION("""COMPUTED_VALUE"""),"Sodepur ")</f>
        <v>Sodepur </v>
      </c>
      <c r="L34" s="22" t="str">
        <f>IFERROR(__xludf.DUMMYFUNCTION("""COMPUTED_VALUE"""),"https://drive.google.com/open?id=1LwqSTi2fSQe0ScwNC2r5BtXOsq_ISJ1o")</f>
        <v>https://drive.google.com/open?id=1LwqSTi2fSQe0ScwNC2r5BtXOsq_ISJ1o</v>
      </c>
      <c r="M34" s="22" t="str">
        <f>IFERROR(__xludf.DUMMYFUNCTION("""COMPUTED_VALUE"""),"https://drive.google.com/open?id=1t8EZibcMxmHBFmMnZsEeQLKarEkZlhfi")</f>
        <v>https://drive.google.com/open?id=1t8EZibcMxmHBFmMnZsEeQLKarEkZlhfi</v>
      </c>
      <c r="N34" s="21" t="str">
        <f>IFERROR(__xludf.DUMMYFUNCTION("""COMPUTED_VALUE"""),"Biswajit Bhattacharyya")</f>
        <v>Biswajit Bhattacharyya</v>
      </c>
      <c r="O34" s="21" t="str">
        <f>IFERROR(__xludf.DUMMYFUNCTION("""COMPUTED_VALUE"""),"Government service, Assistant Secretary, department of Public Health Engineering( PHE) , West Bengal government ")</f>
        <v>Government service, Assistant Secretary, department of Public Health Engineering( PHE) , West Bengal government </v>
      </c>
      <c r="P34" s="21" t="str">
        <f>IFERROR(__xludf.DUMMYFUNCTION("""COMPUTED_VALUE"""),"Sodepur ")</f>
        <v>Sodepur </v>
      </c>
      <c r="Q34" s="21">
        <f>IFERROR(__xludf.DUMMYFUNCTION("""COMPUTED_VALUE"""),9.830035498E9)</f>
        <v>9830035498</v>
      </c>
      <c r="R34" s="21" t="str">
        <f>IFERROR(__xludf.DUMMYFUNCTION("""COMPUTED_VALUE"""),"Aparna Bhattacharyya ")</f>
        <v>Aparna Bhattacharyya </v>
      </c>
      <c r="S34" s="21" t="str">
        <f>IFERROR(__xludf.DUMMYFUNCTION("""COMPUTED_VALUE"""),"Government service, police in Department of Disaster Management and Civil Defence , West Bengal government ")</f>
        <v>Government service, police in Department of Disaster Management and Civil Defence , West Bengal government </v>
      </c>
      <c r="T34" s="21" t="str">
        <f>IFERROR(__xludf.DUMMYFUNCTION("""COMPUTED_VALUE"""),"Sodepur ")</f>
        <v>Sodepur </v>
      </c>
      <c r="U34" s="21">
        <f>IFERROR(__xludf.DUMMYFUNCTION("""COMPUTED_VALUE"""),7.980652856E9)</f>
        <v>7980652856</v>
      </c>
      <c r="V34" s="21">
        <f>IFERROR(__xludf.DUMMYFUNCTION("""COMPUTED_VALUE"""),2.0)</f>
        <v>2</v>
      </c>
      <c r="W34" s="21" t="str">
        <f>IFERROR(__xludf.DUMMYFUNCTION("""COMPUTED_VALUE"""),"Aparna bhattacharyya ")</f>
        <v>Aparna bhattacharyya </v>
      </c>
      <c r="X34" s="21" t="str">
        <f>IFERROR(__xludf.DUMMYFUNCTION("""COMPUTED_VALUE"""),"Mother ")</f>
        <v>Mother </v>
      </c>
      <c r="Y34" s="21" t="str">
        <f>IFERROR(__xludf.DUMMYFUNCTION("""COMPUTED_VALUE"""),"Kosturi singha roy")</f>
        <v>Kosturi singha roy</v>
      </c>
      <c r="Z34" s="21" t="str">
        <f>IFERROR(__xludf.DUMMYFUNCTION("""COMPUTED_VALUE"""),"Aunt ")</f>
        <v>Aunt </v>
      </c>
      <c r="AA34" s="21" t="str">
        <f>IFERROR(__xludf.DUMMYFUNCTION("""COMPUTED_VALUE"""),"Non-Veg")</f>
        <v>Non-Veg</v>
      </c>
      <c r="AB34" s="21" t="str">
        <f>IFERROR(__xludf.DUMMYFUNCTION("""COMPUTED_VALUE"""),"Non-Veg")</f>
        <v>Non-Veg</v>
      </c>
      <c r="AC34" s="21" t="str">
        <f>IFERROR(__xludf.DUMMYFUNCTION("""COMPUTED_VALUE"""),"Non-Veg")</f>
        <v>Non-Veg</v>
      </c>
      <c r="AD34" s="21" t="str">
        <f>IFERROR(__xludf.DUMMYFUNCTION("""COMPUTED_VALUE"""),"Drop at Kalyani Railway Station")</f>
        <v>Drop at Kalyani Railway Station</v>
      </c>
      <c r="AE34" s="21">
        <f>IFERROR(__xludf.DUMMYFUNCTION("""COMPUTED_VALUE"""),3.0)</f>
        <v>3</v>
      </c>
    </row>
    <row r="35" ht="22.5" customHeight="1">
      <c r="A35" s="18">
        <f>IFERROR(__xludf.DUMMYFUNCTION("""COMPUTED_VALUE"""),46258.93468578704)</f>
        <v>46258.93469</v>
      </c>
      <c r="B35" s="21" t="str">
        <f>IFERROR(__xludf.DUMMYFUNCTION("""COMPUTED_VALUE"""),"aditi.bscnursing-2021@aiimskalyani.edu.in")</f>
        <v>aditi.bscnursing-2021@aiimskalyani.edu.in</v>
      </c>
      <c r="C35" s="21" t="str">
        <f>IFERROR(__xludf.DUMMYFUNCTION("""COMPUTED_VALUE"""),"ADITI MANDAL ")</f>
        <v>ADITI MANDAL </v>
      </c>
      <c r="D35" s="21">
        <f>IFERROR(__xludf.DUMMYFUNCTION("""COMPUTED_VALUE"""),2.0210201E7)</f>
        <v>20210201</v>
      </c>
      <c r="E35" s="21" t="str">
        <f>IFERROR(__xludf.DUMMYFUNCTION("""COMPUTED_VALUE"""),"B.Sc (Hons) Nursing 2021")</f>
        <v>B.Sc (Hons) Nursing 2021</v>
      </c>
      <c r="F35" s="21">
        <f>IFERROR(__xludf.DUMMYFUNCTION("""COMPUTED_VALUE"""),7.584874474E9)</f>
        <v>7584874474</v>
      </c>
      <c r="G35" s="21" t="str">
        <f>IFERROR(__xludf.DUMMYFUNCTION("""COMPUTED_VALUE"""),"aditimandal0328@gmail.com")</f>
        <v>aditimandal0328@gmail.com</v>
      </c>
      <c r="H35" s="21" t="str">
        <f>IFERROR(__xludf.DUMMYFUNCTION("""COMPUTED_VALUE"""),"Yes")</f>
        <v>Yes</v>
      </c>
      <c r="I35" s="21" t="str">
        <f>IFERROR(__xludf.DUMMYFUNCTION("""COMPUTED_VALUE"""),"Painting ")</f>
        <v>Painting </v>
      </c>
      <c r="J35" s="21"/>
      <c r="K35" s="21" t="str">
        <f>IFERROR(__xludf.DUMMYFUNCTION("""COMPUTED_VALUE"""),"Purba Barddhaman, West Bengal ")</f>
        <v>Purba Barddhaman, West Bengal </v>
      </c>
      <c r="L35" s="22" t="str">
        <f>IFERROR(__xludf.DUMMYFUNCTION("""COMPUTED_VALUE"""),"https://drive.google.com/open?id=1jTIq7YFhMjFF20qzi_laHszNnwT09IJ5")</f>
        <v>https://drive.google.com/open?id=1jTIq7YFhMjFF20qzi_laHszNnwT09IJ5</v>
      </c>
      <c r="M35" s="22" t="str">
        <f>IFERROR(__xludf.DUMMYFUNCTION("""COMPUTED_VALUE"""),"https://drive.google.com/open?id=1jY1Pfr68oNoCTqmnwGvgYXorqJPrNTfD")</f>
        <v>https://drive.google.com/open?id=1jY1Pfr68oNoCTqmnwGvgYXorqJPrNTfD</v>
      </c>
      <c r="N35" s="21" t="str">
        <f>IFERROR(__xludf.DUMMYFUNCTION("""COMPUTED_VALUE"""),"Sakti Pada Mandal ")</f>
        <v>Sakti Pada Mandal </v>
      </c>
      <c r="O35" s="21" t="str">
        <f>IFERROR(__xludf.DUMMYFUNCTION("""COMPUTED_VALUE"""),"Ex service man ")</f>
        <v>Ex service man </v>
      </c>
      <c r="P35" s="21" t="str">
        <f>IFERROR(__xludf.DUMMYFUNCTION("""COMPUTED_VALUE"""),"Purba Barddhaman ")</f>
        <v>Purba Barddhaman </v>
      </c>
      <c r="Q35" s="21">
        <f>IFERROR(__xludf.DUMMYFUNCTION("""COMPUTED_VALUE"""),7.47751796E9)</f>
        <v>7477517960</v>
      </c>
      <c r="R35" s="21" t="str">
        <f>IFERROR(__xludf.DUMMYFUNCTION("""COMPUTED_VALUE"""),"Shyamali Mandal")</f>
        <v>Shyamali Mandal</v>
      </c>
      <c r="S35" s="21" t="str">
        <f>IFERROR(__xludf.DUMMYFUNCTION("""COMPUTED_VALUE"""),"Housewife ")</f>
        <v>Housewife </v>
      </c>
      <c r="T35" s="21" t="str">
        <f>IFERROR(__xludf.DUMMYFUNCTION("""COMPUTED_VALUE"""),"Purba Barddhaman ")</f>
        <v>Purba Barddhaman </v>
      </c>
      <c r="U35" s="21">
        <f>IFERROR(__xludf.DUMMYFUNCTION("""COMPUTED_VALUE"""),9.732142457E9)</f>
        <v>9732142457</v>
      </c>
      <c r="V35" s="21">
        <f>IFERROR(__xludf.DUMMYFUNCTION("""COMPUTED_VALUE"""),2.0)</f>
        <v>2</v>
      </c>
      <c r="W35" s="21" t="str">
        <f>IFERROR(__xludf.DUMMYFUNCTION("""COMPUTED_VALUE"""),"Sakti Pada Mandal ")</f>
        <v>Sakti Pada Mandal </v>
      </c>
      <c r="X35" s="21" t="str">
        <f>IFERROR(__xludf.DUMMYFUNCTION("""COMPUTED_VALUE"""),"Father")</f>
        <v>Father</v>
      </c>
      <c r="Y35" s="21" t="str">
        <f>IFERROR(__xludf.DUMMYFUNCTION("""COMPUTED_VALUE"""),"Shyamali Mandal")</f>
        <v>Shyamali Mandal</v>
      </c>
      <c r="Z35" s="21" t="str">
        <f>IFERROR(__xludf.DUMMYFUNCTION("""COMPUTED_VALUE"""),"Mother ")</f>
        <v>Mother </v>
      </c>
      <c r="AA35" s="21" t="str">
        <f>IFERROR(__xludf.DUMMYFUNCTION("""COMPUTED_VALUE"""),"Non-Veg")</f>
        <v>Non-Veg</v>
      </c>
      <c r="AB35" s="21" t="str">
        <f>IFERROR(__xludf.DUMMYFUNCTION("""COMPUTED_VALUE"""),"Non-Veg")</f>
        <v>Non-Veg</v>
      </c>
      <c r="AC35" s="21" t="str">
        <f>IFERROR(__xludf.DUMMYFUNCTION("""COMPUTED_VALUE"""),"Non-Veg")</f>
        <v>Non-Veg</v>
      </c>
      <c r="AD35" s="21" t="str">
        <f>IFERROR(__xludf.DUMMYFUNCTION("""COMPUTED_VALUE"""),"Bus Drop Service not needed")</f>
        <v>Bus Drop Service not needed</v>
      </c>
      <c r="AE35" s="21">
        <f>IFERROR(__xludf.DUMMYFUNCTION("""COMPUTED_VALUE"""),0.0)</f>
        <v>0</v>
      </c>
    </row>
    <row r="36" ht="22.5" customHeight="1">
      <c r="A36" s="18">
        <f>IFERROR(__xludf.DUMMYFUNCTION("""COMPUTED_VALUE"""),46258.88292387732)</f>
        <v>46258.88292</v>
      </c>
      <c r="B36" s="21" t="str">
        <f>IFERROR(__xludf.DUMMYFUNCTION("""COMPUTED_VALUE"""),"megha.bscnursing-2021@aiimskalyani.edu.in")</f>
        <v>megha.bscnursing-2021@aiimskalyani.edu.in</v>
      </c>
      <c r="C36" s="21" t="str">
        <f>IFERROR(__xludf.DUMMYFUNCTION("""COMPUTED_VALUE"""),"MEGHA MAITI ")</f>
        <v>MEGHA MAITI </v>
      </c>
      <c r="D36" s="21">
        <f>IFERROR(__xludf.DUMMYFUNCTION("""COMPUTED_VALUE"""),2.0210221E7)</f>
        <v>20210221</v>
      </c>
      <c r="E36" s="21" t="str">
        <f>IFERROR(__xludf.DUMMYFUNCTION("""COMPUTED_VALUE"""),"B.Sc (Hons) Nursing 2021")</f>
        <v>B.Sc (Hons) Nursing 2021</v>
      </c>
      <c r="F36" s="21">
        <f>IFERROR(__xludf.DUMMYFUNCTION("""COMPUTED_VALUE"""),9.593286407E9)</f>
        <v>9593286407</v>
      </c>
      <c r="G36" s="21" t="str">
        <f>IFERROR(__xludf.DUMMYFUNCTION("""COMPUTED_VALUE"""),"meghamaiti288@gmail.com")</f>
        <v>meghamaiti288@gmail.com</v>
      </c>
      <c r="H36" s="21" t="str">
        <f>IFERROR(__xludf.DUMMYFUNCTION("""COMPUTED_VALUE"""),"Yes")</f>
        <v>Yes</v>
      </c>
      <c r="I36" s="21" t="str">
        <f>IFERROR(__xludf.DUMMYFUNCTION("""COMPUTED_VALUE"""),"Drawing ")</f>
        <v>Drawing </v>
      </c>
      <c r="J36" s="21" t="str">
        <f>IFERROR(__xludf.DUMMYFUNCTION("""COMPUTED_VALUE"""),"NA")</f>
        <v>NA</v>
      </c>
      <c r="K36" s="21" t="str">
        <f>IFERROR(__xludf.DUMMYFUNCTION("""COMPUTED_VALUE"""),"Dakshin Mechogram, Panskura, Purba Medinipur ")</f>
        <v>Dakshin Mechogram, Panskura, Purba Medinipur </v>
      </c>
      <c r="L36" s="22" t="str">
        <f>IFERROR(__xludf.DUMMYFUNCTION("""COMPUTED_VALUE"""),"https://drive.google.com/open?id=1yx_mTJmpBlS7Ehjr2FkvxGn7j9Nj2wg3")</f>
        <v>https://drive.google.com/open?id=1yx_mTJmpBlS7Ehjr2FkvxGn7j9Nj2wg3</v>
      </c>
      <c r="M36" s="22" t="str">
        <f>IFERROR(__xludf.DUMMYFUNCTION("""COMPUTED_VALUE"""),"https://drive.google.com/open?id=1r05u7kaR07v-0XzX50YXDcEiRVbJywIM")</f>
        <v>https://drive.google.com/open?id=1r05u7kaR07v-0XzX50YXDcEiRVbJywIM</v>
      </c>
      <c r="N36" s="21" t="str">
        <f>IFERROR(__xludf.DUMMYFUNCTION("""COMPUTED_VALUE"""),"NITAI CHARAN MAITI")</f>
        <v>NITAI CHARAN MAITI</v>
      </c>
      <c r="O36" s="21" t="str">
        <f>IFERROR(__xludf.DUMMYFUNCTION("""COMPUTED_VALUE"""),"Retired Bank employee ")</f>
        <v>Retired Bank employee </v>
      </c>
      <c r="P36" s="21" t="str">
        <f>IFERROR(__xludf.DUMMYFUNCTION("""COMPUTED_VALUE"""),"Dakshin Mechogram, Panskura, Purba Medinipur ")</f>
        <v>Dakshin Mechogram, Panskura, Purba Medinipur </v>
      </c>
      <c r="Q36" s="21">
        <f>IFERROR(__xludf.DUMMYFUNCTION("""COMPUTED_VALUE"""),9.434804867E9)</f>
        <v>9434804867</v>
      </c>
      <c r="R36" s="21" t="str">
        <f>IFERROR(__xludf.DUMMYFUNCTION("""COMPUTED_VALUE"""),"LATE NABANITA MAITI")</f>
        <v>LATE NABANITA MAITI</v>
      </c>
      <c r="S36" s="21" t="str">
        <f>IFERROR(__xludf.DUMMYFUNCTION("""COMPUTED_VALUE"""),"NA")</f>
        <v>NA</v>
      </c>
      <c r="T36" s="21" t="str">
        <f>IFERROR(__xludf.DUMMYFUNCTION("""COMPUTED_VALUE"""),"NA")</f>
        <v>NA</v>
      </c>
      <c r="U36" s="21">
        <f>IFERROR(__xludf.DUMMYFUNCTION("""COMPUTED_VALUE"""),9.434129205E9)</f>
        <v>9434129205</v>
      </c>
      <c r="V36" s="21">
        <f>IFERROR(__xludf.DUMMYFUNCTION("""COMPUTED_VALUE"""),2.0)</f>
        <v>2</v>
      </c>
      <c r="W36" s="21" t="str">
        <f>IFERROR(__xludf.DUMMYFUNCTION("""COMPUTED_VALUE"""),"SUSAMA GHORAI")</f>
        <v>SUSAMA GHORAI</v>
      </c>
      <c r="X36" s="21" t="str">
        <f>IFERROR(__xludf.DUMMYFUNCTION("""COMPUTED_VALUE"""),"Sister")</f>
        <v>Sister</v>
      </c>
      <c r="Y36" s="21" t="str">
        <f>IFERROR(__xludf.DUMMYFUNCTION("""COMPUTED_VALUE"""),"SOURYA MAITI")</f>
        <v>SOURYA MAITI</v>
      </c>
      <c r="Z36" s="21" t="str">
        <f>IFERROR(__xludf.DUMMYFUNCTION("""COMPUTED_VALUE"""),"Brother ")</f>
        <v>Brother </v>
      </c>
      <c r="AA36" s="21" t="str">
        <f>IFERROR(__xludf.DUMMYFUNCTION("""COMPUTED_VALUE"""),"Non-Veg")</f>
        <v>Non-Veg</v>
      </c>
      <c r="AB36" s="21" t="str">
        <f>IFERROR(__xludf.DUMMYFUNCTION("""COMPUTED_VALUE"""),"Non-Veg")</f>
        <v>Non-Veg</v>
      </c>
      <c r="AC36" s="21" t="str">
        <f>IFERROR(__xludf.DUMMYFUNCTION("""COMPUTED_VALUE"""),"Non-Veg")</f>
        <v>Non-Veg</v>
      </c>
      <c r="AD36" s="21" t="str">
        <f>IFERROR(__xludf.DUMMYFUNCTION("""COMPUTED_VALUE"""),"Bus Drop Service not needed")</f>
        <v>Bus Drop Service not needed</v>
      </c>
      <c r="AE36" s="21">
        <f>IFERROR(__xludf.DUMMYFUNCTION("""COMPUTED_VALUE"""),0.0)</f>
        <v>0</v>
      </c>
    </row>
    <row r="37" ht="22.5" customHeight="1">
      <c r="A37" s="18">
        <f>IFERROR(__xludf.DUMMYFUNCTION("""COMPUTED_VALUE"""),46258.80540452546)</f>
        <v>46258.8054</v>
      </c>
      <c r="B37" s="21" t="str">
        <f>IFERROR(__xludf.DUMMYFUNCTION("""COMPUTED_VALUE"""),"pritharoy426@gmail.com")</f>
        <v>pritharoy426@gmail.com</v>
      </c>
      <c r="C37" s="21" t="str">
        <f>IFERROR(__xludf.DUMMYFUNCTION("""COMPUTED_VALUE"""),"PRITHA ROY")</f>
        <v>PRITHA ROY</v>
      </c>
      <c r="D37" s="21">
        <f>IFERROR(__xludf.DUMMYFUNCTION("""COMPUTED_VALUE"""),2.0210238E7)</f>
        <v>20210238</v>
      </c>
      <c r="E37" s="21" t="str">
        <f>IFERROR(__xludf.DUMMYFUNCTION("""COMPUTED_VALUE"""),"B.Sc (Hons) Nursing 2021")</f>
        <v>B.Sc (Hons) Nursing 2021</v>
      </c>
      <c r="F37" s="21">
        <f>IFERROR(__xludf.DUMMYFUNCTION("""COMPUTED_VALUE"""),8.777026833E9)</f>
        <v>8777026833</v>
      </c>
      <c r="G37" s="21" t="str">
        <f>IFERROR(__xludf.DUMMYFUNCTION("""COMPUTED_VALUE"""),"pritha1405@gmail.com")</f>
        <v>pritha1405@gmail.com</v>
      </c>
      <c r="H37" s="21" t="str">
        <f>IFERROR(__xludf.DUMMYFUNCTION("""COMPUTED_VALUE"""),"Yes")</f>
        <v>Yes</v>
      </c>
      <c r="I37" s="21" t="str">
        <f>IFERROR(__xludf.DUMMYFUNCTION("""COMPUTED_VALUE"""),"Doodling,Crafting,Gardening,Digital Video Editing")</f>
        <v>Doodling,Crafting,Gardening,Digital Video Editing</v>
      </c>
      <c r="J37" s="21" t="str">
        <f>IFERROR(__xludf.DUMMYFUNCTION("""COMPUTED_VALUE"""),"Scouts and Guide Certified and Crafting Certificate and Organisation Certificate ")</f>
        <v>Scouts and Guide Certified and Crafting Certificate and Organisation Certificate </v>
      </c>
      <c r="K37" s="21" t="str">
        <f>IFERROR(__xludf.DUMMYFUNCTION("""COMPUTED_VALUE"""),"Kolkata")</f>
        <v>Kolkata</v>
      </c>
      <c r="L37" s="22" t="str">
        <f>IFERROR(__xludf.DUMMYFUNCTION("""COMPUTED_VALUE"""),"https://drive.google.com/open?id=1YRRwubDBrdrwOYwpaBVXTz6uwcv90LO-")</f>
        <v>https://drive.google.com/open?id=1YRRwubDBrdrwOYwpaBVXTz6uwcv90LO-</v>
      </c>
      <c r="M37" s="22" t="str">
        <f>IFERROR(__xludf.DUMMYFUNCTION("""COMPUTED_VALUE"""),"https://drive.google.com/open?id=1Tt51dZ7qtQV2avZFs44rQOLmeiBAiqLl")</f>
        <v>https://drive.google.com/open?id=1Tt51dZ7qtQV2avZFs44rQOLmeiBAiqLl</v>
      </c>
      <c r="N37" s="21" t="str">
        <f>IFERROR(__xludf.DUMMYFUNCTION("""COMPUTED_VALUE"""),"Mr. Dipak Kumar Roy")</f>
        <v>Mr. Dipak Kumar Roy</v>
      </c>
      <c r="O37" s="21" t="str">
        <f>IFERROR(__xludf.DUMMYFUNCTION("""COMPUTED_VALUE"""),"Retired Optometrist ")</f>
        <v>Retired Optometrist </v>
      </c>
      <c r="P37" s="21" t="str">
        <f>IFERROR(__xludf.DUMMYFUNCTION("""COMPUTED_VALUE"""),"Kolkata")</f>
        <v>Kolkata</v>
      </c>
      <c r="Q37" s="21">
        <f>IFERROR(__xludf.DUMMYFUNCTION("""COMPUTED_VALUE"""),9.830349736E9)</f>
        <v>9830349736</v>
      </c>
      <c r="R37" s="21" t="str">
        <f>IFERROR(__xludf.DUMMYFUNCTION("""COMPUTED_VALUE"""),"Mrs. Soma Roy")</f>
        <v>Mrs. Soma Roy</v>
      </c>
      <c r="S37" s="21" t="str">
        <f>IFERROR(__xludf.DUMMYFUNCTION("""COMPUTED_VALUE"""),"Staff Nurse")</f>
        <v>Staff Nurse</v>
      </c>
      <c r="T37" s="21" t="str">
        <f>IFERROR(__xludf.DUMMYFUNCTION("""COMPUTED_VALUE"""),"Kolkata ")</f>
        <v>Kolkata </v>
      </c>
      <c r="U37" s="21">
        <f>IFERROR(__xludf.DUMMYFUNCTION("""COMPUTED_VALUE"""),9.051166452E9)</f>
        <v>9051166452</v>
      </c>
      <c r="V37" s="21">
        <f>IFERROR(__xludf.DUMMYFUNCTION("""COMPUTED_VALUE"""),2.0)</f>
        <v>2</v>
      </c>
      <c r="W37" s="21" t="str">
        <f>IFERROR(__xludf.DUMMYFUNCTION("""COMPUTED_VALUE"""),"Mr. Dipak Kumar Roy")</f>
        <v>Mr. Dipak Kumar Roy</v>
      </c>
      <c r="X37" s="21" t="str">
        <f>IFERROR(__xludf.DUMMYFUNCTION("""COMPUTED_VALUE"""),"Father")</f>
        <v>Father</v>
      </c>
      <c r="Y37" s="21" t="str">
        <f>IFERROR(__xludf.DUMMYFUNCTION("""COMPUTED_VALUE"""),"Mrs. Soma Roy")</f>
        <v>Mrs. Soma Roy</v>
      </c>
      <c r="Z37" s="21" t="str">
        <f>IFERROR(__xludf.DUMMYFUNCTION("""COMPUTED_VALUE"""),"Mother")</f>
        <v>Mother</v>
      </c>
      <c r="AA37" s="21" t="str">
        <f>IFERROR(__xludf.DUMMYFUNCTION("""COMPUTED_VALUE"""),"Non-Veg")</f>
        <v>Non-Veg</v>
      </c>
      <c r="AB37" s="21" t="str">
        <f>IFERROR(__xludf.DUMMYFUNCTION("""COMPUTED_VALUE"""),"Non-Veg")</f>
        <v>Non-Veg</v>
      </c>
      <c r="AC37" s="21" t="str">
        <f>IFERROR(__xludf.DUMMYFUNCTION("""COMPUTED_VALUE"""),"Non-Veg")</f>
        <v>Non-Veg</v>
      </c>
      <c r="AD37" s="21" t="str">
        <f>IFERROR(__xludf.DUMMYFUNCTION("""COMPUTED_VALUE"""),"Bus Drop Service not needed")</f>
        <v>Bus Drop Service not needed</v>
      </c>
      <c r="AE37" s="21">
        <f>IFERROR(__xludf.DUMMYFUNCTION("""COMPUTED_VALUE"""),0.0)</f>
        <v>0</v>
      </c>
    </row>
    <row r="38" ht="22.5" customHeight="1">
      <c r="A38" s="18">
        <f>IFERROR(__xludf.DUMMYFUNCTION("""COMPUTED_VALUE"""),46258.79251377315)</f>
        <v>46258.79251</v>
      </c>
      <c r="B38" s="21" t="str">
        <f>IFERROR(__xludf.DUMMYFUNCTION("""COMPUTED_VALUE"""),"tanishabiswas2412@gmail.com")</f>
        <v>tanishabiswas2412@gmail.com</v>
      </c>
      <c r="C38" s="21" t="str">
        <f>IFERROR(__xludf.DUMMYFUNCTION("""COMPUTED_VALUE"""),"TANISHA BISWAS")</f>
        <v>TANISHA BISWAS</v>
      </c>
      <c r="D38" s="21">
        <f>IFERROR(__xludf.DUMMYFUNCTION("""COMPUTED_VALUE"""),2.0210256E7)</f>
        <v>20210256</v>
      </c>
      <c r="E38" s="21" t="str">
        <f>IFERROR(__xludf.DUMMYFUNCTION("""COMPUTED_VALUE"""),"B.Sc (Hons) Nursing 2021")</f>
        <v>B.Sc (Hons) Nursing 2021</v>
      </c>
      <c r="F38" s="21">
        <f>IFERROR(__xludf.DUMMYFUNCTION("""COMPUTED_VALUE"""),9.735901944E9)</f>
        <v>9735901944</v>
      </c>
      <c r="G38" s="21" t="str">
        <f>IFERROR(__xludf.DUMMYFUNCTION("""COMPUTED_VALUE"""),"tanishabiswas2412@gmail.com")</f>
        <v>tanishabiswas2412@gmail.com</v>
      </c>
      <c r="H38" s="21" t="str">
        <f>IFERROR(__xludf.DUMMYFUNCTION("""COMPUTED_VALUE"""),"Yes")</f>
        <v>Yes</v>
      </c>
      <c r="I38" s="21" t="str">
        <f>IFERROR(__xludf.DUMMYFUNCTION("""COMPUTED_VALUE"""),"I enjoy working out and staying active, with a particular interest in strength training and fitness. I also like cooking and art.")</f>
        <v>I enjoy working out and staying active, with a particular interest in strength training and fitness. I also like cooking and art.</v>
      </c>
      <c r="J38" s="21" t="str">
        <f>IFERROR(__xludf.DUMMYFUNCTION("""COMPUTED_VALUE"""),"I do like to play badminton (won badminton doubles in the college annual sports )")</f>
        <v>I do like to play badminton (won badminton doubles in the college annual sports )</v>
      </c>
      <c r="K38" s="21" t="str">
        <f>IFERROR(__xludf.DUMMYFUNCTION("""COMPUTED_VALUE"""),"Krishnanagar, Nadia")</f>
        <v>Krishnanagar, Nadia</v>
      </c>
      <c r="L38" s="22" t="str">
        <f>IFERROR(__xludf.DUMMYFUNCTION("""COMPUTED_VALUE"""),"https://drive.google.com/open?id=1NCOOa_8VmPy1X5FhFx0U4oSo3SKqIgY8")</f>
        <v>https://drive.google.com/open?id=1NCOOa_8VmPy1X5FhFx0U4oSo3SKqIgY8</v>
      </c>
      <c r="M38" s="22" t="str">
        <f>IFERROR(__xludf.DUMMYFUNCTION("""COMPUTED_VALUE"""),"https://drive.google.com/open?id=17i92BzKwyN2k5VhycQ5DI3h-7HMpDCX2")</f>
        <v>https://drive.google.com/open?id=17i92BzKwyN2k5VhycQ5DI3h-7HMpDCX2</v>
      </c>
      <c r="N38" s="21" t="str">
        <f>IFERROR(__xludf.DUMMYFUNCTION("""COMPUTED_VALUE"""),"TAPAN KUMAR BISWAS")</f>
        <v>TAPAN KUMAR BISWAS</v>
      </c>
      <c r="O38" s="21" t="str">
        <f>IFERROR(__xludf.DUMMYFUNCTION("""COMPUTED_VALUE"""),"Govt. Services ( Income Tax Office Superintendent ) ")</f>
        <v>Govt. Services ( Income Tax Office Superintendent ) </v>
      </c>
      <c r="P38" s="21" t="str">
        <f>IFERROR(__xludf.DUMMYFUNCTION("""COMPUTED_VALUE"""),"Krishnanagar, Nadia")</f>
        <v>Krishnanagar, Nadia</v>
      </c>
      <c r="Q38" s="21">
        <f>IFERROR(__xludf.DUMMYFUNCTION("""COMPUTED_VALUE"""),9.477330097E9)</f>
        <v>9477330097</v>
      </c>
      <c r="R38" s="21" t="str">
        <f>IFERROR(__xludf.DUMMYFUNCTION("""COMPUTED_VALUE"""),"SUPRIYA BISWAS ")</f>
        <v>SUPRIYA BISWAS </v>
      </c>
      <c r="S38" s="21" t="str">
        <f>IFERROR(__xludf.DUMMYFUNCTION("""COMPUTED_VALUE"""),"Home maker")</f>
        <v>Home maker</v>
      </c>
      <c r="T38" s="21" t="str">
        <f>IFERROR(__xludf.DUMMYFUNCTION("""COMPUTED_VALUE"""),"Krishnanagar ")</f>
        <v>Krishnanagar </v>
      </c>
      <c r="U38" s="21">
        <f>IFERROR(__xludf.DUMMYFUNCTION("""COMPUTED_VALUE"""),9.77552981E9)</f>
        <v>9775529810</v>
      </c>
      <c r="V38" s="21">
        <f>IFERROR(__xludf.DUMMYFUNCTION("""COMPUTED_VALUE"""),2.0)</f>
        <v>2</v>
      </c>
      <c r="W38" s="21" t="str">
        <f>IFERROR(__xludf.DUMMYFUNCTION("""COMPUTED_VALUE"""),"SUPRIYA BISWAS ")</f>
        <v>SUPRIYA BISWAS </v>
      </c>
      <c r="X38" s="21" t="str">
        <f>IFERROR(__xludf.DUMMYFUNCTION("""COMPUTED_VALUE"""),"Mother")</f>
        <v>Mother</v>
      </c>
      <c r="Y38" s="21" t="str">
        <f>IFERROR(__xludf.DUMMYFUNCTION("""COMPUTED_VALUE"""),"TAPAN KUMAR BISWAS")</f>
        <v>TAPAN KUMAR BISWAS</v>
      </c>
      <c r="Z38" s="21" t="str">
        <f>IFERROR(__xludf.DUMMYFUNCTION("""COMPUTED_VALUE"""),"Father")</f>
        <v>Father</v>
      </c>
      <c r="AA38" s="21" t="str">
        <f>IFERROR(__xludf.DUMMYFUNCTION("""COMPUTED_VALUE"""),"Non-Veg")</f>
        <v>Non-Veg</v>
      </c>
      <c r="AB38" s="21" t="str">
        <f>IFERROR(__xludf.DUMMYFUNCTION("""COMPUTED_VALUE"""),"Non-Veg")</f>
        <v>Non-Veg</v>
      </c>
      <c r="AC38" s="21" t="str">
        <f>IFERROR(__xludf.DUMMYFUNCTION("""COMPUTED_VALUE"""),"Non-Veg")</f>
        <v>Non-Veg</v>
      </c>
      <c r="AD38" s="21" t="str">
        <f>IFERROR(__xludf.DUMMYFUNCTION("""COMPUTED_VALUE"""),"Bus Drop Service not needed")</f>
        <v>Bus Drop Service not needed</v>
      </c>
      <c r="AE38" s="21">
        <f>IFERROR(__xludf.DUMMYFUNCTION("""COMPUTED_VALUE"""),0.0)</f>
        <v>0</v>
      </c>
    </row>
    <row r="39" ht="22.5" customHeight="1">
      <c r="A39" s="18"/>
    </row>
    <row r="40" ht="22.5" customHeight="1">
      <c r="A40" s="18"/>
    </row>
    <row r="41" ht="22.5" customHeight="1">
      <c r="A41" s="18"/>
    </row>
    <row r="42" ht="22.5" customHeight="1">
      <c r="A42" s="18"/>
    </row>
    <row r="43" ht="22.5" customHeight="1">
      <c r="A43" s="18"/>
    </row>
    <row r="44" ht="22.5" customHeight="1">
      <c r="A44" s="18"/>
    </row>
    <row r="45" ht="22.5" customHeight="1">
      <c r="A45" s="18"/>
    </row>
    <row r="46" ht="22.5" customHeight="1">
      <c r="A46" s="18"/>
    </row>
    <row r="47" ht="22.5" customHeight="1">
      <c r="A47" s="18"/>
    </row>
    <row r="48" ht="22.5" customHeight="1">
      <c r="A48" s="18"/>
    </row>
    <row r="49" ht="22.5" customHeight="1">
      <c r="A49" s="18"/>
    </row>
    <row r="50" ht="22.5" customHeight="1">
      <c r="A50" s="18"/>
    </row>
    <row r="51" ht="22.5" customHeight="1">
      <c r="A51" s="18"/>
    </row>
    <row r="52" ht="22.5" customHeight="1">
      <c r="A52" s="18"/>
    </row>
    <row r="53" ht="22.5" customHeight="1">
      <c r="A53" s="18"/>
    </row>
    <row r="54" ht="22.5" customHeight="1">
      <c r="A54" s="18"/>
    </row>
    <row r="55" ht="22.5" customHeight="1">
      <c r="A55" s="18"/>
    </row>
    <row r="56" ht="22.5" customHeight="1">
      <c r="A56" s="18"/>
    </row>
    <row r="57" ht="22.5" customHeight="1">
      <c r="A57" s="18"/>
    </row>
    <row r="58" ht="22.5" customHeight="1">
      <c r="A58" s="18"/>
    </row>
    <row r="59" ht="22.5" customHeight="1">
      <c r="A59" s="18"/>
    </row>
    <row r="60" ht="22.5" customHeight="1">
      <c r="A60" s="18"/>
    </row>
    <row r="61" ht="22.5" customHeight="1">
      <c r="A61" s="18"/>
    </row>
    <row r="62" ht="22.5" customHeight="1">
      <c r="A62" s="18"/>
    </row>
    <row r="63" ht="22.5" customHeight="1">
      <c r="A63" s="18"/>
    </row>
    <row r="64" ht="22.5" customHeight="1">
      <c r="A64" s="18"/>
    </row>
    <row r="65" ht="22.5" customHeight="1">
      <c r="A65" s="18"/>
    </row>
    <row r="66" ht="22.5" customHeight="1">
      <c r="A66" s="18"/>
    </row>
    <row r="67" ht="22.5" customHeight="1">
      <c r="A67" s="18"/>
    </row>
    <row r="68" ht="22.5" customHeight="1">
      <c r="A68" s="18"/>
    </row>
    <row r="69" ht="22.5" customHeight="1">
      <c r="A69" s="18"/>
    </row>
    <row r="70" ht="22.5" customHeight="1">
      <c r="A70" s="18"/>
    </row>
    <row r="71" ht="22.5" customHeight="1">
      <c r="A71" s="18"/>
    </row>
    <row r="72" ht="22.5" customHeight="1">
      <c r="A72" s="18"/>
    </row>
    <row r="73" ht="22.5" customHeight="1">
      <c r="A73" s="18"/>
    </row>
    <row r="74" ht="22.5" customHeight="1">
      <c r="A74" s="18"/>
    </row>
    <row r="75" ht="22.5" customHeight="1">
      <c r="A75" s="18"/>
    </row>
    <row r="76" ht="22.5" customHeight="1">
      <c r="A76" s="18"/>
    </row>
    <row r="77" ht="22.5" customHeight="1">
      <c r="A77" s="18"/>
    </row>
    <row r="78" ht="22.5" customHeight="1">
      <c r="A78" s="18"/>
    </row>
    <row r="79" ht="22.5" customHeight="1">
      <c r="A79" s="18"/>
    </row>
    <row r="80" ht="22.5" customHeight="1">
      <c r="A80" s="18"/>
    </row>
    <row r="81" ht="22.5" customHeight="1">
      <c r="A81" s="18"/>
    </row>
    <row r="82" ht="22.5" customHeight="1">
      <c r="A82" s="18"/>
    </row>
    <row r="83" ht="22.5" customHeight="1">
      <c r="A83" s="18"/>
    </row>
    <row r="84" ht="22.5" customHeight="1">
      <c r="A84" s="18"/>
    </row>
    <row r="85" ht="22.5" customHeight="1">
      <c r="A85" s="18"/>
    </row>
    <row r="86" ht="22.5" customHeight="1">
      <c r="A86" s="18"/>
    </row>
    <row r="87" ht="22.5" customHeight="1">
      <c r="A87" s="18"/>
    </row>
    <row r="88" ht="22.5" customHeight="1">
      <c r="A88" s="18"/>
    </row>
    <row r="89" ht="22.5" customHeight="1">
      <c r="A89" s="18"/>
    </row>
    <row r="90" ht="22.5" customHeight="1">
      <c r="A90" s="18"/>
    </row>
    <row r="91" ht="22.5" customHeight="1">
      <c r="A91" s="18"/>
    </row>
    <row r="92" ht="22.5" customHeight="1">
      <c r="A92" s="18"/>
    </row>
    <row r="93" ht="22.5" customHeight="1">
      <c r="A93" s="18"/>
    </row>
    <row r="94" ht="22.5" customHeight="1">
      <c r="A94" s="18"/>
    </row>
    <row r="95" ht="22.5" customHeight="1">
      <c r="A95" s="18"/>
    </row>
    <row r="96" ht="22.5" customHeight="1">
      <c r="A96" s="18"/>
    </row>
    <row r="97" ht="22.5" customHeight="1">
      <c r="A97" s="18"/>
    </row>
    <row r="98" ht="22.5" customHeight="1">
      <c r="A98" s="18"/>
    </row>
    <row r="99" ht="22.5" customHeight="1">
      <c r="A99" s="18"/>
    </row>
    <row r="100" ht="22.5" customHeight="1">
      <c r="A100" s="18"/>
    </row>
    <row r="101" ht="22.5" customHeight="1">
      <c r="A101" s="18"/>
    </row>
    <row r="102" ht="22.5" customHeight="1">
      <c r="A102" s="18"/>
    </row>
    <row r="103" ht="22.5" customHeight="1">
      <c r="A103" s="18"/>
    </row>
    <row r="104" ht="22.5" customHeight="1">
      <c r="A104" s="18"/>
    </row>
    <row r="105" ht="22.5" customHeight="1">
      <c r="A105" s="18"/>
    </row>
    <row r="106" ht="22.5" customHeight="1">
      <c r="A106" s="18"/>
    </row>
    <row r="107" ht="22.5" customHeight="1">
      <c r="A107" s="18"/>
    </row>
    <row r="108" ht="22.5" customHeight="1">
      <c r="A108" s="18"/>
    </row>
    <row r="109" ht="22.5" customHeight="1">
      <c r="A109" s="18"/>
    </row>
    <row r="110" ht="22.5" customHeight="1">
      <c r="A110" s="18"/>
    </row>
    <row r="111" ht="22.5" customHeight="1">
      <c r="A111" s="18"/>
    </row>
    <row r="112" ht="22.5" customHeight="1">
      <c r="A112" s="18"/>
    </row>
    <row r="113" ht="22.5" customHeight="1">
      <c r="A113" s="18"/>
    </row>
    <row r="114" ht="22.5" customHeight="1">
      <c r="A114" s="18"/>
    </row>
    <row r="115" ht="22.5" customHeight="1">
      <c r="A115" s="18"/>
    </row>
    <row r="116" ht="22.5" customHeight="1">
      <c r="A116" s="18"/>
    </row>
    <row r="117" ht="22.5" customHeight="1">
      <c r="A117" s="18"/>
    </row>
    <row r="118" ht="22.5" customHeight="1">
      <c r="A118" s="18"/>
    </row>
    <row r="119" ht="22.5" customHeight="1">
      <c r="A119" s="18"/>
    </row>
    <row r="120" ht="22.5" customHeight="1">
      <c r="A120" s="18"/>
    </row>
    <row r="121" ht="22.5" customHeight="1">
      <c r="A121" s="18"/>
    </row>
    <row r="122" ht="22.5" customHeight="1">
      <c r="A122" s="18"/>
    </row>
    <row r="123" ht="22.5" customHeight="1">
      <c r="A123" s="18"/>
    </row>
    <row r="124" ht="22.5" customHeight="1">
      <c r="A124" s="18"/>
    </row>
    <row r="125" ht="22.5" customHeight="1">
      <c r="A125" s="18"/>
    </row>
    <row r="126" ht="22.5" customHeight="1">
      <c r="A126" s="18"/>
    </row>
    <row r="127" ht="22.5" customHeight="1">
      <c r="A127" s="18"/>
    </row>
    <row r="128" ht="22.5" customHeight="1">
      <c r="A128" s="18"/>
    </row>
    <row r="129" ht="22.5" customHeight="1">
      <c r="A129" s="18"/>
    </row>
    <row r="130" ht="22.5" customHeight="1">
      <c r="A130" s="18"/>
    </row>
    <row r="131" ht="22.5" customHeight="1">
      <c r="A131" s="18"/>
    </row>
    <row r="132" ht="22.5" customHeight="1">
      <c r="A132" s="18"/>
    </row>
    <row r="133" ht="22.5" customHeight="1">
      <c r="A133" s="18"/>
    </row>
    <row r="134" ht="22.5" customHeight="1">
      <c r="A134" s="18"/>
    </row>
    <row r="135" ht="22.5" customHeight="1">
      <c r="A135" s="18"/>
    </row>
    <row r="136" ht="22.5" customHeight="1">
      <c r="A136" s="18"/>
    </row>
    <row r="137" ht="22.5" customHeight="1">
      <c r="A137" s="18"/>
    </row>
    <row r="138" ht="22.5" customHeight="1">
      <c r="A138" s="18"/>
    </row>
    <row r="139" ht="22.5" customHeight="1">
      <c r="A139" s="18"/>
    </row>
    <row r="140" ht="22.5" customHeight="1">
      <c r="A140" s="18"/>
    </row>
    <row r="141" ht="22.5" customHeight="1">
      <c r="A141" s="18"/>
    </row>
    <row r="142" ht="22.5" customHeight="1">
      <c r="A142" s="18"/>
    </row>
    <row r="143" ht="22.5" customHeight="1">
      <c r="A143" s="18"/>
    </row>
    <row r="144" ht="22.5" customHeight="1">
      <c r="A144" s="18"/>
    </row>
    <row r="145" ht="22.5" customHeight="1">
      <c r="A145" s="18"/>
    </row>
    <row r="146" ht="22.5" customHeight="1">
      <c r="A146" s="18"/>
    </row>
    <row r="147" ht="22.5" customHeight="1">
      <c r="A147" s="18"/>
    </row>
    <row r="148" ht="22.5" customHeight="1">
      <c r="A148" s="18"/>
    </row>
    <row r="149" ht="22.5" customHeight="1">
      <c r="A149" s="18"/>
    </row>
    <row r="150" ht="22.5" customHeight="1">
      <c r="A150" s="18"/>
    </row>
    <row r="151" ht="22.5" customHeight="1">
      <c r="A151" s="18"/>
    </row>
    <row r="152" ht="22.5" customHeight="1">
      <c r="A152" s="18"/>
    </row>
    <row r="153" ht="22.5" customHeight="1">
      <c r="A153" s="18"/>
    </row>
    <row r="154" ht="22.5" customHeight="1">
      <c r="A154" s="18"/>
    </row>
    <row r="155" ht="22.5" customHeight="1">
      <c r="A155" s="18"/>
    </row>
    <row r="156" ht="22.5" customHeight="1">
      <c r="A156" s="18"/>
    </row>
    <row r="157" ht="22.5" customHeight="1">
      <c r="A157" s="18"/>
    </row>
    <row r="158" ht="22.5" customHeight="1">
      <c r="A158" s="18"/>
    </row>
    <row r="159" ht="22.5" customHeight="1">
      <c r="A159" s="18"/>
    </row>
    <row r="160" ht="22.5" customHeight="1">
      <c r="A160" s="18"/>
    </row>
    <row r="161" ht="22.5" customHeight="1">
      <c r="A161" s="18"/>
    </row>
    <row r="162" ht="22.5" customHeight="1">
      <c r="A162" s="18"/>
    </row>
    <row r="163" ht="22.5" customHeight="1">
      <c r="A163" s="18"/>
    </row>
    <row r="164" ht="22.5" customHeight="1">
      <c r="A164" s="18"/>
    </row>
    <row r="165" ht="22.5" customHeight="1">
      <c r="A165" s="18"/>
    </row>
    <row r="166" ht="22.5" customHeight="1">
      <c r="A166" s="18"/>
    </row>
    <row r="167" ht="22.5" customHeight="1">
      <c r="A167" s="18"/>
    </row>
    <row r="168" ht="22.5" customHeight="1">
      <c r="A168" s="18"/>
    </row>
    <row r="169" ht="22.5" customHeight="1">
      <c r="A169" s="18"/>
    </row>
    <row r="170" ht="22.5" customHeight="1">
      <c r="A170" s="18"/>
    </row>
    <row r="171" ht="22.5" customHeight="1">
      <c r="A171" s="18"/>
    </row>
    <row r="172" ht="22.5" customHeight="1">
      <c r="A172" s="18"/>
    </row>
    <row r="173" ht="22.5" customHeight="1">
      <c r="A173" s="18"/>
    </row>
    <row r="174" ht="22.5" customHeight="1">
      <c r="A174" s="18"/>
    </row>
    <row r="175" ht="22.5" customHeight="1">
      <c r="A175" s="18"/>
    </row>
    <row r="176" ht="22.5" customHeight="1">
      <c r="A176" s="18"/>
    </row>
    <row r="177" ht="22.5" customHeight="1">
      <c r="A177" s="18"/>
    </row>
    <row r="178" ht="22.5" customHeight="1">
      <c r="A178" s="18"/>
    </row>
    <row r="179" ht="22.5" customHeight="1">
      <c r="A179" s="18"/>
    </row>
    <row r="180" ht="22.5" customHeight="1">
      <c r="A180" s="18"/>
    </row>
    <row r="181" ht="22.5" customHeight="1">
      <c r="A181" s="18"/>
    </row>
    <row r="182" ht="22.5" customHeight="1">
      <c r="A182" s="18"/>
    </row>
    <row r="183" ht="22.5" customHeight="1">
      <c r="A183" s="18"/>
    </row>
    <row r="184" ht="22.5" customHeight="1">
      <c r="A184" s="18"/>
    </row>
    <row r="185" ht="22.5" customHeight="1">
      <c r="A185" s="18"/>
    </row>
    <row r="186" ht="22.5" customHeight="1">
      <c r="A186" s="18"/>
    </row>
    <row r="187" ht="22.5" customHeight="1">
      <c r="A187" s="18"/>
    </row>
    <row r="188" ht="22.5" customHeight="1">
      <c r="A188" s="18"/>
    </row>
    <row r="189" ht="22.5" customHeight="1">
      <c r="A189" s="18"/>
    </row>
    <row r="190" ht="22.5" customHeight="1">
      <c r="A190" s="18"/>
    </row>
    <row r="191" ht="22.5" customHeight="1">
      <c r="A191" s="18"/>
    </row>
    <row r="192" ht="22.5" customHeight="1">
      <c r="A192" s="18"/>
    </row>
    <row r="193" ht="22.5" customHeight="1">
      <c r="A193" s="18"/>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M17"/>
    <hyperlink r:id="rId33" ref="L18"/>
    <hyperlink r:id="rId34" ref="M18"/>
    <hyperlink r:id="rId35" ref="L19"/>
    <hyperlink r:id="rId36" ref="M19"/>
    <hyperlink r:id="rId37" ref="L20"/>
    <hyperlink r:id="rId38" ref="M20"/>
    <hyperlink r:id="rId39" ref="L21"/>
    <hyperlink r:id="rId40" ref="M21"/>
    <hyperlink r:id="rId41" ref="L22"/>
    <hyperlink r:id="rId42" ref="M22"/>
    <hyperlink r:id="rId43" ref="L23"/>
    <hyperlink r:id="rId44" ref="M23"/>
    <hyperlink r:id="rId45" ref="L24"/>
    <hyperlink r:id="rId46" ref="M24"/>
    <hyperlink r:id="rId47" ref="L25"/>
    <hyperlink r:id="rId48" ref="M25"/>
    <hyperlink r:id="rId49" ref="L26"/>
    <hyperlink r:id="rId50" ref="M26"/>
    <hyperlink r:id="rId51" ref="L27"/>
    <hyperlink r:id="rId52" ref="M27"/>
    <hyperlink r:id="rId53" ref="L28"/>
    <hyperlink r:id="rId54" ref="M28"/>
    <hyperlink r:id="rId55" ref="L29"/>
    <hyperlink r:id="rId56" ref="M29"/>
    <hyperlink r:id="rId57" ref="L30"/>
    <hyperlink r:id="rId58" ref="M30"/>
    <hyperlink r:id="rId59" ref="L31"/>
    <hyperlink r:id="rId60" ref="M31"/>
    <hyperlink r:id="rId61" ref="L32"/>
    <hyperlink r:id="rId62" ref="M32"/>
    <hyperlink r:id="rId63" ref="L33"/>
    <hyperlink r:id="rId64" ref="M33"/>
    <hyperlink r:id="rId65" ref="L34"/>
    <hyperlink r:id="rId66" ref="M34"/>
    <hyperlink r:id="rId67" ref="L35"/>
    <hyperlink r:id="rId68" ref="M35"/>
    <hyperlink r:id="rId69" ref="L36"/>
    <hyperlink r:id="rId70" ref="M36"/>
    <hyperlink r:id="rId71" ref="L37"/>
    <hyperlink r:id="rId72" ref="M37"/>
    <hyperlink r:id="rId73" ref="L38"/>
    <hyperlink r:id="rId74" ref="M38"/>
  </hyperlinks>
  <drawing r:id="rId75"/>
  <tableParts count="1">
    <tablePart r:id="rId7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75"/>
    <col customWidth="1" min="3" max="3" width="26.63"/>
    <col customWidth="1" min="4" max="4" width="26.75"/>
    <col customWidth="1" min="5" max="5" width="23.0"/>
    <col customWidth="1" min="6" max="7" width="18.88"/>
    <col customWidth="1" min="8" max="8" width="22.88"/>
    <col customWidth="1" min="9" max="9" width="27.63"/>
    <col customWidth="1" min="10" max="10" width="36.5"/>
    <col customWidth="1" min="11" max="11" width="18.88"/>
    <col customWidth="1" min="12" max="12" width="26.75"/>
    <col customWidth="1" min="13" max="13" width="21.25"/>
    <col customWidth="1" min="14" max="14" width="18.88"/>
    <col customWidth="1" min="15" max="15" width="37.63"/>
    <col customWidth="1" min="16" max="16" width="31.0"/>
    <col customWidth="1" min="17" max="17" width="24.5"/>
    <col customWidth="1" min="18" max="18" width="18.88"/>
    <col customWidth="1" min="19" max="19" width="37.63"/>
    <col customWidth="1" min="20" max="20" width="30.13"/>
    <col customWidth="1" min="21" max="21" width="24.0"/>
    <col customWidth="1" min="22" max="22" width="31.13"/>
    <col customWidth="1" min="23" max="23" width="19.38"/>
    <col customWidth="1" min="24" max="24" width="24.63"/>
    <col customWidth="1" min="25" max="25" width="19.38"/>
    <col customWidth="1" min="26" max="26" width="24.63"/>
    <col customWidth="1" min="27" max="27" width="28.88"/>
    <col customWidth="1" min="28" max="29" width="28.75"/>
    <col customWidth="1" min="30" max="30" width="37.63"/>
    <col customWidth="1" min="31" max="31" width="33.25"/>
    <col customWidth="1" min="32" max="37" width="18.88"/>
  </cols>
  <sheetData>
    <row r="1" ht="22.5" customHeight="1">
      <c r="A1" s="12" t="s">
        <v>12</v>
      </c>
      <c r="B1" s="12" t="s">
        <v>13</v>
      </c>
      <c r="C1" s="13" t="s">
        <v>14</v>
      </c>
      <c r="D1" s="13" t="s">
        <v>15</v>
      </c>
      <c r="E1" s="12" t="s">
        <v>16</v>
      </c>
      <c r="F1" s="13" t="s">
        <v>17</v>
      </c>
      <c r="G1" s="13" t="s">
        <v>18</v>
      </c>
      <c r="H1" s="13" t="s">
        <v>19</v>
      </c>
      <c r="I1" s="13" t="s">
        <v>20</v>
      </c>
      <c r="J1" s="13" t="s">
        <v>21</v>
      </c>
      <c r="K1" s="13" t="s">
        <v>22</v>
      </c>
      <c r="L1" s="13" t="s">
        <v>23</v>
      </c>
      <c r="M1" s="13" t="s">
        <v>24</v>
      </c>
      <c r="N1" s="13" t="s">
        <v>25</v>
      </c>
      <c r="O1" s="13" t="s">
        <v>26</v>
      </c>
      <c r="P1" s="13" t="s">
        <v>27</v>
      </c>
      <c r="Q1" s="13" t="s">
        <v>28</v>
      </c>
      <c r="R1" s="13" t="s">
        <v>29</v>
      </c>
      <c r="S1" s="12" t="s">
        <v>1333</v>
      </c>
      <c r="T1" s="12" t="s">
        <v>1335</v>
      </c>
      <c r="U1" s="12" t="s">
        <v>1337</v>
      </c>
      <c r="V1" s="13" t="s">
        <v>35</v>
      </c>
      <c r="W1" s="13" t="s">
        <v>37</v>
      </c>
      <c r="X1" s="13" t="s">
        <v>39</v>
      </c>
      <c r="Y1" s="13" t="s">
        <v>41</v>
      </c>
      <c r="Z1" s="13" t="s">
        <v>42</v>
      </c>
      <c r="AA1" s="13" t="s">
        <v>44</v>
      </c>
      <c r="AB1" s="13" t="s">
        <v>45</v>
      </c>
      <c r="AC1" s="13" t="s">
        <v>46</v>
      </c>
      <c r="AD1" s="12" t="s">
        <v>47</v>
      </c>
      <c r="AE1" s="12" t="s">
        <v>48</v>
      </c>
    </row>
    <row r="2" ht="22.5" customHeight="1">
      <c r="A2" s="14">
        <f>IFERROR(__xludf.DUMMYFUNCTION("FILTER(Responses!A2:AE293, (Responses!E2:E293=""M.Sc. Nursing 2023"") + (Responses!E2:E293=""M.Sc. Nursing 2024""))"),46265.92348233797)</f>
        <v>46265.92348</v>
      </c>
      <c r="B2" s="15" t="str">
        <f>IFERROR(__xludf.DUMMYFUNCTION("""COMPUTED_VALUE"""),"rojimandal000@gmail.com")</f>
        <v>rojimandal000@gmail.com</v>
      </c>
      <c r="C2" s="15" t="str">
        <f>IFERROR(__xludf.DUMMYFUNCTION("""COMPUTED_VALUE"""),"ROJI MANDAL ")</f>
        <v>ROJI MANDAL </v>
      </c>
      <c r="D2" s="15">
        <f>IFERROR(__xludf.DUMMYFUNCTION("""COMPUTED_VALUE"""),2.024041E7)</f>
        <v>20240410</v>
      </c>
      <c r="E2" s="15" t="str">
        <f>IFERROR(__xludf.DUMMYFUNCTION("""COMPUTED_VALUE"""),"M.Sc. Nursing 2024")</f>
        <v>M.Sc. Nursing 2024</v>
      </c>
      <c r="F2" s="15">
        <f>IFERROR(__xludf.DUMMYFUNCTION("""COMPUTED_VALUE"""),6.291421596E9)</f>
        <v>6291421596</v>
      </c>
      <c r="G2" s="15" t="str">
        <f>IFERROR(__xludf.DUMMYFUNCTION("""COMPUTED_VALUE"""),"rojimandal000@gmail.com")</f>
        <v>rojimandal000@gmail.com</v>
      </c>
      <c r="H2" s="15" t="str">
        <f>IFERROR(__xludf.DUMMYFUNCTION("""COMPUTED_VALUE"""),"Yes")</f>
        <v>Yes</v>
      </c>
      <c r="I2" s="16" t="str">
        <f>IFERROR(__xludf.DUMMYFUNCTION("""COMPUTED_VALUE"""),"My hobbies include listening to music, watching movies, travelling, and spending time with my family and friends. I’m also interested in learning new things. I enjoy reading and exploring topics that help me grow personally and professionally.")</f>
        <v>My hobbies include listening to music, watching movies, travelling, and spending time with my family and friends. I’m also interested in learning new things. I enjoy reading and exploring topics that help me grow personally and professionally.</v>
      </c>
      <c r="J2" s="16" t="str">
        <f>IFERROR(__xludf.DUMMYFUNCTION("""COMPUTED_VALUE"""),"I am a brown belt in karate.")</f>
        <v>I am a brown belt in karate.</v>
      </c>
      <c r="K2" s="15" t="str">
        <f>IFERROR(__xludf.DUMMYFUNCTION("""COMPUTED_VALUE"""),"Ranaghat, west bengal ")</f>
        <v>Ranaghat, west bengal </v>
      </c>
      <c r="L2" s="17" t="str">
        <f>IFERROR(__xludf.DUMMYFUNCTION("""COMPUTED_VALUE"""),"https://drive.google.com/open?id=19Ufj63siWdyY2o1IyYqcc7TOHpr4iSYv")</f>
        <v>https://drive.google.com/open?id=19Ufj63siWdyY2o1IyYqcc7TOHpr4iSYv</v>
      </c>
      <c r="M2" s="17" t="str">
        <f>IFERROR(__xludf.DUMMYFUNCTION("""COMPUTED_VALUE"""),"https://drive.google.com/open?id=1F5T_c4pLztvxFFHJnUrj7TdNSkk4EBJR")</f>
        <v>https://drive.google.com/open?id=1F5T_c4pLztvxFFHJnUrj7TdNSkk4EBJR</v>
      </c>
      <c r="N2" s="15" t="str">
        <f>IFERROR(__xludf.DUMMYFUNCTION("""COMPUTED_VALUE"""),"Ranjit Kumar Mandal ")</f>
        <v>Ranjit Kumar Mandal </v>
      </c>
      <c r="O2" s="15" t="str">
        <f>IFERROR(__xludf.DUMMYFUNCTION("""COMPUTED_VALUE"""),"Pharmacist ")</f>
        <v>Pharmacist </v>
      </c>
      <c r="P2" s="15" t="str">
        <f>IFERROR(__xludf.DUMMYFUNCTION("""COMPUTED_VALUE"""),"Ranaghat, west bengal ")</f>
        <v>Ranaghat, west bengal </v>
      </c>
      <c r="Q2" s="15">
        <f>IFERROR(__xludf.DUMMYFUNCTION("""COMPUTED_VALUE"""),7.654286296E9)</f>
        <v>7654286296</v>
      </c>
      <c r="R2" s="15" t="str">
        <f>IFERROR(__xludf.DUMMYFUNCTION("""COMPUTED_VALUE"""),"Sheli Mandal ")</f>
        <v>Sheli Mandal </v>
      </c>
      <c r="S2" s="15" t="str">
        <f>IFERROR(__xludf.DUMMYFUNCTION("""COMPUTED_VALUE"""),"House wife ")</f>
        <v>House wife </v>
      </c>
      <c r="T2" s="15" t="str">
        <f>IFERROR(__xludf.DUMMYFUNCTION("""COMPUTED_VALUE"""),"Ranaghat, west bengal ")</f>
        <v>Ranaghat, west bengal </v>
      </c>
      <c r="U2" s="15">
        <f>IFERROR(__xludf.DUMMYFUNCTION("""COMPUTED_VALUE"""),6.289643354E9)</f>
        <v>6289643354</v>
      </c>
      <c r="V2" s="15">
        <f>IFERROR(__xludf.DUMMYFUNCTION("""COMPUTED_VALUE"""),2.0)</f>
        <v>2</v>
      </c>
      <c r="W2" s="15" t="str">
        <f>IFERROR(__xludf.DUMMYFUNCTION("""COMPUTED_VALUE"""),"Ranjit Kumar Mandal ")</f>
        <v>Ranjit Kumar Mandal </v>
      </c>
      <c r="X2" s="15" t="str">
        <f>IFERROR(__xludf.DUMMYFUNCTION("""COMPUTED_VALUE"""),"Father ")</f>
        <v>Father </v>
      </c>
      <c r="Y2" s="15" t="str">
        <f>IFERROR(__xludf.DUMMYFUNCTION("""COMPUTED_VALUE"""),"Sheli Mandal ")</f>
        <v>Sheli Mandal </v>
      </c>
      <c r="Z2" s="15" t="str">
        <f>IFERROR(__xludf.DUMMYFUNCTION("""COMPUTED_VALUE"""),"Mother ")</f>
        <v>Mother </v>
      </c>
      <c r="AA2" s="15" t="str">
        <f>IFERROR(__xludf.DUMMYFUNCTION("""COMPUTED_VALUE"""),"Veg")</f>
        <v>Veg</v>
      </c>
      <c r="AB2" s="15" t="str">
        <f>IFERROR(__xludf.DUMMYFUNCTION("""COMPUTED_VALUE"""),"Non-Veg")</f>
        <v>Non-Veg</v>
      </c>
      <c r="AC2" s="15" t="str">
        <f>IFERROR(__xludf.DUMMYFUNCTION("""COMPUTED_VALUE"""),"Veg")</f>
        <v>Veg</v>
      </c>
      <c r="AD2" s="15" t="str">
        <f>IFERROR(__xludf.DUMMYFUNCTION("""COMPUTED_VALUE"""),"Drop at Kalyani Railway Station")</f>
        <v>Drop at Kalyani Railway Station</v>
      </c>
      <c r="AE2" s="15">
        <f>IFERROR(__xludf.DUMMYFUNCTION("""COMPUTED_VALUE"""),3.0)</f>
        <v>3</v>
      </c>
    </row>
    <row r="3" ht="22.5" customHeight="1">
      <c r="A3" s="18">
        <f>IFERROR(__xludf.DUMMYFUNCTION("""COMPUTED_VALUE"""),46265.83613523148)</f>
        <v>46265.83614</v>
      </c>
      <c r="B3" s="21" t="str">
        <f>IFERROR(__xludf.DUMMYFUNCTION("""COMPUTED_VALUE"""),"mandabi.mscnursing-2024@aiimskalyani.edu.in")</f>
        <v>mandabi.mscnursing-2024@aiimskalyani.edu.in</v>
      </c>
      <c r="C3" s="21" t="str">
        <f>IFERROR(__xludf.DUMMYFUNCTION("""COMPUTED_VALUE"""),"MANDABI SARKAR")</f>
        <v>MANDABI SARKAR</v>
      </c>
      <c r="D3" s="21">
        <f>IFERROR(__xludf.DUMMYFUNCTION("""COMPUTED_VALUE"""),2.0240407E7)</f>
        <v>20240407</v>
      </c>
      <c r="E3" s="21" t="str">
        <f>IFERROR(__xludf.DUMMYFUNCTION("""COMPUTED_VALUE"""),"M.Sc. Nursing 2024")</f>
        <v>M.Sc. Nursing 2024</v>
      </c>
      <c r="F3" s="21">
        <f>IFERROR(__xludf.DUMMYFUNCTION("""COMPUTED_VALUE"""),8.900105792E9)</f>
        <v>8900105792</v>
      </c>
      <c r="G3" s="21" t="str">
        <f>IFERROR(__xludf.DUMMYFUNCTION("""COMPUTED_VALUE"""),"mandabisarkar@gmail.com")</f>
        <v>mandabisarkar@gmail.com</v>
      </c>
      <c r="H3" s="21" t="str">
        <f>IFERROR(__xludf.DUMMYFUNCTION("""COMPUTED_VALUE"""),"Yes")</f>
        <v>Yes</v>
      </c>
      <c r="I3" s="21"/>
      <c r="J3" s="21"/>
      <c r="K3" s="21" t="str">
        <f>IFERROR(__xludf.DUMMYFUNCTION("""COMPUTED_VALUE"""),"Berhampore")</f>
        <v>Berhampore</v>
      </c>
      <c r="L3" s="22" t="str">
        <f>IFERROR(__xludf.DUMMYFUNCTION("""COMPUTED_VALUE"""),"https://drive.google.com/open?id=1L82KSdSw_1SggAEgnc1cgro2NE9Xl-LU")</f>
        <v>https://drive.google.com/open?id=1L82KSdSw_1SggAEgnc1cgro2NE9Xl-LU</v>
      </c>
      <c r="M3" s="22" t="str">
        <f>IFERROR(__xludf.DUMMYFUNCTION("""COMPUTED_VALUE"""),"https://drive.google.com/open?id=1vuQ6wwR_TNgQ1A7JnFzO74PzrtCIMD2-")</f>
        <v>https://drive.google.com/open?id=1vuQ6wwR_TNgQ1A7JnFzO74PzrtCIMD2-</v>
      </c>
      <c r="N3" s="21" t="str">
        <f>IFERROR(__xludf.DUMMYFUNCTION("""COMPUTED_VALUE"""),"Achintya Kumar Sarkar ")</f>
        <v>Achintya Kumar Sarkar </v>
      </c>
      <c r="O3" s="21" t="str">
        <f>IFERROR(__xludf.DUMMYFUNCTION("""COMPUTED_VALUE"""),"Retired school teacher ")</f>
        <v>Retired school teacher </v>
      </c>
      <c r="P3" s="21" t="str">
        <f>IFERROR(__xludf.DUMMYFUNCTION("""COMPUTED_VALUE"""),"Berhampore, Murshidabad, West Bengal ")</f>
        <v>Berhampore, Murshidabad, West Bengal </v>
      </c>
      <c r="Q3" s="21">
        <f>IFERROR(__xludf.DUMMYFUNCTION("""COMPUTED_VALUE"""),8.900477003E9)</f>
        <v>8900477003</v>
      </c>
      <c r="R3" s="21" t="str">
        <f>IFERROR(__xludf.DUMMYFUNCTION("""COMPUTED_VALUE"""),"Chandana Sarkar ")</f>
        <v>Chandana Sarkar </v>
      </c>
      <c r="S3" s="21" t="str">
        <f>IFERROR(__xludf.DUMMYFUNCTION("""COMPUTED_VALUE"""),"House wife ")</f>
        <v>House wife </v>
      </c>
      <c r="T3" s="21" t="str">
        <f>IFERROR(__xludf.DUMMYFUNCTION("""COMPUTED_VALUE"""),"Berhampore, Murshidabad, West Bengal ")</f>
        <v>Berhampore, Murshidabad, West Bengal </v>
      </c>
      <c r="U3" s="21">
        <f>IFERROR(__xludf.DUMMYFUNCTION("""COMPUTED_VALUE"""),7.063529371E9)</f>
        <v>7063529371</v>
      </c>
      <c r="V3" s="21">
        <f>IFERROR(__xludf.DUMMYFUNCTION("""COMPUTED_VALUE"""),0.0)</f>
        <v>0</v>
      </c>
      <c r="W3" s="21"/>
      <c r="X3" s="21"/>
      <c r="Y3" s="21"/>
      <c r="Z3" s="21"/>
      <c r="AA3" s="21" t="str">
        <f>IFERROR(__xludf.DUMMYFUNCTION("""COMPUTED_VALUE"""),"Non-Veg")</f>
        <v>Non-Veg</v>
      </c>
      <c r="AB3" s="21"/>
      <c r="AC3" s="21"/>
      <c r="AD3" s="21" t="str">
        <f>IFERROR(__xludf.DUMMYFUNCTION("""COMPUTED_VALUE"""),"Drop at Kalyani Railway Station")</f>
        <v>Drop at Kalyani Railway Station</v>
      </c>
      <c r="AE3" s="21">
        <f>IFERROR(__xludf.DUMMYFUNCTION("""COMPUTED_VALUE"""),1.0)</f>
        <v>1</v>
      </c>
    </row>
    <row r="4" ht="22.5" customHeight="1">
      <c r="A4" s="18">
        <f>IFERROR(__xludf.DUMMYFUNCTION("""COMPUTED_VALUE"""),46265.81132795139)</f>
        <v>46265.81133</v>
      </c>
      <c r="B4" s="21" t="str">
        <f>IFERROR(__xludf.DUMMYFUNCTION("""COMPUTED_VALUE"""),"nidhidhandhi29@gmail.com")</f>
        <v>nidhidhandhi29@gmail.com</v>
      </c>
      <c r="C4" s="21" t="str">
        <f>IFERROR(__xludf.DUMMYFUNCTION("""COMPUTED_VALUE"""),"Nidhi")</f>
        <v>Nidhi</v>
      </c>
      <c r="D4" s="21">
        <f>IFERROR(__xludf.DUMMYFUNCTION("""COMPUTED_VALUE"""),2.0240412E7)</f>
        <v>20240412</v>
      </c>
      <c r="E4" s="21" t="str">
        <f>IFERROR(__xludf.DUMMYFUNCTION("""COMPUTED_VALUE"""),"M.Sc. Nursing 2024")</f>
        <v>M.Sc. Nursing 2024</v>
      </c>
      <c r="F4" s="21">
        <f>IFERROR(__xludf.DUMMYFUNCTION("""COMPUTED_VALUE"""),7.015693798E9)</f>
        <v>7015693798</v>
      </c>
      <c r="G4" s="21" t="str">
        <f>IFERROR(__xludf.DUMMYFUNCTION("""COMPUTED_VALUE"""),"nidhidhandhi29@gmail.com")</f>
        <v>nidhidhandhi29@gmail.com</v>
      </c>
      <c r="H4" s="21" t="str">
        <f>IFERROR(__xludf.DUMMYFUNCTION("""COMPUTED_VALUE"""),"Yes")</f>
        <v>Yes</v>
      </c>
      <c r="I4" s="21" t="str">
        <f>IFERROR(__xludf.DUMMYFUNCTION("""COMPUTED_VALUE"""),"Yoga")</f>
        <v>Yoga</v>
      </c>
      <c r="J4" s="21" t="str">
        <f>IFERROR(__xludf.DUMMYFUNCTION("""COMPUTED_VALUE"""),"No")</f>
        <v>No</v>
      </c>
      <c r="K4" s="21" t="str">
        <f>IFERROR(__xludf.DUMMYFUNCTION("""COMPUTED_VALUE"""),"Haryana")</f>
        <v>Haryana</v>
      </c>
      <c r="L4" s="22" t="str">
        <f>IFERROR(__xludf.DUMMYFUNCTION("""COMPUTED_VALUE"""),"https://drive.google.com/open?id=1q4jtwLfwgagaoHjx9Vk-4Au0Nn89GlKY")</f>
        <v>https://drive.google.com/open?id=1q4jtwLfwgagaoHjx9Vk-4Au0Nn89GlKY</v>
      </c>
      <c r="M4" s="22" t="str">
        <f>IFERROR(__xludf.DUMMYFUNCTION("""COMPUTED_VALUE"""),"https://drive.google.com/open?id=1uYaBUS1pDb8zNs1myLB9Wfa06w9aEjeg")</f>
        <v>https://drive.google.com/open?id=1uYaBUS1pDb8zNs1myLB9Wfa06w9aEjeg</v>
      </c>
      <c r="N4" s="21" t="str">
        <f>IFERROR(__xludf.DUMMYFUNCTION("""COMPUTED_VALUE"""),"Sanjay")</f>
        <v>Sanjay</v>
      </c>
      <c r="O4" s="21" t="str">
        <f>IFERROR(__xludf.DUMMYFUNCTION("""COMPUTED_VALUE"""),"Self employment ")</f>
        <v>Self employment </v>
      </c>
      <c r="P4" s="21" t="str">
        <f>IFERROR(__xludf.DUMMYFUNCTION("""COMPUTED_VALUE"""),"Mehmudpur")</f>
        <v>Mehmudpur</v>
      </c>
      <c r="Q4" s="21">
        <f>IFERROR(__xludf.DUMMYFUNCTION("""COMPUTED_VALUE"""),9.996577829E9)</f>
        <v>9996577829</v>
      </c>
      <c r="R4" s="21" t="str">
        <f>IFERROR(__xludf.DUMMYFUNCTION("""COMPUTED_VALUE"""),"Mukesh")</f>
        <v>Mukesh</v>
      </c>
      <c r="S4" s="21" t="str">
        <f>IFERROR(__xludf.DUMMYFUNCTION("""COMPUTED_VALUE"""),"Housemaker")</f>
        <v>Housemaker</v>
      </c>
      <c r="T4" s="21" t="str">
        <f>IFERROR(__xludf.DUMMYFUNCTION("""COMPUTED_VALUE"""),"Mehmudpur ")</f>
        <v>Mehmudpur </v>
      </c>
      <c r="U4" s="21">
        <f>IFERROR(__xludf.DUMMYFUNCTION("""COMPUTED_VALUE"""),8.930544883E9)</f>
        <v>8930544883</v>
      </c>
      <c r="V4" s="21">
        <f>IFERROR(__xludf.DUMMYFUNCTION("""COMPUTED_VALUE"""),2.0)</f>
        <v>2</v>
      </c>
      <c r="W4" s="21" t="str">
        <f>IFERROR(__xludf.DUMMYFUNCTION("""COMPUTED_VALUE"""),"Barkha ")</f>
        <v>Barkha </v>
      </c>
      <c r="X4" s="21" t="str">
        <f>IFERROR(__xludf.DUMMYFUNCTION("""COMPUTED_VALUE"""),"Sister ")</f>
        <v>Sister </v>
      </c>
      <c r="Y4" s="21" t="str">
        <f>IFERROR(__xludf.DUMMYFUNCTION("""COMPUTED_VALUE"""),"Sneha")</f>
        <v>Sneha</v>
      </c>
      <c r="Z4" s="21" t="str">
        <f>IFERROR(__xludf.DUMMYFUNCTION("""COMPUTED_VALUE"""),"Sister")</f>
        <v>Sister</v>
      </c>
      <c r="AA4" s="21" t="str">
        <f>IFERROR(__xludf.DUMMYFUNCTION("""COMPUTED_VALUE"""),"Veg")</f>
        <v>Veg</v>
      </c>
      <c r="AB4" s="21" t="str">
        <f>IFERROR(__xludf.DUMMYFUNCTION("""COMPUTED_VALUE"""),"Veg")</f>
        <v>Veg</v>
      </c>
      <c r="AC4" s="21" t="str">
        <f>IFERROR(__xludf.DUMMYFUNCTION("""COMPUTED_VALUE"""),"Veg")</f>
        <v>Veg</v>
      </c>
      <c r="AD4" s="21" t="str">
        <f>IFERROR(__xludf.DUMMYFUNCTION("""COMPUTED_VALUE"""),"Bus Drop Service not needed")</f>
        <v>Bus Drop Service not needed</v>
      </c>
      <c r="AE4" s="21">
        <f>IFERROR(__xludf.DUMMYFUNCTION("""COMPUTED_VALUE"""),0.0)</f>
        <v>0</v>
      </c>
    </row>
    <row r="5" ht="22.5" customHeight="1">
      <c r="A5" s="18">
        <f>IFERROR(__xludf.DUMMYFUNCTION("""COMPUTED_VALUE"""),46265.76405421297)</f>
        <v>46265.76405</v>
      </c>
      <c r="B5" s="21" t="str">
        <f>IFERROR(__xludf.DUMMYFUNCTION("""COMPUTED_VALUE"""),"prama.mscnursing-2024@aiimskalyani.edu.in")</f>
        <v>prama.mscnursing-2024@aiimskalyani.edu.in</v>
      </c>
      <c r="C5" s="21" t="str">
        <f>IFERROR(__xludf.DUMMYFUNCTION("""COMPUTED_VALUE"""),"PRAMA CHATTERJEE")</f>
        <v>PRAMA CHATTERJEE</v>
      </c>
      <c r="D5" s="21">
        <f>IFERROR(__xludf.DUMMYFUNCTION("""COMPUTED_VALUE"""),2.0240409E7)</f>
        <v>20240409</v>
      </c>
      <c r="E5" s="21" t="str">
        <f>IFERROR(__xludf.DUMMYFUNCTION("""COMPUTED_VALUE"""),"M.Sc. Nursing 2024")</f>
        <v>M.Sc. Nursing 2024</v>
      </c>
      <c r="F5" s="21">
        <f>IFERROR(__xludf.DUMMYFUNCTION("""COMPUTED_VALUE"""),8.420623906E9)</f>
        <v>8420623906</v>
      </c>
      <c r="G5" s="21" t="str">
        <f>IFERROR(__xludf.DUMMYFUNCTION("""COMPUTED_VALUE"""),"prama.mscnursing-2024@aiimskalyani.edu.in")</f>
        <v>prama.mscnursing-2024@aiimskalyani.edu.in</v>
      </c>
      <c r="H5" s="21" t="str">
        <f>IFERROR(__xludf.DUMMYFUNCTION("""COMPUTED_VALUE"""),"Yes")</f>
        <v>Yes</v>
      </c>
      <c r="I5" s="21" t="str">
        <f>IFERROR(__xludf.DUMMYFUNCTION("""COMPUTED_VALUE"""),"Dancing and singing")</f>
        <v>Dancing and singing</v>
      </c>
      <c r="J5" s="21" t="str">
        <f>IFERROR(__xludf.DUMMYFUNCTION("""COMPUTED_VALUE"""),"NA")</f>
        <v>NA</v>
      </c>
      <c r="K5" s="21" t="str">
        <f>IFERROR(__xludf.DUMMYFUNCTION("""COMPUTED_VALUE"""),"Kolkata, West Bengal")</f>
        <v>Kolkata, West Bengal</v>
      </c>
      <c r="L5" s="22" t="str">
        <f>IFERROR(__xludf.DUMMYFUNCTION("""COMPUTED_VALUE"""),"https://drive.google.com/open?id=1_v9ipshqTAJe0fl6j8fWr8d3eAG2WLHH")</f>
        <v>https://drive.google.com/open?id=1_v9ipshqTAJe0fl6j8fWr8d3eAG2WLHH</v>
      </c>
      <c r="M5" s="22" t="str">
        <f>IFERROR(__xludf.DUMMYFUNCTION("""COMPUTED_VALUE"""),"https://drive.google.com/open?id=1xJj6JguZYYZ-Ag7mDWJOZAl5rU7PX0Qk")</f>
        <v>https://drive.google.com/open?id=1xJj6JguZYYZ-Ag7mDWJOZAl5rU7PX0Qk</v>
      </c>
      <c r="N5" s="21" t="str">
        <f>IFERROR(__xludf.DUMMYFUNCTION("""COMPUTED_VALUE"""),"TARUN KUMAR CHATTERJEE")</f>
        <v>TARUN KUMAR CHATTERJEE</v>
      </c>
      <c r="O5" s="21" t="str">
        <f>IFERROR(__xludf.DUMMYFUNCTION("""COMPUTED_VALUE"""),"GOVT. SERVICE")</f>
        <v>GOVT. SERVICE</v>
      </c>
      <c r="P5" s="21" t="str">
        <f>IFERROR(__xludf.DUMMYFUNCTION("""COMPUTED_VALUE"""),"Kolkata, West Bengal")</f>
        <v>Kolkata, West Bengal</v>
      </c>
      <c r="Q5" s="21">
        <f>IFERROR(__xludf.DUMMYFUNCTION("""COMPUTED_VALUE"""),9.477026679E9)</f>
        <v>9477026679</v>
      </c>
      <c r="R5" s="21" t="str">
        <f>IFERROR(__xludf.DUMMYFUNCTION("""COMPUTED_VALUE"""),"SAMPA CHATTERJEE")</f>
        <v>SAMPA CHATTERJEE</v>
      </c>
      <c r="S5" s="21" t="str">
        <f>IFERROR(__xludf.DUMMYFUNCTION("""COMPUTED_VALUE"""),"HOUSEWIFE")</f>
        <v>HOUSEWIFE</v>
      </c>
      <c r="T5" s="21" t="str">
        <f>IFERROR(__xludf.DUMMYFUNCTION("""COMPUTED_VALUE"""),"Kolkata, West Bengal")</f>
        <v>Kolkata, West Bengal</v>
      </c>
      <c r="U5" s="21">
        <f>IFERROR(__xludf.DUMMYFUNCTION("""COMPUTED_VALUE"""),8.902338855E9)</f>
        <v>8902338855</v>
      </c>
      <c r="V5" s="21">
        <f>IFERROR(__xludf.DUMMYFUNCTION("""COMPUTED_VALUE"""),2.0)</f>
        <v>2</v>
      </c>
      <c r="W5" s="21" t="str">
        <f>IFERROR(__xludf.DUMMYFUNCTION("""COMPUTED_VALUE"""),"TARUN KUMAR CHATTERJEE")</f>
        <v>TARUN KUMAR CHATTERJEE</v>
      </c>
      <c r="X5" s="21" t="str">
        <f>IFERROR(__xludf.DUMMYFUNCTION("""COMPUTED_VALUE"""),"FATHER")</f>
        <v>FATHER</v>
      </c>
      <c r="Y5" s="21" t="str">
        <f>IFERROR(__xludf.DUMMYFUNCTION("""COMPUTED_VALUE"""),"SAMPA CHATTERJEE")</f>
        <v>SAMPA CHATTERJEE</v>
      </c>
      <c r="Z5" s="21" t="str">
        <f>IFERROR(__xludf.DUMMYFUNCTION("""COMPUTED_VALUE"""),"MOTHER")</f>
        <v>MOTHER</v>
      </c>
      <c r="AA5" s="21" t="str">
        <f>IFERROR(__xludf.DUMMYFUNCTION("""COMPUTED_VALUE"""),"Non-Veg")</f>
        <v>Non-Veg</v>
      </c>
      <c r="AB5" s="21" t="str">
        <f>IFERROR(__xludf.DUMMYFUNCTION("""COMPUTED_VALUE"""),"Non-Veg")</f>
        <v>Non-Veg</v>
      </c>
      <c r="AC5" s="21" t="str">
        <f>IFERROR(__xludf.DUMMYFUNCTION("""COMPUTED_VALUE"""),"Non-Veg")</f>
        <v>Non-Veg</v>
      </c>
      <c r="AD5" s="21" t="str">
        <f>IFERROR(__xludf.DUMMYFUNCTION("""COMPUTED_VALUE"""),"Drop at Kalyani Railway Station")</f>
        <v>Drop at Kalyani Railway Station</v>
      </c>
      <c r="AE5" s="21">
        <f>IFERROR(__xludf.DUMMYFUNCTION("""COMPUTED_VALUE"""),3.0)</f>
        <v>3</v>
      </c>
    </row>
    <row r="6" ht="22.5" customHeight="1">
      <c r="A6" s="18">
        <f>IFERROR(__xludf.DUMMYFUNCTION("""COMPUTED_VALUE"""),46265.73607039352)</f>
        <v>46265.73607</v>
      </c>
      <c r="B6" s="21" t="str">
        <f>IFERROR(__xludf.DUMMYFUNCTION("""COMPUTED_VALUE"""),"swatisonam3300@gmail.com")</f>
        <v>swatisonam3300@gmail.com</v>
      </c>
      <c r="C6" s="21" t="str">
        <f>IFERROR(__xludf.DUMMYFUNCTION("""COMPUTED_VALUE"""),"Swati Sonam ")</f>
        <v>Swati Sonam </v>
      </c>
      <c r="D6" s="21">
        <f>IFERROR(__xludf.DUMMYFUNCTION("""COMPUTED_VALUE"""),2.0240411E7)</f>
        <v>20240411</v>
      </c>
      <c r="E6" s="21" t="str">
        <f>IFERROR(__xludf.DUMMYFUNCTION("""COMPUTED_VALUE"""),"M.Sc. Nursing 2024")</f>
        <v>M.Sc. Nursing 2024</v>
      </c>
      <c r="F6" s="21">
        <f>IFERROR(__xludf.DUMMYFUNCTION("""COMPUTED_VALUE"""),8.67700079E9)</f>
        <v>8677000790</v>
      </c>
      <c r="G6" s="21" t="str">
        <f>IFERROR(__xludf.DUMMYFUNCTION("""COMPUTED_VALUE"""),"swatisonam3300@gmail.com")</f>
        <v>swatisonam3300@gmail.com</v>
      </c>
      <c r="H6" s="21" t="str">
        <f>IFERROR(__xludf.DUMMYFUNCTION("""COMPUTED_VALUE"""),"Yes")</f>
        <v>Yes</v>
      </c>
      <c r="I6" s="21" t="str">
        <f>IFERROR(__xludf.DUMMYFUNCTION("""COMPUTED_VALUE"""),"Travelling and cooking")</f>
        <v>Travelling and cooking</v>
      </c>
      <c r="J6" s="21" t="str">
        <f>IFERROR(__xludf.DUMMYFUNCTION("""COMPUTED_VALUE"""),"NA")</f>
        <v>NA</v>
      </c>
      <c r="K6" s="21" t="str">
        <f>IFERROR(__xludf.DUMMYFUNCTION("""COMPUTED_VALUE"""),"Patna")</f>
        <v>Patna</v>
      </c>
      <c r="L6" s="22" t="str">
        <f>IFERROR(__xludf.DUMMYFUNCTION("""COMPUTED_VALUE"""),"https://drive.google.com/open?id=1X5yvInn0LKKltmkmiQUxZtNUQus4M7YM")</f>
        <v>https://drive.google.com/open?id=1X5yvInn0LKKltmkmiQUxZtNUQus4M7YM</v>
      </c>
      <c r="M6" s="22" t="str">
        <f>IFERROR(__xludf.DUMMYFUNCTION("""COMPUTED_VALUE"""),"https://drive.google.com/open?id=16h2scTZqNLLt3RgCz7rwNOyIhgmbsPB4")</f>
        <v>https://drive.google.com/open?id=16h2scTZqNLLt3RgCz7rwNOyIhgmbsPB4</v>
      </c>
      <c r="N6" s="21" t="str">
        <f>IFERROR(__xludf.DUMMYFUNCTION("""COMPUTED_VALUE"""),"Pramod Kumar ")</f>
        <v>Pramod Kumar </v>
      </c>
      <c r="O6" s="21" t="str">
        <f>IFERROR(__xludf.DUMMYFUNCTION("""COMPUTED_VALUE"""),"LAB TECHNICIAN pvt.")</f>
        <v>LAB TECHNICIAN pvt.</v>
      </c>
      <c r="P6" s="21" t="str">
        <f>IFERROR(__xludf.DUMMYFUNCTION("""COMPUTED_VALUE"""),"Patna")</f>
        <v>Patna</v>
      </c>
      <c r="Q6" s="21">
        <f>IFERROR(__xludf.DUMMYFUNCTION("""COMPUTED_VALUE"""),8.25242179E9)</f>
        <v>8252421790</v>
      </c>
      <c r="R6" s="21" t="str">
        <f>IFERROR(__xludf.DUMMYFUNCTION("""COMPUTED_VALUE"""),"Kumari Raushan")</f>
        <v>Kumari Raushan</v>
      </c>
      <c r="S6" s="21" t="str">
        <f>IFERROR(__xludf.DUMMYFUNCTION("""COMPUTED_VALUE"""),"ANM")</f>
        <v>ANM</v>
      </c>
      <c r="T6" s="21" t="str">
        <f>IFERROR(__xludf.DUMMYFUNCTION("""COMPUTED_VALUE"""),"Patna")</f>
        <v>Patna</v>
      </c>
      <c r="U6" s="21">
        <f>IFERROR(__xludf.DUMMYFUNCTION("""COMPUTED_VALUE"""),7.061375922E9)</f>
        <v>7061375922</v>
      </c>
      <c r="V6" s="21">
        <f>IFERROR(__xludf.DUMMYFUNCTION("""COMPUTED_VALUE"""),2.0)</f>
        <v>2</v>
      </c>
      <c r="W6" s="21" t="str">
        <f>IFERROR(__xludf.DUMMYFUNCTION("""COMPUTED_VALUE"""),"Pramod Kumar")</f>
        <v>Pramod Kumar</v>
      </c>
      <c r="X6" s="21" t="str">
        <f>IFERROR(__xludf.DUMMYFUNCTION("""COMPUTED_VALUE"""),"Father")</f>
        <v>Father</v>
      </c>
      <c r="Y6" s="21" t="str">
        <f>IFERROR(__xludf.DUMMYFUNCTION("""COMPUTED_VALUE"""),"Kumari Raushan")</f>
        <v>Kumari Raushan</v>
      </c>
      <c r="Z6" s="21" t="str">
        <f>IFERROR(__xludf.DUMMYFUNCTION("""COMPUTED_VALUE"""),"Mother")</f>
        <v>Mother</v>
      </c>
      <c r="AA6" s="21" t="str">
        <f>IFERROR(__xludf.DUMMYFUNCTION("""COMPUTED_VALUE"""),"Non-Veg")</f>
        <v>Non-Veg</v>
      </c>
      <c r="AB6" s="21" t="str">
        <f>IFERROR(__xludf.DUMMYFUNCTION("""COMPUTED_VALUE"""),"Non-Veg")</f>
        <v>Non-Veg</v>
      </c>
      <c r="AC6" s="21" t="str">
        <f>IFERROR(__xludf.DUMMYFUNCTION("""COMPUTED_VALUE"""),"Non-Veg")</f>
        <v>Non-Veg</v>
      </c>
      <c r="AD6" s="21" t="str">
        <f>IFERROR(__xludf.DUMMYFUNCTION("""COMPUTED_VALUE"""),"Bus Drop Service not needed")</f>
        <v>Bus Drop Service not needed</v>
      </c>
      <c r="AE6" s="21">
        <f>IFERROR(__xludf.DUMMYFUNCTION("""COMPUTED_VALUE"""),0.0)</f>
        <v>0</v>
      </c>
    </row>
    <row r="7" ht="22.5" customHeight="1">
      <c r="A7" s="18">
        <f>IFERROR(__xludf.DUMMYFUNCTION("""COMPUTED_VALUE"""),46265.73488120371)</f>
        <v>46265.73488</v>
      </c>
      <c r="B7" s="21" t="str">
        <f>IFERROR(__xludf.DUMMYFUNCTION("""COMPUTED_VALUE"""),"moumita.mscnursing-2024@aiimskalyani.edu.in")</f>
        <v>moumita.mscnursing-2024@aiimskalyani.edu.in</v>
      </c>
      <c r="C7" s="21" t="str">
        <f>IFERROR(__xludf.DUMMYFUNCTION("""COMPUTED_VALUE"""),"MOUMITA MAJI ")</f>
        <v>MOUMITA MAJI </v>
      </c>
      <c r="D7" s="21">
        <f>IFERROR(__xludf.DUMMYFUNCTION("""COMPUTED_VALUE"""),2.0240408E7)</f>
        <v>20240408</v>
      </c>
      <c r="E7" s="21" t="str">
        <f>IFERROR(__xludf.DUMMYFUNCTION("""COMPUTED_VALUE"""),"M.Sc. Nursing 2024")</f>
        <v>M.Sc. Nursing 2024</v>
      </c>
      <c r="F7" s="21">
        <f>IFERROR(__xludf.DUMMYFUNCTION("""COMPUTED_VALUE"""),9.134582166E9)</f>
        <v>9134582166</v>
      </c>
      <c r="G7" s="21" t="str">
        <f>IFERROR(__xludf.DUMMYFUNCTION("""COMPUTED_VALUE"""),"majimoumita4m@gmail.com")</f>
        <v>majimoumita4m@gmail.com</v>
      </c>
      <c r="H7" s="21" t="str">
        <f>IFERROR(__xludf.DUMMYFUNCTION("""COMPUTED_VALUE"""),"Yes")</f>
        <v>Yes</v>
      </c>
      <c r="I7" s="21"/>
      <c r="J7" s="21"/>
      <c r="K7" s="21" t="str">
        <f>IFERROR(__xludf.DUMMYFUNCTION("""COMPUTED_VALUE"""),"Asansol ")</f>
        <v>Asansol </v>
      </c>
      <c r="L7" s="22" t="str">
        <f>IFERROR(__xludf.DUMMYFUNCTION("""COMPUTED_VALUE"""),"https://drive.google.com/open?id=1gqmOrHyFZXcDOqIR7maxpa8fwYcVR7Uh")</f>
        <v>https://drive.google.com/open?id=1gqmOrHyFZXcDOqIR7maxpa8fwYcVR7Uh</v>
      </c>
      <c r="M7" s="22" t="str">
        <f>IFERROR(__xludf.DUMMYFUNCTION("""COMPUTED_VALUE"""),"https://drive.google.com/open?id=1Yqm9uF_uYQXIlcX04aA_qY57iVI5TGhG")</f>
        <v>https://drive.google.com/open?id=1Yqm9uF_uYQXIlcX04aA_qY57iVI5TGhG</v>
      </c>
      <c r="N7" s="21" t="str">
        <f>IFERROR(__xludf.DUMMYFUNCTION("""COMPUTED_VALUE"""),"Mr. Milan Maji")</f>
        <v>Mr. Milan Maji</v>
      </c>
      <c r="O7" s="21" t="str">
        <f>IFERROR(__xludf.DUMMYFUNCTION("""COMPUTED_VALUE"""),"Buisness Man")</f>
        <v>Buisness Man</v>
      </c>
      <c r="P7" s="21" t="str">
        <f>IFERROR(__xludf.DUMMYFUNCTION("""COMPUTED_VALUE"""),"Chanda more, Asansol ")</f>
        <v>Chanda more, Asansol </v>
      </c>
      <c r="Q7" s="21">
        <f>IFERROR(__xludf.DUMMYFUNCTION("""COMPUTED_VALUE"""),8.967688577E9)</f>
        <v>8967688577</v>
      </c>
      <c r="R7" s="21" t="str">
        <f>IFERROR(__xludf.DUMMYFUNCTION("""COMPUTED_VALUE"""),"Mrs. Dipali Maji")</f>
        <v>Mrs. Dipali Maji</v>
      </c>
      <c r="S7" s="21" t="str">
        <f>IFERROR(__xludf.DUMMYFUNCTION("""COMPUTED_VALUE"""),"House Wife ")</f>
        <v>House Wife </v>
      </c>
      <c r="T7" s="21" t="str">
        <f>IFERROR(__xludf.DUMMYFUNCTION("""COMPUTED_VALUE"""),"Chanda more, Asansol ")</f>
        <v>Chanda more, Asansol </v>
      </c>
      <c r="U7" s="21">
        <f>IFERROR(__xludf.DUMMYFUNCTION("""COMPUTED_VALUE"""),8.01669234E9)</f>
        <v>8016692340</v>
      </c>
      <c r="V7" s="21">
        <f>IFERROR(__xludf.DUMMYFUNCTION("""COMPUTED_VALUE"""),2.0)</f>
        <v>2</v>
      </c>
      <c r="W7" s="21" t="str">
        <f>IFERROR(__xludf.DUMMYFUNCTION("""COMPUTED_VALUE"""),"Milan Maji")</f>
        <v>Milan Maji</v>
      </c>
      <c r="X7" s="21" t="str">
        <f>IFERROR(__xludf.DUMMYFUNCTION("""COMPUTED_VALUE"""),"Father")</f>
        <v>Father</v>
      </c>
      <c r="Y7" s="21" t="str">
        <f>IFERROR(__xludf.DUMMYFUNCTION("""COMPUTED_VALUE"""),"Dipali Maji")</f>
        <v>Dipali Maji</v>
      </c>
      <c r="Z7" s="21" t="str">
        <f>IFERROR(__xludf.DUMMYFUNCTION("""COMPUTED_VALUE"""),"Mother")</f>
        <v>Mother</v>
      </c>
      <c r="AA7" s="21" t="str">
        <f>IFERROR(__xludf.DUMMYFUNCTION("""COMPUTED_VALUE"""),"Non-Veg")</f>
        <v>Non-Veg</v>
      </c>
      <c r="AB7" s="21" t="str">
        <f>IFERROR(__xludf.DUMMYFUNCTION("""COMPUTED_VALUE"""),"Non-Veg")</f>
        <v>Non-Veg</v>
      </c>
      <c r="AC7" s="21" t="str">
        <f>IFERROR(__xludf.DUMMYFUNCTION("""COMPUTED_VALUE"""),"Veg")</f>
        <v>Veg</v>
      </c>
      <c r="AD7" s="21" t="str">
        <f>IFERROR(__xludf.DUMMYFUNCTION("""COMPUTED_VALUE"""),"Bus Drop Service not needed")</f>
        <v>Bus Drop Service not needed</v>
      </c>
      <c r="AE7" s="21">
        <f>IFERROR(__xludf.DUMMYFUNCTION("""COMPUTED_VALUE"""),0.0)</f>
        <v>0</v>
      </c>
    </row>
    <row r="8" ht="22.5" customHeight="1">
      <c r="A8" s="18">
        <f>IFERROR(__xludf.DUMMYFUNCTION("""COMPUTED_VALUE"""),46264.652847743055)</f>
        <v>46264.65285</v>
      </c>
      <c r="B8" s="21" t="str">
        <f>IFERROR(__xludf.DUMMYFUNCTION("""COMPUTED_VALUE"""),"sashi.mscnursing-2023@aiimskalyani.edu.in")</f>
        <v>sashi.mscnursing-2023@aiimskalyani.edu.in</v>
      </c>
      <c r="C8" s="21" t="str">
        <f>IFERROR(__xludf.DUMMYFUNCTION("""COMPUTED_VALUE"""),"SASHI BAG ")</f>
        <v>SASHI BAG </v>
      </c>
      <c r="D8" s="21">
        <f>IFERROR(__xludf.DUMMYFUNCTION("""COMPUTED_VALUE"""),2.0230406E7)</f>
        <v>20230406</v>
      </c>
      <c r="E8" s="21" t="str">
        <f>IFERROR(__xludf.DUMMYFUNCTION("""COMPUTED_VALUE"""),"M.Sc. Nursing 2023")</f>
        <v>M.Sc. Nursing 2023</v>
      </c>
      <c r="F8" s="21">
        <f>IFERROR(__xludf.DUMMYFUNCTION("""COMPUTED_VALUE"""),8.018894955E9)</f>
        <v>8018894955</v>
      </c>
      <c r="G8" s="21" t="str">
        <f>IFERROR(__xludf.DUMMYFUNCTION("""COMPUTED_VALUE"""),"sashi.mscnursing-2023@aiimskalyani.edu.in")</f>
        <v>sashi.mscnursing-2023@aiimskalyani.edu.in</v>
      </c>
      <c r="H8" s="21" t="str">
        <f>IFERROR(__xludf.DUMMYFUNCTION("""COMPUTED_VALUE"""),"Yes")</f>
        <v>Yes</v>
      </c>
      <c r="I8" s="21" t="str">
        <f>IFERROR(__xludf.DUMMYFUNCTION("""COMPUTED_VALUE"""),"Dancing ")</f>
        <v>Dancing </v>
      </c>
      <c r="J8" s="21" t="str">
        <f>IFERROR(__xludf.DUMMYFUNCTION("""COMPUTED_VALUE"""),"N/A")</f>
        <v>N/A</v>
      </c>
      <c r="K8" s="21" t="str">
        <f>IFERROR(__xludf.DUMMYFUNCTION("""COMPUTED_VALUE"""),"Nuapada, Odisha ")</f>
        <v>Nuapada, Odisha </v>
      </c>
      <c r="L8" s="22" t="str">
        <f>IFERROR(__xludf.DUMMYFUNCTION("""COMPUTED_VALUE"""),"https://drive.google.com/open?id=152MAZpjZvThK43BIDbogZ9khRdPP5tJ0")</f>
        <v>https://drive.google.com/open?id=152MAZpjZvThK43BIDbogZ9khRdPP5tJ0</v>
      </c>
      <c r="M8" s="22" t="str">
        <f>IFERROR(__xludf.DUMMYFUNCTION("""COMPUTED_VALUE"""),"https://drive.google.com/open?id=1O7FYjFhVrWKHFRQ9RAu1l5ijTF1IDO4C")</f>
        <v>https://drive.google.com/open?id=1O7FYjFhVrWKHFRQ9RAu1l5ijTF1IDO4C</v>
      </c>
      <c r="N8" s="21" t="str">
        <f>IFERROR(__xludf.DUMMYFUNCTION("""COMPUTED_VALUE"""),"Narsing Bag ")</f>
        <v>Narsing Bag </v>
      </c>
      <c r="O8" s="21" t="str">
        <f>IFERROR(__xludf.DUMMYFUNCTION("""COMPUTED_VALUE"""),"Farmer ")</f>
        <v>Farmer </v>
      </c>
      <c r="P8" s="21" t="str">
        <f>IFERROR(__xludf.DUMMYFUNCTION("""COMPUTED_VALUE"""),"Semeria, Nuapada, Odisha ")</f>
        <v>Semeria, Nuapada, Odisha </v>
      </c>
      <c r="Q8" s="21">
        <f>IFERROR(__xludf.DUMMYFUNCTION("""COMPUTED_VALUE"""),7.077135656E9)</f>
        <v>7077135656</v>
      </c>
      <c r="R8" s="21" t="str">
        <f>IFERROR(__xludf.DUMMYFUNCTION("""COMPUTED_VALUE"""),"Shakuntala Bag ")</f>
        <v>Shakuntala Bag </v>
      </c>
      <c r="S8" s="21" t="str">
        <f>IFERROR(__xludf.DUMMYFUNCTION("""COMPUTED_VALUE"""),"Homemaker ")</f>
        <v>Homemaker </v>
      </c>
      <c r="T8" s="21" t="str">
        <f>IFERROR(__xludf.DUMMYFUNCTION("""COMPUTED_VALUE"""),"Semeria, Nuapada, Odisha ")</f>
        <v>Semeria, Nuapada, Odisha </v>
      </c>
      <c r="U8" s="21">
        <f>IFERROR(__xludf.DUMMYFUNCTION("""COMPUTED_VALUE"""),7.077135656E9)</f>
        <v>7077135656</v>
      </c>
      <c r="V8" s="21">
        <f>IFERROR(__xludf.DUMMYFUNCTION("""COMPUTED_VALUE"""),2.0)</f>
        <v>2</v>
      </c>
      <c r="W8" s="21" t="str">
        <f>IFERROR(__xludf.DUMMYFUNCTION("""COMPUTED_VALUE"""),"Narsing Bag ")</f>
        <v>Narsing Bag </v>
      </c>
      <c r="X8" s="21" t="str">
        <f>IFERROR(__xludf.DUMMYFUNCTION("""COMPUTED_VALUE"""),"Father ")</f>
        <v>Father </v>
      </c>
      <c r="Y8" s="21" t="str">
        <f>IFERROR(__xludf.DUMMYFUNCTION("""COMPUTED_VALUE"""),"Shakuntala Bag ")</f>
        <v>Shakuntala Bag </v>
      </c>
      <c r="Z8" s="21" t="str">
        <f>IFERROR(__xludf.DUMMYFUNCTION("""COMPUTED_VALUE"""),"Mother ")</f>
        <v>Mother </v>
      </c>
      <c r="AA8" s="21" t="str">
        <f>IFERROR(__xludf.DUMMYFUNCTION("""COMPUTED_VALUE"""),"Veg")</f>
        <v>Veg</v>
      </c>
      <c r="AB8" s="21" t="str">
        <f>IFERROR(__xludf.DUMMYFUNCTION("""COMPUTED_VALUE"""),"Veg")</f>
        <v>Veg</v>
      </c>
      <c r="AC8" s="21" t="str">
        <f>IFERROR(__xludf.DUMMYFUNCTION("""COMPUTED_VALUE"""),"Veg")</f>
        <v>Veg</v>
      </c>
      <c r="AD8" s="21" t="str">
        <f>IFERROR(__xludf.DUMMYFUNCTION("""COMPUTED_VALUE"""),"Bus Drop Service not needed")</f>
        <v>Bus Drop Service not needed</v>
      </c>
      <c r="AE8" s="21">
        <f>IFERROR(__xludf.DUMMYFUNCTION("""COMPUTED_VALUE"""),0.0)</f>
        <v>0</v>
      </c>
    </row>
    <row r="9" ht="22.5" customHeight="1">
      <c r="A9" s="18">
        <f>IFERROR(__xludf.DUMMYFUNCTION("""COMPUTED_VALUE"""),46262.61860927084)</f>
        <v>46262.61861</v>
      </c>
      <c r="B9" s="21" t="str">
        <f>IFERROR(__xludf.DUMMYFUNCTION("""COMPUTED_VALUE"""),"aprajitapal01@gmail.com")</f>
        <v>aprajitapal01@gmail.com</v>
      </c>
      <c r="C9" s="21" t="str">
        <f>IFERROR(__xludf.DUMMYFUNCTION("""COMPUTED_VALUE"""),"Aprajita Pal ")</f>
        <v>Aprajita Pal </v>
      </c>
      <c r="D9" s="21">
        <f>IFERROR(__xludf.DUMMYFUNCTION("""COMPUTED_VALUE"""),2.0230401E7)</f>
        <v>20230401</v>
      </c>
      <c r="E9" s="21" t="str">
        <f>IFERROR(__xludf.DUMMYFUNCTION("""COMPUTED_VALUE"""),"M.Sc. Nursing 2023")</f>
        <v>M.Sc. Nursing 2023</v>
      </c>
      <c r="F9" s="21">
        <f>IFERROR(__xludf.DUMMYFUNCTION("""COMPUTED_VALUE"""),8.294678844E9)</f>
        <v>8294678844</v>
      </c>
      <c r="G9" s="21" t="str">
        <f>IFERROR(__xludf.DUMMYFUNCTION("""COMPUTED_VALUE"""),"aprajitapal01@gmail.com")</f>
        <v>aprajitapal01@gmail.com</v>
      </c>
      <c r="H9" s="21" t="str">
        <f>IFERROR(__xludf.DUMMYFUNCTION("""COMPUTED_VALUE"""),"Yes")</f>
        <v>Yes</v>
      </c>
      <c r="I9" s="21" t="str">
        <f>IFERROR(__xludf.DUMMYFUNCTION("""COMPUTED_VALUE"""),"Reading and gardening ")</f>
        <v>Reading and gardening </v>
      </c>
      <c r="J9" s="21"/>
      <c r="K9" s="21" t="str">
        <f>IFERROR(__xludf.DUMMYFUNCTION("""COMPUTED_VALUE"""),"Bhagalpur")</f>
        <v>Bhagalpur</v>
      </c>
      <c r="L9" s="22" t="str">
        <f>IFERROR(__xludf.DUMMYFUNCTION("""COMPUTED_VALUE"""),"https://drive.google.com/open?id=1r_tAll3oKhxHO6BWB4Hy0FpJ9xy06lPP")</f>
        <v>https://drive.google.com/open?id=1r_tAll3oKhxHO6BWB4Hy0FpJ9xy06lPP</v>
      </c>
      <c r="M9" s="22" t="str">
        <f>IFERROR(__xludf.DUMMYFUNCTION("""COMPUTED_VALUE"""),"https://drive.google.com/open?id=1GHxARDGpeigN3bmOaGRUMWlmc6f6V254")</f>
        <v>https://drive.google.com/open?id=1GHxARDGpeigN3bmOaGRUMWlmc6f6V254</v>
      </c>
      <c r="N9" s="21" t="str">
        <f>IFERROR(__xludf.DUMMYFUNCTION("""COMPUTED_VALUE"""),"Subodh Kumar Pal ")</f>
        <v>Subodh Kumar Pal </v>
      </c>
      <c r="O9" s="21" t="str">
        <f>IFERROR(__xludf.DUMMYFUNCTION("""COMPUTED_VALUE"""),"Retired Govt Teacher")</f>
        <v>Retired Govt Teacher</v>
      </c>
      <c r="P9" s="21" t="str">
        <f>IFERROR(__xludf.DUMMYFUNCTION("""COMPUTED_VALUE"""),"Bhagalpur ")</f>
        <v>Bhagalpur </v>
      </c>
      <c r="Q9" s="21">
        <f>IFERROR(__xludf.DUMMYFUNCTION("""COMPUTED_VALUE"""),9.931406986E9)</f>
        <v>9931406986</v>
      </c>
      <c r="R9" s="21" t="str">
        <f>IFERROR(__xludf.DUMMYFUNCTION("""COMPUTED_VALUE"""),"Pushpa Rajpali ")</f>
        <v>Pushpa Rajpali </v>
      </c>
      <c r="S9" s="21" t="str">
        <f>IFERROR(__xludf.DUMMYFUNCTION("""COMPUTED_VALUE"""),"Homemaker ")</f>
        <v>Homemaker </v>
      </c>
      <c r="T9" s="21" t="str">
        <f>IFERROR(__xludf.DUMMYFUNCTION("""COMPUTED_VALUE"""),"Bhagalpur ")</f>
        <v>Bhagalpur </v>
      </c>
      <c r="U9" s="21">
        <f>IFERROR(__xludf.DUMMYFUNCTION("""COMPUTED_VALUE"""),8.102463085E9)</f>
        <v>8102463085</v>
      </c>
      <c r="V9" s="21">
        <f>IFERROR(__xludf.DUMMYFUNCTION("""COMPUTED_VALUE"""),2.0)</f>
        <v>2</v>
      </c>
      <c r="W9" s="21" t="str">
        <f>IFERROR(__xludf.DUMMYFUNCTION("""COMPUTED_VALUE"""),"Subodh Kumar Pal ")</f>
        <v>Subodh Kumar Pal </v>
      </c>
      <c r="X9" s="21" t="str">
        <f>IFERROR(__xludf.DUMMYFUNCTION("""COMPUTED_VALUE"""),"Father ")</f>
        <v>Father </v>
      </c>
      <c r="Y9" s="21" t="str">
        <f>IFERROR(__xludf.DUMMYFUNCTION("""COMPUTED_VALUE"""),"Pushpa Rajpali ")</f>
        <v>Pushpa Rajpali </v>
      </c>
      <c r="Z9" s="21" t="str">
        <f>IFERROR(__xludf.DUMMYFUNCTION("""COMPUTED_VALUE"""),"Mother ")</f>
        <v>Mother </v>
      </c>
      <c r="AA9" s="21" t="str">
        <f>IFERROR(__xludf.DUMMYFUNCTION("""COMPUTED_VALUE"""),"Non-Veg")</f>
        <v>Non-Veg</v>
      </c>
      <c r="AB9" s="21" t="str">
        <f>IFERROR(__xludf.DUMMYFUNCTION("""COMPUTED_VALUE"""),"Veg")</f>
        <v>Veg</v>
      </c>
      <c r="AC9" s="21" t="str">
        <f>IFERROR(__xludf.DUMMYFUNCTION("""COMPUTED_VALUE"""),"Veg")</f>
        <v>Veg</v>
      </c>
      <c r="AD9" s="21" t="str">
        <f>IFERROR(__xludf.DUMMYFUNCTION("""COMPUTED_VALUE"""),"Drop at Kalyani Railway Station")</f>
        <v>Drop at Kalyani Railway Station</v>
      </c>
      <c r="AE9" s="21">
        <f>IFERROR(__xludf.DUMMYFUNCTION("""COMPUTED_VALUE"""),2.0)</f>
        <v>2</v>
      </c>
    </row>
    <row r="10" ht="22.5" customHeight="1">
      <c r="A10" s="18"/>
    </row>
    <row r="11" ht="22.5" customHeight="1">
      <c r="A11" s="18"/>
    </row>
    <row r="12" ht="22.5" customHeight="1">
      <c r="A12" s="18"/>
    </row>
    <row r="13" ht="22.5" customHeight="1">
      <c r="A13" s="18"/>
    </row>
    <row r="14" ht="22.5" customHeight="1">
      <c r="A14" s="18"/>
    </row>
    <row r="15" ht="22.5" customHeight="1">
      <c r="A15" s="18"/>
    </row>
    <row r="16" ht="22.5" customHeight="1">
      <c r="A16" s="18"/>
    </row>
    <row r="17" ht="22.5" customHeight="1">
      <c r="A17" s="18"/>
    </row>
    <row r="18" ht="22.5" customHeight="1">
      <c r="A18" s="18"/>
    </row>
    <row r="19" ht="22.5" customHeight="1">
      <c r="A19" s="18"/>
    </row>
    <row r="20" ht="22.5" customHeight="1">
      <c r="A20" s="18"/>
    </row>
    <row r="21" ht="22.5" customHeight="1">
      <c r="A21" s="18"/>
    </row>
    <row r="22" ht="22.5" customHeight="1">
      <c r="A22" s="18"/>
    </row>
    <row r="23" ht="22.5" customHeight="1">
      <c r="A23" s="18"/>
    </row>
    <row r="24" ht="22.5" customHeight="1">
      <c r="A24" s="18"/>
    </row>
    <row r="25" ht="22.5" customHeight="1">
      <c r="A25" s="18"/>
    </row>
    <row r="26" ht="22.5" customHeight="1">
      <c r="A26" s="18"/>
    </row>
    <row r="27" ht="22.5" customHeight="1">
      <c r="A27" s="18"/>
    </row>
    <row r="28" ht="22.5" customHeight="1">
      <c r="A28" s="18"/>
    </row>
    <row r="29" ht="22.5" customHeight="1">
      <c r="A29" s="18"/>
    </row>
    <row r="30" ht="22.5" customHeight="1">
      <c r="A30" s="18"/>
    </row>
    <row r="31" ht="22.5" customHeight="1">
      <c r="A31" s="18"/>
    </row>
    <row r="32" ht="22.5" customHeight="1">
      <c r="A32" s="18"/>
    </row>
    <row r="33" ht="22.5" customHeight="1">
      <c r="A33" s="18"/>
    </row>
    <row r="34" ht="22.5" customHeight="1">
      <c r="A34" s="18"/>
    </row>
    <row r="35" ht="22.5" customHeight="1">
      <c r="A35" s="18"/>
    </row>
    <row r="36" ht="22.5" customHeight="1">
      <c r="A36" s="18"/>
    </row>
    <row r="37" ht="22.5" customHeight="1">
      <c r="A37" s="18"/>
    </row>
    <row r="38" ht="22.5" customHeight="1">
      <c r="A38" s="18"/>
    </row>
    <row r="39" ht="22.5" customHeight="1">
      <c r="A39" s="18"/>
    </row>
    <row r="40" ht="22.5" customHeight="1">
      <c r="A40" s="18"/>
    </row>
    <row r="41" ht="22.5" customHeight="1">
      <c r="A41" s="18"/>
    </row>
    <row r="42" ht="22.5" customHeight="1">
      <c r="A42" s="18"/>
    </row>
    <row r="43" ht="22.5" customHeight="1">
      <c r="A43" s="18"/>
    </row>
    <row r="44" ht="22.5" customHeight="1">
      <c r="A44" s="18"/>
    </row>
    <row r="45" ht="22.5" customHeight="1">
      <c r="A45" s="18"/>
    </row>
    <row r="46" ht="22.5" customHeight="1">
      <c r="A46" s="18"/>
    </row>
    <row r="47" ht="22.5" customHeight="1">
      <c r="A47" s="18"/>
    </row>
    <row r="48" ht="22.5" customHeight="1">
      <c r="A48" s="18"/>
    </row>
    <row r="49" ht="22.5" customHeight="1">
      <c r="A49" s="18"/>
    </row>
    <row r="50" ht="22.5" customHeight="1">
      <c r="A50" s="18"/>
    </row>
    <row r="51" ht="22.5" customHeight="1">
      <c r="A51" s="18"/>
    </row>
    <row r="52" ht="22.5" customHeight="1">
      <c r="A52" s="18"/>
    </row>
    <row r="53" ht="22.5" customHeight="1">
      <c r="A53" s="18"/>
    </row>
    <row r="54" ht="22.5" customHeight="1">
      <c r="A54" s="18"/>
    </row>
    <row r="55" ht="22.5" customHeight="1">
      <c r="A55" s="18"/>
    </row>
    <row r="56" ht="22.5" customHeight="1">
      <c r="A56" s="18"/>
    </row>
    <row r="57" ht="22.5" customHeight="1">
      <c r="A57" s="18"/>
    </row>
    <row r="58" ht="22.5" customHeight="1">
      <c r="A58" s="18"/>
    </row>
    <row r="59" ht="22.5" customHeight="1">
      <c r="A59" s="18"/>
    </row>
    <row r="60" ht="22.5" customHeight="1">
      <c r="A60" s="18"/>
    </row>
    <row r="61" ht="22.5" customHeight="1">
      <c r="A61" s="18"/>
    </row>
    <row r="62" ht="22.5" customHeight="1">
      <c r="A62" s="18"/>
    </row>
    <row r="63" ht="22.5" customHeight="1">
      <c r="A63" s="18"/>
    </row>
    <row r="64" ht="22.5" customHeight="1">
      <c r="A64" s="18"/>
    </row>
    <row r="65" ht="22.5" customHeight="1">
      <c r="A65" s="18"/>
    </row>
    <row r="66" ht="22.5" customHeight="1">
      <c r="A66" s="18"/>
    </row>
    <row r="67" ht="22.5" customHeight="1">
      <c r="A67" s="18"/>
    </row>
    <row r="68" ht="22.5" customHeight="1">
      <c r="A68" s="18"/>
    </row>
    <row r="69" ht="22.5" customHeight="1">
      <c r="A69" s="18"/>
    </row>
    <row r="70" ht="22.5" customHeight="1">
      <c r="A70" s="18"/>
    </row>
    <row r="71" ht="22.5" customHeight="1">
      <c r="A71" s="18"/>
    </row>
    <row r="72" ht="22.5" customHeight="1">
      <c r="A72" s="18"/>
    </row>
    <row r="73" ht="22.5" customHeight="1">
      <c r="A73" s="18"/>
    </row>
    <row r="74" ht="22.5" customHeight="1">
      <c r="A74" s="18"/>
    </row>
    <row r="75" ht="22.5" customHeight="1">
      <c r="A75" s="18"/>
    </row>
    <row r="76" ht="22.5" customHeight="1">
      <c r="A76" s="18"/>
    </row>
    <row r="77" ht="22.5" customHeight="1">
      <c r="A77" s="18"/>
    </row>
    <row r="78" ht="22.5" customHeight="1">
      <c r="A78" s="18"/>
    </row>
    <row r="79" ht="22.5" customHeight="1">
      <c r="A79" s="18"/>
    </row>
    <row r="80" ht="22.5" customHeight="1">
      <c r="A80" s="18"/>
    </row>
    <row r="81" ht="22.5" customHeight="1">
      <c r="A81" s="18"/>
    </row>
    <row r="82" ht="22.5" customHeight="1">
      <c r="A82" s="18"/>
    </row>
    <row r="83" ht="22.5" customHeight="1">
      <c r="A83" s="18"/>
    </row>
    <row r="84" ht="22.5" customHeight="1">
      <c r="A84" s="18"/>
    </row>
    <row r="85" ht="22.5" customHeight="1">
      <c r="A85" s="18"/>
    </row>
    <row r="86" ht="22.5" customHeight="1">
      <c r="A86" s="18"/>
    </row>
    <row r="87" ht="22.5" customHeight="1">
      <c r="A87" s="18"/>
    </row>
    <row r="88" ht="22.5" customHeight="1">
      <c r="A88" s="18"/>
    </row>
    <row r="89" ht="22.5" customHeight="1">
      <c r="A89" s="18"/>
    </row>
    <row r="90" ht="22.5" customHeight="1">
      <c r="A90" s="18"/>
    </row>
    <row r="91" ht="22.5" customHeight="1">
      <c r="A91" s="18"/>
    </row>
    <row r="92" ht="22.5" customHeight="1">
      <c r="A92" s="18"/>
    </row>
    <row r="93" ht="22.5" customHeight="1">
      <c r="A93" s="18"/>
    </row>
    <row r="94" ht="22.5" customHeight="1">
      <c r="A94" s="18"/>
    </row>
    <row r="95" ht="22.5" customHeight="1">
      <c r="A95" s="18"/>
    </row>
    <row r="96" ht="22.5" customHeight="1">
      <c r="A96" s="18"/>
    </row>
    <row r="97" ht="22.5" customHeight="1">
      <c r="A97" s="18"/>
    </row>
    <row r="98" ht="22.5" customHeight="1">
      <c r="A98" s="18"/>
    </row>
    <row r="99" ht="22.5" customHeight="1">
      <c r="A99" s="18"/>
    </row>
    <row r="100" ht="22.5" customHeight="1">
      <c r="A100" s="18"/>
    </row>
    <row r="101" ht="22.5" customHeight="1">
      <c r="A101" s="18"/>
    </row>
    <row r="102" ht="22.5" customHeight="1">
      <c r="A102" s="18"/>
    </row>
    <row r="103" ht="22.5" customHeight="1">
      <c r="A103" s="18"/>
    </row>
    <row r="104" ht="22.5" customHeight="1">
      <c r="A104" s="18"/>
    </row>
    <row r="105" ht="22.5" customHeight="1">
      <c r="A105" s="18"/>
    </row>
    <row r="106" ht="22.5" customHeight="1">
      <c r="A106" s="18"/>
    </row>
    <row r="107" ht="22.5" customHeight="1">
      <c r="A107" s="18"/>
    </row>
    <row r="108" ht="22.5" customHeight="1">
      <c r="A108" s="18"/>
    </row>
    <row r="109" ht="22.5" customHeight="1">
      <c r="A109" s="18"/>
    </row>
    <row r="110" ht="22.5" customHeight="1">
      <c r="A110" s="18"/>
    </row>
    <row r="111" ht="22.5" customHeight="1">
      <c r="A111" s="18"/>
    </row>
    <row r="112" ht="22.5" customHeight="1">
      <c r="A112" s="18"/>
    </row>
    <row r="113" ht="22.5" customHeight="1">
      <c r="A113" s="18"/>
    </row>
    <row r="114" ht="22.5" customHeight="1">
      <c r="A114" s="18"/>
    </row>
    <row r="115" ht="22.5" customHeight="1">
      <c r="A115" s="18"/>
    </row>
    <row r="116" ht="22.5" customHeight="1">
      <c r="A116" s="18"/>
    </row>
    <row r="117" ht="22.5" customHeight="1">
      <c r="A117" s="18"/>
    </row>
    <row r="118" ht="22.5" customHeight="1">
      <c r="A118" s="18"/>
    </row>
    <row r="119" ht="22.5" customHeight="1">
      <c r="A119" s="18"/>
    </row>
    <row r="120" ht="22.5" customHeight="1">
      <c r="A120" s="18"/>
    </row>
    <row r="121" ht="22.5" customHeight="1">
      <c r="A121" s="18"/>
    </row>
    <row r="122" ht="22.5" customHeight="1">
      <c r="A122" s="18"/>
    </row>
    <row r="123" ht="22.5" customHeight="1">
      <c r="A123" s="18"/>
    </row>
    <row r="124" ht="22.5" customHeight="1">
      <c r="A124" s="18"/>
    </row>
    <row r="125" ht="22.5" customHeight="1">
      <c r="A125" s="18"/>
    </row>
    <row r="126" ht="22.5" customHeight="1">
      <c r="A126" s="18"/>
    </row>
    <row r="127" ht="22.5" customHeight="1">
      <c r="A127" s="18"/>
    </row>
    <row r="128" ht="22.5" customHeight="1">
      <c r="A128" s="18"/>
    </row>
    <row r="129" ht="22.5" customHeight="1">
      <c r="A129" s="18"/>
    </row>
    <row r="130" ht="22.5" customHeight="1">
      <c r="A130" s="18"/>
    </row>
    <row r="131" ht="22.5" customHeight="1">
      <c r="A131" s="18"/>
    </row>
    <row r="132" ht="22.5" customHeight="1">
      <c r="A132" s="18"/>
    </row>
    <row r="133" ht="22.5" customHeight="1">
      <c r="A133" s="18"/>
    </row>
    <row r="134" ht="22.5" customHeight="1">
      <c r="A134" s="18"/>
    </row>
    <row r="135" ht="22.5" customHeight="1">
      <c r="A135" s="18"/>
    </row>
    <row r="136" ht="22.5" customHeight="1">
      <c r="A136" s="18"/>
    </row>
    <row r="137" ht="22.5" customHeight="1">
      <c r="A137" s="18"/>
    </row>
    <row r="138" ht="22.5" customHeight="1">
      <c r="A138" s="18"/>
    </row>
    <row r="139" ht="22.5" customHeight="1">
      <c r="A139" s="18"/>
    </row>
    <row r="140" ht="22.5" customHeight="1">
      <c r="A140" s="18"/>
    </row>
    <row r="141" ht="22.5" customHeight="1">
      <c r="A141" s="18"/>
    </row>
    <row r="142" ht="22.5" customHeight="1">
      <c r="A142" s="18"/>
    </row>
    <row r="143" ht="22.5" customHeight="1">
      <c r="A143" s="18"/>
    </row>
    <row r="144" ht="22.5" customHeight="1">
      <c r="A144" s="18"/>
    </row>
    <row r="145" ht="22.5" customHeight="1">
      <c r="A145" s="18"/>
    </row>
    <row r="146" ht="22.5" customHeight="1">
      <c r="A146" s="18"/>
    </row>
    <row r="147" ht="22.5" customHeight="1">
      <c r="A147" s="18"/>
    </row>
    <row r="148" ht="22.5" customHeight="1">
      <c r="A148" s="18"/>
    </row>
    <row r="149" ht="22.5" customHeight="1">
      <c r="A149" s="18"/>
    </row>
    <row r="150" ht="22.5" customHeight="1">
      <c r="A150" s="18"/>
    </row>
    <row r="151" ht="22.5" customHeight="1">
      <c r="A151" s="18"/>
    </row>
    <row r="152" ht="22.5" customHeight="1">
      <c r="A152" s="18"/>
    </row>
    <row r="153" ht="22.5" customHeight="1">
      <c r="A153" s="18"/>
    </row>
    <row r="154" ht="22.5" customHeight="1">
      <c r="A154" s="18"/>
    </row>
    <row r="155" ht="22.5" customHeight="1">
      <c r="A155" s="18"/>
    </row>
    <row r="156" ht="22.5" customHeight="1">
      <c r="A156" s="18"/>
    </row>
    <row r="157" ht="22.5" customHeight="1">
      <c r="A157" s="18"/>
    </row>
    <row r="158" ht="22.5" customHeight="1">
      <c r="A158" s="18"/>
    </row>
    <row r="159" ht="22.5" customHeight="1">
      <c r="A159" s="18"/>
    </row>
    <row r="160" ht="22.5" customHeight="1">
      <c r="A160" s="18"/>
    </row>
    <row r="161" ht="22.5" customHeight="1">
      <c r="A161" s="18"/>
    </row>
    <row r="162" ht="22.5" customHeight="1">
      <c r="A162" s="18"/>
    </row>
    <row r="163" ht="22.5" customHeight="1">
      <c r="A163" s="18"/>
    </row>
    <row r="164" ht="22.5" customHeight="1">
      <c r="A164" s="18"/>
    </row>
    <row r="165" ht="22.5" customHeight="1">
      <c r="A165" s="18"/>
    </row>
    <row r="166" ht="22.5" customHeight="1">
      <c r="A166" s="18"/>
    </row>
    <row r="167" ht="22.5" customHeight="1">
      <c r="A167" s="18"/>
    </row>
    <row r="168" ht="22.5" customHeight="1">
      <c r="A168" s="18"/>
    </row>
    <row r="169" ht="22.5" customHeight="1">
      <c r="A169" s="18"/>
    </row>
    <row r="170" ht="22.5" customHeight="1">
      <c r="A170" s="18"/>
    </row>
    <row r="171" ht="22.5" customHeight="1">
      <c r="A171" s="18"/>
    </row>
    <row r="172" ht="22.5" customHeight="1">
      <c r="A172" s="18"/>
    </row>
    <row r="173" ht="22.5" customHeight="1">
      <c r="A173" s="18"/>
    </row>
    <row r="174" ht="22.5" customHeight="1">
      <c r="A174" s="18"/>
    </row>
    <row r="175" ht="22.5" customHeight="1">
      <c r="A175" s="18"/>
    </row>
    <row r="176" ht="22.5" customHeight="1">
      <c r="A176" s="18"/>
    </row>
    <row r="177" ht="22.5" customHeight="1">
      <c r="A177" s="18"/>
    </row>
    <row r="178" ht="22.5" customHeight="1">
      <c r="A178" s="18"/>
    </row>
    <row r="179" ht="22.5" customHeight="1">
      <c r="A179" s="18"/>
    </row>
    <row r="180" ht="22.5" customHeight="1">
      <c r="A180" s="18"/>
    </row>
    <row r="181" ht="22.5" customHeight="1">
      <c r="A181" s="18"/>
    </row>
    <row r="182" ht="22.5" customHeight="1">
      <c r="A182" s="18"/>
    </row>
    <row r="183" ht="22.5" customHeight="1">
      <c r="A183" s="18"/>
    </row>
    <row r="184" ht="22.5" customHeight="1">
      <c r="A184" s="18"/>
    </row>
    <row r="185" ht="22.5" customHeight="1">
      <c r="A185" s="18"/>
    </row>
    <row r="186" ht="22.5" customHeight="1">
      <c r="A186" s="18"/>
    </row>
    <row r="187" ht="22.5" customHeight="1">
      <c r="A187" s="18"/>
    </row>
    <row r="188" ht="22.5" customHeight="1">
      <c r="A188" s="18"/>
    </row>
    <row r="189" ht="22.5" customHeight="1">
      <c r="A189" s="18"/>
    </row>
    <row r="190" ht="22.5" customHeight="1">
      <c r="A190" s="18"/>
    </row>
    <row r="191" ht="22.5" customHeight="1">
      <c r="A191" s="18"/>
    </row>
    <row r="192" ht="22.5" customHeight="1">
      <c r="A192" s="18"/>
    </row>
    <row r="193" ht="22.5" customHeight="1">
      <c r="A193" s="18"/>
    </row>
  </sheetData>
  <conditionalFormatting sqref="B2:B293">
    <cfRule type="expression" dxfId="5" priority="1">
      <formula>COUNTIFS($C$2:$C$293, $C2, $E$2:$E$293, $E2) &gt; 1</formula>
    </cfRule>
  </conditionalFormatting>
  <conditionalFormatting sqref="C2:E293">
    <cfRule type="expression" dxfId="5" priority="2">
      <formula>COUNTIFS($C$2:$C$293, $C2, $E$2:$E$293, $E2) &gt; 1</formula>
    </cfRule>
  </conditionalFormatting>
  <hyperlinks>
    <hyperlink r:id="rId1" ref="L2"/>
    <hyperlink r:id="rId2" ref="M2"/>
    <hyperlink r:id="rId3" ref="L3"/>
    <hyperlink r:id="rId4" ref="M3"/>
    <hyperlink r:id="rId5" ref="L4"/>
    <hyperlink r:id="rId6" ref="M4"/>
    <hyperlink r:id="rId7" ref="L5"/>
    <hyperlink r:id="rId8" ref="M5"/>
    <hyperlink r:id="rId9" ref="L6"/>
    <hyperlink r:id="rId10" ref="M6"/>
    <hyperlink r:id="rId11" ref="L7"/>
    <hyperlink r:id="rId12" ref="M7"/>
    <hyperlink r:id="rId13" ref="L8"/>
    <hyperlink r:id="rId14" ref="M8"/>
    <hyperlink r:id="rId15" ref="L9"/>
    <hyperlink r:id="rId16" ref="M9"/>
  </hyperlinks>
  <drawing r:id="rId17"/>
  <tableParts count="1">
    <tablePart r:id="rId19"/>
  </tableParts>
</worksheet>
</file>